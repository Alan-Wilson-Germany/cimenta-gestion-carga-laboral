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lanw\Downloads\"/>
    </mc:Choice>
  </mc:AlternateContent>
  <xr:revisionPtr revIDLastSave="0" documentId="8_{7672E52E-6A78-4156-BD39-1DC87C359898}" xr6:coauthVersionLast="47" xr6:coauthVersionMax="47" xr10:uidLastSave="{00000000-0000-0000-0000-000000000000}"/>
  <bookViews>
    <workbookView xWindow="-108" yWindow="-108" windowWidth="23256" windowHeight="12456" tabRatio="804" xr2:uid="{44DDB8CC-7693-41AB-80D7-E5753EF01163}"/>
  </bookViews>
  <sheets>
    <sheet name="Instructivo" sheetId="30" r:id="rId1"/>
    <sheet name="Registro" sheetId="32" r:id="rId2"/>
    <sheet name="BD" sheetId="19" state="hidden" r:id="rId3"/>
    <sheet name="Carga HH" sheetId="11" r:id="rId4"/>
    <sheet name="Gráficos HH (2)" sheetId="33" r:id="rId5"/>
    <sheet name="Gráficos HH" sheetId="21" state="hidden" r:id="rId6"/>
  </sheets>
  <definedNames>
    <definedName name="_xlnm._FilterDatabase" localSheetId="3" hidden="1">'Carga HH'!$B$4:$I$42</definedName>
    <definedName name="Base_de_datos_gráficos">'Carga HH'!$A$4:$U$1048576</definedName>
    <definedName name="DatosExternos_1" localSheetId="2" hidden="1">BD!$A$1:$K$1009</definedName>
    <definedName name="GRAFICAR_CCD">#REF!</definedName>
    <definedName name="GRAFICAR_JP">#REF!</definedName>
    <definedName name="GRAFICAR_PyC">'Carga HH'!$A$4:$U$1048576</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5" i="32" l="1"/>
  <c r="J3" i="11"/>
  <c r="U300" i="11"/>
  <c r="T300" i="11"/>
  <c r="S300" i="11"/>
  <c r="R300" i="11"/>
  <c r="Q300" i="11"/>
  <c r="P300" i="11"/>
  <c r="O300" i="11"/>
  <c r="N300" i="11"/>
  <c r="M300" i="11"/>
  <c r="L300" i="11"/>
  <c r="K300" i="11"/>
  <c r="J300" i="11"/>
  <c r="U299" i="11"/>
  <c r="T299" i="11"/>
  <c r="S299" i="11"/>
  <c r="R299" i="11"/>
  <c r="Q299" i="11"/>
  <c r="P299" i="11"/>
  <c r="O299" i="11"/>
  <c r="N299" i="11"/>
  <c r="M299" i="11"/>
  <c r="L299" i="11"/>
  <c r="K299" i="11"/>
  <c r="J299" i="11"/>
  <c r="U298" i="11"/>
  <c r="T298" i="11"/>
  <c r="S298" i="11"/>
  <c r="R298" i="11"/>
  <c r="Q298" i="11"/>
  <c r="P298" i="11"/>
  <c r="O298" i="11"/>
  <c r="N298" i="11"/>
  <c r="M298" i="11"/>
  <c r="L298" i="11"/>
  <c r="K298" i="11"/>
  <c r="J298" i="11"/>
  <c r="U297" i="11"/>
  <c r="T297" i="11"/>
  <c r="S297" i="11"/>
  <c r="R297" i="11"/>
  <c r="Q297" i="11"/>
  <c r="P297" i="11"/>
  <c r="O297" i="11"/>
  <c r="N297" i="11"/>
  <c r="M297" i="11"/>
  <c r="L297" i="11"/>
  <c r="K297" i="11"/>
  <c r="J297" i="11"/>
  <c r="U296" i="11"/>
  <c r="T296" i="11"/>
  <c r="S296" i="11"/>
  <c r="R296" i="11"/>
  <c r="Q296" i="11"/>
  <c r="P296" i="11"/>
  <c r="O296" i="11"/>
  <c r="N296" i="11"/>
  <c r="M296" i="11"/>
  <c r="L296" i="11"/>
  <c r="K296" i="11"/>
  <c r="J296" i="11"/>
  <c r="U295" i="11"/>
  <c r="T295" i="11"/>
  <c r="S295" i="11"/>
  <c r="R295" i="11"/>
  <c r="Q295" i="11"/>
  <c r="P295" i="11"/>
  <c r="O295" i="11"/>
  <c r="N295" i="11"/>
  <c r="M295" i="11"/>
  <c r="L295" i="11"/>
  <c r="K295" i="11"/>
  <c r="J295" i="11"/>
  <c r="U294" i="11"/>
  <c r="T294" i="11"/>
  <c r="S294" i="11"/>
  <c r="R294" i="11"/>
  <c r="Q294" i="11"/>
  <c r="P294" i="11"/>
  <c r="O294" i="11"/>
  <c r="N294" i="11"/>
  <c r="M294" i="11"/>
  <c r="L294" i="11"/>
  <c r="K294" i="11"/>
  <c r="J294" i="11"/>
  <c r="U293" i="11"/>
  <c r="T293" i="11"/>
  <c r="S293" i="11"/>
  <c r="R293" i="11"/>
  <c r="Q293" i="11"/>
  <c r="P293" i="11"/>
  <c r="O293" i="11"/>
  <c r="N293" i="11"/>
  <c r="M293" i="11"/>
  <c r="L293" i="11"/>
  <c r="K293" i="11"/>
  <c r="J293" i="11"/>
  <c r="U292" i="11"/>
  <c r="T292" i="11"/>
  <c r="S292" i="11"/>
  <c r="R292" i="11"/>
  <c r="Q292" i="11"/>
  <c r="P292" i="11"/>
  <c r="O292" i="11"/>
  <c r="N292" i="11"/>
  <c r="M292" i="11"/>
  <c r="L292" i="11"/>
  <c r="K292" i="11"/>
  <c r="J292" i="11"/>
  <c r="U291" i="11"/>
  <c r="T291" i="11"/>
  <c r="S291" i="11"/>
  <c r="R291" i="11"/>
  <c r="Q291" i="11"/>
  <c r="P291" i="11"/>
  <c r="O291" i="11"/>
  <c r="N291" i="11"/>
  <c r="M291" i="11"/>
  <c r="L291" i="11"/>
  <c r="K291" i="11"/>
  <c r="J291" i="11"/>
  <c r="U290" i="11"/>
  <c r="T290" i="11"/>
  <c r="S290" i="11"/>
  <c r="R290" i="11"/>
  <c r="Q290" i="11"/>
  <c r="P290" i="11"/>
  <c r="O290" i="11"/>
  <c r="N290" i="11"/>
  <c r="M290" i="11"/>
  <c r="L290" i="11"/>
  <c r="K290" i="11"/>
  <c r="J290" i="11"/>
  <c r="U289" i="11"/>
  <c r="T289" i="11"/>
  <c r="S289" i="11"/>
  <c r="R289" i="11"/>
  <c r="Q289" i="11"/>
  <c r="P289" i="11"/>
  <c r="O289" i="11"/>
  <c r="N289" i="11"/>
  <c r="M289" i="11"/>
  <c r="L289" i="11"/>
  <c r="K289" i="11"/>
  <c r="J289" i="11"/>
  <c r="U288" i="11"/>
  <c r="T288" i="11"/>
  <c r="S288" i="11"/>
  <c r="R288" i="11"/>
  <c r="Q288" i="11"/>
  <c r="P288" i="11"/>
  <c r="O288" i="11"/>
  <c r="N288" i="11"/>
  <c r="M288" i="11"/>
  <c r="L288" i="11"/>
  <c r="K288" i="11"/>
  <c r="J288" i="11"/>
  <c r="U287" i="11"/>
  <c r="T287" i="11"/>
  <c r="S287" i="11"/>
  <c r="R287" i="11"/>
  <c r="Q287" i="11"/>
  <c r="P287" i="11"/>
  <c r="O287" i="11"/>
  <c r="N287" i="11"/>
  <c r="M287" i="11"/>
  <c r="L287" i="11"/>
  <c r="K287" i="11"/>
  <c r="J287" i="11"/>
  <c r="U286" i="11"/>
  <c r="T286" i="11"/>
  <c r="S286" i="11"/>
  <c r="R286" i="11"/>
  <c r="Q286" i="11"/>
  <c r="P286" i="11"/>
  <c r="O286" i="11"/>
  <c r="N286" i="11"/>
  <c r="M286" i="11"/>
  <c r="L286" i="11"/>
  <c r="K286" i="11"/>
  <c r="J286" i="11"/>
  <c r="U285" i="11"/>
  <c r="T285" i="11"/>
  <c r="S285" i="11"/>
  <c r="R285" i="11"/>
  <c r="Q285" i="11"/>
  <c r="P285" i="11"/>
  <c r="O285" i="11"/>
  <c r="N285" i="11"/>
  <c r="M285" i="11"/>
  <c r="L285" i="11"/>
  <c r="K285" i="11"/>
  <c r="J285" i="11"/>
  <c r="U284" i="11"/>
  <c r="T284" i="11"/>
  <c r="S284" i="11"/>
  <c r="R284" i="11"/>
  <c r="Q284" i="11"/>
  <c r="P284" i="11"/>
  <c r="O284" i="11"/>
  <c r="N284" i="11"/>
  <c r="M284" i="11"/>
  <c r="L284" i="11"/>
  <c r="K284" i="11"/>
  <c r="J284" i="11"/>
  <c r="U283" i="11"/>
  <c r="T283" i="11"/>
  <c r="S283" i="11"/>
  <c r="R283" i="11"/>
  <c r="Q283" i="11"/>
  <c r="P283" i="11"/>
  <c r="O283" i="11"/>
  <c r="N283" i="11"/>
  <c r="M283" i="11"/>
  <c r="L283" i="11"/>
  <c r="K283" i="11"/>
  <c r="J283" i="11"/>
  <c r="U282" i="11"/>
  <c r="T282" i="11"/>
  <c r="S282" i="11"/>
  <c r="R282" i="11"/>
  <c r="Q282" i="11"/>
  <c r="P282" i="11"/>
  <c r="O282" i="11"/>
  <c r="N282" i="11"/>
  <c r="M282" i="11"/>
  <c r="L282" i="11"/>
  <c r="K282" i="11"/>
  <c r="J282" i="11"/>
  <c r="U281" i="11"/>
  <c r="T281" i="11"/>
  <c r="S281" i="11"/>
  <c r="R281" i="11"/>
  <c r="Q281" i="11"/>
  <c r="P281" i="11"/>
  <c r="O281" i="11"/>
  <c r="N281" i="11"/>
  <c r="M281" i="11"/>
  <c r="L281" i="11"/>
  <c r="K281" i="11"/>
  <c r="J281" i="11"/>
  <c r="U280" i="11"/>
  <c r="T280" i="11"/>
  <c r="S280" i="11"/>
  <c r="R280" i="11"/>
  <c r="Q280" i="11"/>
  <c r="P280" i="11"/>
  <c r="O280" i="11"/>
  <c r="N280" i="11"/>
  <c r="M280" i="11"/>
  <c r="L280" i="11"/>
  <c r="K280" i="11"/>
  <c r="J280" i="11"/>
  <c r="U279" i="11"/>
  <c r="T279" i="11"/>
  <c r="S279" i="11"/>
  <c r="R279" i="11"/>
  <c r="Q279" i="11"/>
  <c r="P279" i="11"/>
  <c r="O279" i="11"/>
  <c r="N279" i="11"/>
  <c r="M279" i="11"/>
  <c r="L279" i="11"/>
  <c r="K279" i="11"/>
  <c r="J279" i="11"/>
  <c r="U278" i="11"/>
  <c r="T278" i="11"/>
  <c r="S278" i="11"/>
  <c r="R278" i="11"/>
  <c r="Q278" i="11"/>
  <c r="P278" i="11"/>
  <c r="O278" i="11"/>
  <c r="N278" i="11"/>
  <c r="M278" i="11"/>
  <c r="L278" i="11"/>
  <c r="K278" i="11"/>
  <c r="J278" i="11"/>
  <c r="U277" i="11"/>
  <c r="T277" i="11"/>
  <c r="S277" i="11"/>
  <c r="R277" i="11"/>
  <c r="Q277" i="11"/>
  <c r="P277" i="11"/>
  <c r="O277" i="11"/>
  <c r="N277" i="11"/>
  <c r="M277" i="11"/>
  <c r="L277" i="11"/>
  <c r="K277" i="11"/>
  <c r="J277" i="11"/>
  <c r="U276" i="11"/>
  <c r="T276" i="11"/>
  <c r="S276" i="11"/>
  <c r="R276" i="11"/>
  <c r="Q276" i="11"/>
  <c r="P276" i="11"/>
  <c r="O276" i="11"/>
  <c r="N276" i="11"/>
  <c r="M276" i="11"/>
  <c r="L276" i="11"/>
  <c r="K276" i="11"/>
  <c r="J276" i="11"/>
  <c r="U275" i="11"/>
  <c r="T275" i="11"/>
  <c r="S275" i="11"/>
  <c r="R275" i="11"/>
  <c r="Q275" i="11"/>
  <c r="P275" i="11"/>
  <c r="O275" i="11"/>
  <c r="N275" i="11"/>
  <c r="M275" i="11"/>
  <c r="L275" i="11"/>
  <c r="K275" i="11"/>
  <c r="J275" i="11"/>
  <c r="U274" i="11"/>
  <c r="T274" i="11"/>
  <c r="S274" i="11"/>
  <c r="R274" i="11"/>
  <c r="Q274" i="11"/>
  <c r="P274" i="11"/>
  <c r="O274" i="11"/>
  <c r="N274" i="11"/>
  <c r="M274" i="11"/>
  <c r="L274" i="11"/>
  <c r="K274" i="11"/>
  <c r="J274" i="11"/>
  <c r="U273" i="11"/>
  <c r="T273" i="11"/>
  <c r="S273" i="11"/>
  <c r="R273" i="11"/>
  <c r="Q273" i="11"/>
  <c r="P273" i="11"/>
  <c r="O273" i="11"/>
  <c r="N273" i="11"/>
  <c r="M273" i="11"/>
  <c r="L273" i="11"/>
  <c r="K273" i="11"/>
  <c r="J273" i="11"/>
  <c r="U272" i="11"/>
  <c r="T272" i="11"/>
  <c r="S272" i="11"/>
  <c r="R272" i="11"/>
  <c r="Q272" i="11"/>
  <c r="P272" i="11"/>
  <c r="O272" i="11"/>
  <c r="N272" i="11"/>
  <c r="M272" i="11"/>
  <c r="L272" i="11"/>
  <c r="K272" i="11"/>
  <c r="J272" i="11"/>
  <c r="U271" i="11"/>
  <c r="T271" i="11"/>
  <c r="S271" i="11"/>
  <c r="R271" i="11"/>
  <c r="Q271" i="11"/>
  <c r="P271" i="11"/>
  <c r="O271" i="11"/>
  <c r="N271" i="11"/>
  <c r="M271" i="11"/>
  <c r="L271" i="11"/>
  <c r="K271" i="11"/>
  <c r="J271" i="11"/>
  <c r="U270" i="11"/>
  <c r="T270" i="11"/>
  <c r="S270" i="11"/>
  <c r="R270" i="11"/>
  <c r="Q270" i="11"/>
  <c r="P270" i="11"/>
  <c r="O270" i="11"/>
  <c r="N270" i="11"/>
  <c r="M270" i="11"/>
  <c r="L270" i="11"/>
  <c r="K270" i="11"/>
  <c r="J270" i="11"/>
  <c r="U269" i="11"/>
  <c r="T269" i="11"/>
  <c r="S269" i="11"/>
  <c r="R269" i="11"/>
  <c r="Q269" i="11"/>
  <c r="P269" i="11"/>
  <c r="O269" i="11"/>
  <c r="N269" i="11"/>
  <c r="M269" i="11"/>
  <c r="L269" i="11"/>
  <c r="K269" i="11"/>
  <c r="J269" i="11"/>
  <c r="U268" i="11"/>
  <c r="T268" i="11"/>
  <c r="S268" i="11"/>
  <c r="R268" i="11"/>
  <c r="Q268" i="11"/>
  <c r="P268" i="11"/>
  <c r="O268" i="11"/>
  <c r="N268" i="11"/>
  <c r="M268" i="11"/>
  <c r="L268" i="11"/>
  <c r="K268" i="11"/>
  <c r="J268" i="11"/>
  <c r="U267" i="11"/>
  <c r="T267" i="11"/>
  <c r="S267" i="11"/>
  <c r="R267" i="11"/>
  <c r="Q267" i="11"/>
  <c r="P267" i="11"/>
  <c r="O267" i="11"/>
  <c r="N267" i="11"/>
  <c r="M267" i="11"/>
  <c r="L267" i="11"/>
  <c r="K267" i="11"/>
  <c r="J267" i="11"/>
  <c r="U266" i="11"/>
  <c r="T266" i="11"/>
  <c r="S266" i="11"/>
  <c r="R266" i="11"/>
  <c r="Q266" i="11"/>
  <c r="P266" i="11"/>
  <c r="O266" i="11"/>
  <c r="N266" i="11"/>
  <c r="M266" i="11"/>
  <c r="L266" i="11"/>
  <c r="K266" i="11"/>
  <c r="J266" i="11"/>
  <c r="U265" i="11"/>
  <c r="T265" i="11"/>
  <c r="S265" i="11"/>
  <c r="R265" i="11"/>
  <c r="Q265" i="11"/>
  <c r="P265" i="11"/>
  <c r="O265" i="11"/>
  <c r="N265" i="11"/>
  <c r="M265" i="11"/>
  <c r="L265" i="11"/>
  <c r="K265" i="11"/>
  <c r="J265" i="11"/>
  <c r="U264" i="11"/>
  <c r="T264" i="11"/>
  <c r="S264" i="11"/>
  <c r="R264" i="11"/>
  <c r="Q264" i="11"/>
  <c r="P264" i="11"/>
  <c r="O264" i="11"/>
  <c r="N264" i="11"/>
  <c r="M264" i="11"/>
  <c r="L264" i="11"/>
  <c r="K264" i="11"/>
  <c r="J264" i="11"/>
  <c r="U263" i="11"/>
  <c r="T263" i="11"/>
  <c r="S263" i="11"/>
  <c r="R263" i="11"/>
  <c r="Q263" i="11"/>
  <c r="P263" i="11"/>
  <c r="O263" i="11"/>
  <c r="N263" i="11"/>
  <c r="M263" i="11"/>
  <c r="L263" i="11"/>
  <c r="K263" i="11"/>
  <c r="J263" i="11"/>
  <c r="U262" i="11"/>
  <c r="T262" i="11"/>
  <c r="S262" i="11"/>
  <c r="R262" i="11"/>
  <c r="Q262" i="11"/>
  <c r="P262" i="11"/>
  <c r="O262" i="11"/>
  <c r="N262" i="11"/>
  <c r="M262" i="11"/>
  <c r="L262" i="11"/>
  <c r="K262" i="11"/>
  <c r="J262" i="11"/>
  <c r="U261" i="11"/>
  <c r="T261" i="11"/>
  <c r="S261" i="11"/>
  <c r="R261" i="11"/>
  <c r="Q261" i="11"/>
  <c r="P261" i="11"/>
  <c r="O261" i="11"/>
  <c r="N261" i="11"/>
  <c r="M261" i="11"/>
  <c r="L261" i="11"/>
  <c r="K261" i="11"/>
  <c r="J261" i="11"/>
  <c r="U260" i="11"/>
  <c r="T260" i="11"/>
  <c r="S260" i="11"/>
  <c r="R260" i="11"/>
  <c r="Q260" i="11"/>
  <c r="P260" i="11"/>
  <c r="O260" i="11"/>
  <c r="N260" i="11"/>
  <c r="M260" i="11"/>
  <c r="L260" i="11"/>
  <c r="K260" i="11"/>
  <c r="J260" i="11"/>
  <c r="U259" i="11"/>
  <c r="T259" i="11"/>
  <c r="S259" i="11"/>
  <c r="R259" i="11"/>
  <c r="Q259" i="11"/>
  <c r="P259" i="11"/>
  <c r="O259" i="11"/>
  <c r="N259" i="11"/>
  <c r="M259" i="11"/>
  <c r="L259" i="11"/>
  <c r="K259" i="11"/>
  <c r="J259" i="11"/>
  <c r="U258" i="11"/>
  <c r="T258" i="11"/>
  <c r="S258" i="11"/>
  <c r="R258" i="11"/>
  <c r="Q258" i="11"/>
  <c r="P258" i="11"/>
  <c r="O258" i="11"/>
  <c r="N258" i="11"/>
  <c r="M258" i="11"/>
  <c r="L258" i="11"/>
  <c r="K258" i="11"/>
  <c r="J258" i="11"/>
  <c r="U257" i="11"/>
  <c r="T257" i="11"/>
  <c r="S257" i="11"/>
  <c r="R257" i="11"/>
  <c r="Q257" i="11"/>
  <c r="P257" i="11"/>
  <c r="O257" i="11"/>
  <c r="N257" i="11"/>
  <c r="M257" i="11"/>
  <c r="L257" i="11"/>
  <c r="K257" i="11"/>
  <c r="J257" i="11"/>
  <c r="U256" i="11"/>
  <c r="T256" i="11"/>
  <c r="S256" i="11"/>
  <c r="R256" i="11"/>
  <c r="Q256" i="11"/>
  <c r="P256" i="11"/>
  <c r="O256" i="11"/>
  <c r="N256" i="11"/>
  <c r="M256" i="11"/>
  <c r="L256" i="11"/>
  <c r="K256" i="11"/>
  <c r="J256" i="11"/>
  <c r="U255" i="11"/>
  <c r="T255" i="11"/>
  <c r="S255" i="11"/>
  <c r="R255" i="11"/>
  <c r="Q255" i="11"/>
  <c r="P255" i="11"/>
  <c r="O255" i="11"/>
  <c r="N255" i="11"/>
  <c r="M255" i="11"/>
  <c r="L255" i="11"/>
  <c r="K255" i="11"/>
  <c r="J255" i="11"/>
  <c r="U254" i="11"/>
  <c r="T254" i="11"/>
  <c r="S254" i="11"/>
  <c r="R254" i="11"/>
  <c r="Q254" i="11"/>
  <c r="P254" i="11"/>
  <c r="O254" i="11"/>
  <c r="N254" i="11"/>
  <c r="M254" i="11"/>
  <c r="L254" i="11"/>
  <c r="K254" i="11"/>
  <c r="J254" i="11"/>
  <c r="U253" i="11"/>
  <c r="T253" i="11"/>
  <c r="S253" i="11"/>
  <c r="R253" i="11"/>
  <c r="Q253" i="11"/>
  <c r="P253" i="11"/>
  <c r="O253" i="11"/>
  <c r="N253" i="11"/>
  <c r="M253" i="11"/>
  <c r="L253" i="11"/>
  <c r="K253" i="11"/>
  <c r="J253" i="11"/>
  <c r="U252" i="11"/>
  <c r="T252" i="11"/>
  <c r="S252" i="11"/>
  <c r="R252" i="11"/>
  <c r="Q252" i="11"/>
  <c r="P252" i="11"/>
  <c r="O252" i="11"/>
  <c r="N252" i="11"/>
  <c r="M252" i="11"/>
  <c r="L252" i="11"/>
  <c r="K252" i="11"/>
  <c r="J252" i="11"/>
  <c r="U251" i="11"/>
  <c r="T251" i="11"/>
  <c r="S251" i="11"/>
  <c r="R251" i="11"/>
  <c r="Q251" i="11"/>
  <c r="P251" i="11"/>
  <c r="O251" i="11"/>
  <c r="N251" i="11"/>
  <c r="M251" i="11"/>
  <c r="L251" i="11"/>
  <c r="K251" i="11"/>
  <c r="J251" i="11"/>
  <c r="U250" i="11"/>
  <c r="T250" i="11"/>
  <c r="S250" i="11"/>
  <c r="R250" i="11"/>
  <c r="Q250" i="11"/>
  <c r="P250" i="11"/>
  <c r="O250" i="11"/>
  <c r="N250" i="11"/>
  <c r="M250" i="11"/>
  <c r="L250" i="11"/>
  <c r="K250" i="11"/>
  <c r="J250" i="11"/>
  <c r="U249" i="11"/>
  <c r="T249" i="11"/>
  <c r="S249" i="11"/>
  <c r="R249" i="11"/>
  <c r="Q249" i="11"/>
  <c r="P249" i="11"/>
  <c r="O249" i="11"/>
  <c r="N249" i="11"/>
  <c r="M249" i="11"/>
  <c r="L249" i="11"/>
  <c r="K249" i="11"/>
  <c r="J249" i="11"/>
  <c r="U248" i="11"/>
  <c r="T248" i="11"/>
  <c r="S248" i="11"/>
  <c r="R248" i="11"/>
  <c r="Q248" i="11"/>
  <c r="P248" i="11"/>
  <c r="O248" i="11"/>
  <c r="N248" i="11"/>
  <c r="M248" i="11"/>
  <c r="L248" i="11"/>
  <c r="K248" i="11"/>
  <c r="J248" i="11"/>
  <c r="U247" i="11"/>
  <c r="T247" i="11"/>
  <c r="S247" i="11"/>
  <c r="R247" i="11"/>
  <c r="Q247" i="11"/>
  <c r="P247" i="11"/>
  <c r="O247" i="11"/>
  <c r="N247" i="11"/>
  <c r="M247" i="11"/>
  <c r="L247" i="11"/>
  <c r="K247" i="11"/>
  <c r="J247" i="11"/>
  <c r="U246" i="11"/>
  <c r="T246" i="11"/>
  <c r="S246" i="11"/>
  <c r="R246" i="11"/>
  <c r="Q246" i="11"/>
  <c r="P246" i="11"/>
  <c r="O246" i="11"/>
  <c r="N246" i="11"/>
  <c r="M246" i="11"/>
  <c r="L246" i="11"/>
  <c r="K246" i="11"/>
  <c r="J246" i="11"/>
  <c r="U245" i="11"/>
  <c r="T245" i="11"/>
  <c r="S245" i="11"/>
  <c r="R245" i="11"/>
  <c r="Q245" i="11"/>
  <c r="P245" i="11"/>
  <c r="O245" i="11"/>
  <c r="N245" i="11"/>
  <c r="M245" i="11"/>
  <c r="L245" i="11"/>
  <c r="K245" i="11"/>
  <c r="J245" i="11"/>
  <c r="U244" i="11"/>
  <c r="T244" i="11"/>
  <c r="S244" i="11"/>
  <c r="R244" i="11"/>
  <c r="Q244" i="11"/>
  <c r="P244" i="11"/>
  <c r="O244" i="11"/>
  <c r="N244" i="11"/>
  <c r="M244" i="11"/>
  <c r="L244" i="11"/>
  <c r="K244" i="11"/>
  <c r="J244" i="11"/>
  <c r="U243" i="11"/>
  <c r="T243" i="11"/>
  <c r="S243" i="11"/>
  <c r="R243" i="11"/>
  <c r="Q243" i="11"/>
  <c r="P243" i="11"/>
  <c r="O243" i="11"/>
  <c r="N243" i="11"/>
  <c r="M243" i="11"/>
  <c r="L243" i="11"/>
  <c r="K243" i="11"/>
  <c r="J243" i="11"/>
  <c r="U242" i="11"/>
  <c r="T242" i="11"/>
  <c r="S242" i="11"/>
  <c r="R242" i="11"/>
  <c r="Q242" i="11"/>
  <c r="P242" i="11"/>
  <c r="O242" i="11"/>
  <c r="N242" i="11"/>
  <c r="M242" i="11"/>
  <c r="L242" i="11"/>
  <c r="K242" i="11"/>
  <c r="J242" i="11"/>
  <c r="U241" i="11"/>
  <c r="T241" i="11"/>
  <c r="S241" i="11"/>
  <c r="R241" i="11"/>
  <c r="Q241" i="11"/>
  <c r="P241" i="11"/>
  <c r="O241" i="11"/>
  <c r="N241" i="11"/>
  <c r="M241" i="11"/>
  <c r="L241" i="11"/>
  <c r="K241" i="11"/>
  <c r="J241" i="11"/>
  <c r="U240" i="11"/>
  <c r="T240" i="11"/>
  <c r="S240" i="11"/>
  <c r="R240" i="11"/>
  <c r="Q240" i="11"/>
  <c r="P240" i="11"/>
  <c r="O240" i="11"/>
  <c r="N240" i="11"/>
  <c r="M240" i="11"/>
  <c r="L240" i="11"/>
  <c r="K240" i="11"/>
  <c r="J240" i="11"/>
  <c r="U239" i="11"/>
  <c r="T239" i="11"/>
  <c r="S239" i="11"/>
  <c r="R239" i="11"/>
  <c r="Q239" i="11"/>
  <c r="P239" i="11"/>
  <c r="O239" i="11"/>
  <c r="N239" i="11"/>
  <c r="M239" i="11"/>
  <c r="L239" i="11"/>
  <c r="K239" i="11"/>
  <c r="J239" i="11"/>
  <c r="U238" i="11"/>
  <c r="T238" i="11"/>
  <c r="S238" i="11"/>
  <c r="R238" i="11"/>
  <c r="Q238" i="11"/>
  <c r="P238" i="11"/>
  <c r="O238" i="11"/>
  <c r="N238" i="11"/>
  <c r="M238" i="11"/>
  <c r="L238" i="11"/>
  <c r="K238" i="11"/>
  <c r="J238" i="11"/>
  <c r="U237" i="11"/>
  <c r="T237" i="11"/>
  <c r="S237" i="11"/>
  <c r="R237" i="11"/>
  <c r="Q237" i="11"/>
  <c r="P237" i="11"/>
  <c r="O237" i="11"/>
  <c r="N237" i="11"/>
  <c r="M237" i="11"/>
  <c r="L237" i="11"/>
  <c r="K237" i="11"/>
  <c r="J237" i="11"/>
  <c r="U236" i="11"/>
  <c r="T236" i="11"/>
  <c r="S236" i="11"/>
  <c r="R236" i="11"/>
  <c r="Q236" i="11"/>
  <c r="P236" i="11"/>
  <c r="O236" i="11"/>
  <c r="N236" i="11"/>
  <c r="M236" i="11"/>
  <c r="L236" i="11"/>
  <c r="K236" i="11"/>
  <c r="J236" i="11"/>
  <c r="U235" i="11"/>
  <c r="T235" i="11"/>
  <c r="S235" i="11"/>
  <c r="R235" i="11"/>
  <c r="Q235" i="11"/>
  <c r="P235" i="11"/>
  <c r="O235" i="11"/>
  <c r="N235" i="11"/>
  <c r="M235" i="11"/>
  <c r="L235" i="11"/>
  <c r="K235" i="11"/>
  <c r="J235" i="11"/>
  <c r="U234" i="11"/>
  <c r="T234" i="11"/>
  <c r="S234" i="11"/>
  <c r="R234" i="11"/>
  <c r="Q234" i="11"/>
  <c r="P234" i="11"/>
  <c r="O234" i="11"/>
  <c r="N234" i="11"/>
  <c r="M234" i="11"/>
  <c r="L234" i="11"/>
  <c r="K234" i="11"/>
  <c r="J234" i="11"/>
  <c r="U233" i="11"/>
  <c r="T233" i="11"/>
  <c r="S233" i="11"/>
  <c r="R233" i="11"/>
  <c r="Q233" i="11"/>
  <c r="P233" i="11"/>
  <c r="O233" i="11"/>
  <c r="N233" i="11"/>
  <c r="M233" i="11"/>
  <c r="L233" i="11"/>
  <c r="K233" i="11"/>
  <c r="J233" i="11"/>
  <c r="U232" i="11"/>
  <c r="T232" i="11"/>
  <c r="S232" i="11"/>
  <c r="R232" i="11"/>
  <c r="Q232" i="11"/>
  <c r="P232" i="11"/>
  <c r="O232" i="11"/>
  <c r="N232" i="11"/>
  <c r="M232" i="11"/>
  <c r="L232" i="11"/>
  <c r="K232" i="11"/>
  <c r="J232" i="11"/>
  <c r="U231" i="11"/>
  <c r="T231" i="11"/>
  <c r="S231" i="11"/>
  <c r="R231" i="11"/>
  <c r="Q231" i="11"/>
  <c r="P231" i="11"/>
  <c r="O231" i="11"/>
  <c r="N231" i="11"/>
  <c r="M231" i="11"/>
  <c r="L231" i="11"/>
  <c r="K231" i="11"/>
  <c r="J231" i="11"/>
  <c r="U230" i="11"/>
  <c r="T230" i="11"/>
  <c r="S230" i="11"/>
  <c r="R230" i="11"/>
  <c r="Q230" i="11"/>
  <c r="P230" i="11"/>
  <c r="O230" i="11"/>
  <c r="N230" i="11"/>
  <c r="M230" i="11"/>
  <c r="L230" i="11"/>
  <c r="K230" i="11"/>
  <c r="J230" i="11"/>
  <c r="U229" i="11"/>
  <c r="T229" i="11"/>
  <c r="S229" i="11"/>
  <c r="R229" i="11"/>
  <c r="Q229" i="11"/>
  <c r="P229" i="11"/>
  <c r="O229" i="11"/>
  <c r="N229" i="11"/>
  <c r="M229" i="11"/>
  <c r="L229" i="11"/>
  <c r="K229" i="11"/>
  <c r="J229" i="11"/>
  <c r="U228" i="11"/>
  <c r="T228" i="11"/>
  <c r="S228" i="11"/>
  <c r="R228" i="11"/>
  <c r="Q228" i="11"/>
  <c r="P228" i="11"/>
  <c r="O228" i="11"/>
  <c r="N228" i="11"/>
  <c r="M228" i="11"/>
  <c r="L228" i="11"/>
  <c r="K228" i="11"/>
  <c r="J228" i="11"/>
  <c r="U227" i="11"/>
  <c r="T227" i="11"/>
  <c r="S227" i="11"/>
  <c r="R227" i="11"/>
  <c r="Q227" i="11"/>
  <c r="P227" i="11"/>
  <c r="O227" i="11"/>
  <c r="N227" i="11"/>
  <c r="M227" i="11"/>
  <c r="L227" i="11"/>
  <c r="K227" i="11"/>
  <c r="J227" i="11"/>
  <c r="U226" i="11"/>
  <c r="T226" i="11"/>
  <c r="S226" i="11"/>
  <c r="R226" i="11"/>
  <c r="Q226" i="11"/>
  <c r="P226" i="11"/>
  <c r="O226" i="11"/>
  <c r="N226" i="11"/>
  <c r="M226" i="11"/>
  <c r="L226" i="11"/>
  <c r="K226" i="11"/>
  <c r="J226" i="11"/>
  <c r="U225" i="11"/>
  <c r="T225" i="11"/>
  <c r="S225" i="11"/>
  <c r="R225" i="11"/>
  <c r="Q225" i="11"/>
  <c r="P225" i="11"/>
  <c r="O225" i="11"/>
  <c r="N225" i="11"/>
  <c r="M225" i="11"/>
  <c r="L225" i="11"/>
  <c r="K225" i="11"/>
  <c r="J225" i="11"/>
  <c r="U224" i="11"/>
  <c r="T224" i="11"/>
  <c r="S224" i="11"/>
  <c r="R224" i="11"/>
  <c r="Q224" i="11"/>
  <c r="P224" i="11"/>
  <c r="O224" i="11"/>
  <c r="N224" i="11"/>
  <c r="M224" i="11"/>
  <c r="L224" i="11"/>
  <c r="K224" i="11"/>
  <c r="J224" i="11"/>
  <c r="U223" i="11"/>
  <c r="T223" i="11"/>
  <c r="S223" i="11"/>
  <c r="R223" i="11"/>
  <c r="Q223" i="11"/>
  <c r="P223" i="11"/>
  <c r="O223" i="11"/>
  <c r="N223" i="11"/>
  <c r="M223" i="11"/>
  <c r="L223" i="11"/>
  <c r="K223" i="11"/>
  <c r="J223" i="11"/>
  <c r="U222" i="11"/>
  <c r="T222" i="11"/>
  <c r="S222" i="11"/>
  <c r="R222" i="11"/>
  <c r="Q222" i="11"/>
  <c r="P222" i="11"/>
  <c r="O222" i="11"/>
  <c r="N222" i="11"/>
  <c r="M222" i="11"/>
  <c r="L222" i="11"/>
  <c r="K222" i="11"/>
  <c r="J222" i="11"/>
  <c r="U221" i="11"/>
  <c r="T221" i="11"/>
  <c r="S221" i="11"/>
  <c r="R221" i="11"/>
  <c r="Q221" i="11"/>
  <c r="P221" i="11"/>
  <c r="O221" i="11"/>
  <c r="N221" i="11"/>
  <c r="M221" i="11"/>
  <c r="L221" i="11"/>
  <c r="K221" i="11"/>
  <c r="J221" i="11"/>
  <c r="U220" i="11"/>
  <c r="T220" i="11"/>
  <c r="S220" i="11"/>
  <c r="R220" i="11"/>
  <c r="Q220" i="11"/>
  <c r="P220" i="11"/>
  <c r="O220" i="11"/>
  <c r="N220" i="11"/>
  <c r="M220" i="11"/>
  <c r="L220" i="11"/>
  <c r="K220" i="11"/>
  <c r="J220" i="11"/>
  <c r="U219" i="11"/>
  <c r="T219" i="11"/>
  <c r="S219" i="11"/>
  <c r="R219" i="11"/>
  <c r="Q219" i="11"/>
  <c r="P219" i="11"/>
  <c r="O219" i="11"/>
  <c r="N219" i="11"/>
  <c r="M219" i="11"/>
  <c r="L219" i="11"/>
  <c r="K219" i="11"/>
  <c r="J219" i="11"/>
  <c r="U218" i="11"/>
  <c r="T218" i="11"/>
  <c r="S218" i="11"/>
  <c r="R218" i="11"/>
  <c r="Q218" i="11"/>
  <c r="P218" i="11"/>
  <c r="O218" i="11"/>
  <c r="N218" i="11"/>
  <c r="M218" i="11"/>
  <c r="L218" i="11"/>
  <c r="K218" i="11"/>
  <c r="J218" i="11"/>
  <c r="U217" i="11"/>
  <c r="T217" i="11"/>
  <c r="S217" i="11"/>
  <c r="R217" i="11"/>
  <c r="Q217" i="11"/>
  <c r="P217" i="11"/>
  <c r="O217" i="11"/>
  <c r="N217" i="11"/>
  <c r="M217" i="11"/>
  <c r="L217" i="11"/>
  <c r="K217" i="11"/>
  <c r="J217" i="11"/>
  <c r="U216" i="11"/>
  <c r="T216" i="11"/>
  <c r="S216" i="11"/>
  <c r="R216" i="11"/>
  <c r="Q216" i="11"/>
  <c r="P216" i="11"/>
  <c r="O216" i="11"/>
  <c r="N216" i="11"/>
  <c r="M216" i="11"/>
  <c r="L216" i="11"/>
  <c r="K216" i="11"/>
  <c r="J216" i="11"/>
  <c r="U215" i="11"/>
  <c r="T215" i="11"/>
  <c r="S215" i="11"/>
  <c r="R215" i="11"/>
  <c r="Q215" i="11"/>
  <c r="P215" i="11"/>
  <c r="O215" i="11"/>
  <c r="N215" i="11"/>
  <c r="M215" i="11"/>
  <c r="L215" i="11"/>
  <c r="K215" i="11"/>
  <c r="J215" i="11"/>
  <c r="U214" i="11"/>
  <c r="T214" i="11"/>
  <c r="S214" i="11"/>
  <c r="R214" i="11"/>
  <c r="Q214" i="11"/>
  <c r="P214" i="11"/>
  <c r="O214" i="11"/>
  <c r="N214" i="11"/>
  <c r="M214" i="11"/>
  <c r="L214" i="11"/>
  <c r="K214" i="11"/>
  <c r="J214" i="11"/>
  <c r="U213" i="11"/>
  <c r="T213" i="11"/>
  <c r="S213" i="11"/>
  <c r="R213" i="11"/>
  <c r="Q213" i="11"/>
  <c r="P213" i="11"/>
  <c r="O213" i="11"/>
  <c r="N213" i="11"/>
  <c r="M213" i="11"/>
  <c r="L213" i="11"/>
  <c r="K213" i="11"/>
  <c r="J213" i="11"/>
  <c r="U212" i="11"/>
  <c r="T212" i="11"/>
  <c r="S212" i="11"/>
  <c r="R212" i="11"/>
  <c r="Q212" i="11"/>
  <c r="P212" i="11"/>
  <c r="O212" i="11"/>
  <c r="N212" i="11"/>
  <c r="M212" i="11"/>
  <c r="L212" i="11"/>
  <c r="K212" i="11"/>
  <c r="J212" i="11"/>
  <c r="U211" i="11"/>
  <c r="T211" i="11"/>
  <c r="S211" i="11"/>
  <c r="R211" i="11"/>
  <c r="Q211" i="11"/>
  <c r="P211" i="11"/>
  <c r="O211" i="11"/>
  <c r="N211" i="11"/>
  <c r="M211" i="11"/>
  <c r="L211" i="11"/>
  <c r="K211" i="11"/>
  <c r="J211" i="11"/>
  <c r="U210" i="11"/>
  <c r="T210" i="11"/>
  <c r="S210" i="11"/>
  <c r="R210" i="11"/>
  <c r="Q210" i="11"/>
  <c r="P210" i="11"/>
  <c r="O210" i="11"/>
  <c r="N210" i="11"/>
  <c r="M210" i="11"/>
  <c r="L210" i="11"/>
  <c r="K210" i="11"/>
  <c r="J210" i="11"/>
  <c r="U209" i="11"/>
  <c r="T209" i="11"/>
  <c r="S209" i="11"/>
  <c r="R209" i="11"/>
  <c r="Q209" i="11"/>
  <c r="P209" i="11"/>
  <c r="O209" i="11"/>
  <c r="N209" i="11"/>
  <c r="M209" i="11"/>
  <c r="L209" i="11"/>
  <c r="K209" i="11"/>
  <c r="J209" i="11"/>
  <c r="U208" i="11"/>
  <c r="T208" i="11"/>
  <c r="S208" i="11"/>
  <c r="R208" i="11"/>
  <c r="Q208" i="11"/>
  <c r="P208" i="11"/>
  <c r="O208" i="11"/>
  <c r="N208" i="11"/>
  <c r="M208" i="11"/>
  <c r="L208" i="11"/>
  <c r="K208" i="11"/>
  <c r="J208" i="11"/>
  <c r="U207" i="11"/>
  <c r="T207" i="11"/>
  <c r="S207" i="11"/>
  <c r="R207" i="11"/>
  <c r="Q207" i="11"/>
  <c r="P207" i="11"/>
  <c r="O207" i="11"/>
  <c r="N207" i="11"/>
  <c r="M207" i="11"/>
  <c r="L207" i="11"/>
  <c r="K207" i="11"/>
  <c r="J207" i="11"/>
  <c r="U206" i="11"/>
  <c r="T206" i="11"/>
  <c r="S206" i="11"/>
  <c r="R206" i="11"/>
  <c r="Q206" i="11"/>
  <c r="P206" i="11"/>
  <c r="O206" i="11"/>
  <c r="N206" i="11"/>
  <c r="M206" i="11"/>
  <c r="L206" i="11"/>
  <c r="K206" i="11"/>
  <c r="J206" i="11"/>
  <c r="U205" i="11"/>
  <c r="T205" i="11"/>
  <c r="S205" i="11"/>
  <c r="R205" i="11"/>
  <c r="Q205" i="11"/>
  <c r="P205" i="11"/>
  <c r="O205" i="11"/>
  <c r="N205" i="11"/>
  <c r="M205" i="11"/>
  <c r="L205" i="11"/>
  <c r="K205" i="11"/>
  <c r="J205" i="11"/>
  <c r="U204" i="11"/>
  <c r="T204" i="11"/>
  <c r="S204" i="11"/>
  <c r="R204" i="11"/>
  <c r="Q204" i="11"/>
  <c r="P204" i="11"/>
  <c r="O204" i="11"/>
  <c r="N204" i="11"/>
  <c r="M204" i="11"/>
  <c r="L204" i="11"/>
  <c r="K204" i="11"/>
  <c r="J204" i="11"/>
  <c r="U203" i="11"/>
  <c r="T203" i="11"/>
  <c r="S203" i="11"/>
  <c r="R203" i="11"/>
  <c r="Q203" i="11"/>
  <c r="P203" i="11"/>
  <c r="O203" i="11"/>
  <c r="N203" i="11"/>
  <c r="M203" i="11"/>
  <c r="L203" i="11"/>
  <c r="K203" i="11"/>
  <c r="J203" i="11"/>
  <c r="U202" i="11"/>
  <c r="T202" i="11"/>
  <c r="S202" i="11"/>
  <c r="R202" i="11"/>
  <c r="Q202" i="11"/>
  <c r="P202" i="11"/>
  <c r="O202" i="11"/>
  <c r="N202" i="11"/>
  <c r="M202" i="11"/>
  <c r="L202" i="11"/>
  <c r="K202" i="11"/>
  <c r="J202" i="11"/>
  <c r="U201" i="11"/>
  <c r="T201" i="11"/>
  <c r="S201" i="11"/>
  <c r="R201" i="11"/>
  <c r="Q201" i="11"/>
  <c r="P201" i="11"/>
  <c r="O201" i="11"/>
  <c r="N201" i="11"/>
  <c r="M201" i="11"/>
  <c r="L201" i="11"/>
  <c r="K201" i="11"/>
  <c r="J201" i="11"/>
  <c r="U200" i="11"/>
  <c r="T200" i="11"/>
  <c r="S200" i="11"/>
  <c r="R200" i="11"/>
  <c r="Q200" i="11"/>
  <c r="P200" i="11"/>
  <c r="O200" i="11"/>
  <c r="N200" i="11"/>
  <c r="M200" i="11"/>
  <c r="L200" i="11"/>
  <c r="K200" i="11"/>
  <c r="J200" i="11"/>
  <c r="U199" i="11"/>
  <c r="T199" i="11"/>
  <c r="S199" i="11"/>
  <c r="R199" i="11"/>
  <c r="Q199" i="11"/>
  <c r="P199" i="11"/>
  <c r="O199" i="11"/>
  <c r="N199" i="11"/>
  <c r="M199" i="11"/>
  <c r="L199" i="11"/>
  <c r="K199" i="11"/>
  <c r="J199" i="11"/>
  <c r="U198" i="11"/>
  <c r="T198" i="11"/>
  <c r="S198" i="11"/>
  <c r="R198" i="11"/>
  <c r="Q198" i="11"/>
  <c r="P198" i="11"/>
  <c r="O198" i="11"/>
  <c r="N198" i="11"/>
  <c r="M198" i="11"/>
  <c r="L198" i="11"/>
  <c r="K198" i="11"/>
  <c r="J198" i="11"/>
  <c r="U197" i="11"/>
  <c r="T197" i="11"/>
  <c r="S197" i="11"/>
  <c r="R197" i="11"/>
  <c r="Q197" i="11"/>
  <c r="P197" i="11"/>
  <c r="O197" i="11"/>
  <c r="N197" i="11"/>
  <c r="M197" i="11"/>
  <c r="L197" i="11"/>
  <c r="K197" i="11"/>
  <c r="J197" i="11"/>
  <c r="U196" i="11"/>
  <c r="T196" i="11"/>
  <c r="S196" i="11"/>
  <c r="R196" i="11"/>
  <c r="Q196" i="11"/>
  <c r="P196" i="11"/>
  <c r="O196" i="11"/>
  <c r="N196" i="11"/>
  <c r="M196" i="11"/>
  <c r="L196" i="11"/>
  <c r="K196" i="11"/>
  <c r="J196" i="11"/>
  <c r="U195" i="11"/>
  <c r="T195" i="11"/>
  <c r="S195" i="11"/>
  <c r="R195" i="11"/>
  <c r="Q195" i="11"/>
  <c r="P195" i="11"/>
  <c r="O195" i="11"/>
  <c r="N195" i="11"/>
  <c r="M195" i="11"/>
  <c r="L195" i="11"/>
  <c r="K195" i="11"/>
  <c r="J195" i="11"/>
  <c r="U194" i="11"/>
  <c r="T194" i="11"/>
  <c r="S194" i="11"/>
  <c r="R194" i="11"/>
  <c r="Q194" i="11"/>
  <c r="P194" i="11"/>
  <c r="O194" i="11"/>
  <c r="N194" i="11"/>
  <c r="M194" i="11"/>
  <c r="L194" i="11"/>
  <c r="K194" i="11"/>
  <c r="J194" i="11"/>
  <c r="U193" i="11"/>
  <c r="T193" i="11"/>
  <c r="S193" i="11"/>
  <c r="R193" i="11"/>
  <c r="Q193" i="11"/>
  <c r="P193" i="11"/>
  <c r="O193" i="11"/>
  <c r="N193" i="11"/>
  <c r="M193" i="11"/>
  <c r="L193" i="11"/>
  <c r="K193" i="11"/>
  <c r="J193" i="11"/>
  <c r="U192" i="11"/>
  <c r="T192" i="11"/>
  <c r="S192" i="11"/>
  <c r="R192" i="11"/>
  <c r="Q192" i="11"/>
  <c r="P192" i="11"/>
  <c r="O192" i="11"/>
  <c r="N192" i="11"/>
  <c r="M192" i="11"/>
  <c r="L192" i="11"/>
  <c r="K192" i="11"/>
  <c r="J192" i="11"/>
  <c r="U191" i="11"/>
  <c r="T191" i="11"/>
  <c r="S191" i="11"/>
  <c r="R191" i="11"/>
  <c r="Q191" i="11"/>
  <c r="P191" i="11"/>
  <c r="O191" i="11"/>
  <c r="N191" i="11"/>
  <c r="M191" i="11"/>
  <c r="L191" i="11"/>
  <c r="K191" i="11"/>
  <c r="J191" i="11"/>
  <c r="U190" i="11"/>
  <c r="T190" i="11"/>
  <c r="S190" i="11"/>
  <c r="R190" i="11"/>
  <c r="Q190" i="11"/>
  <c r="P190" i="11"/>
  <c r="O190" i="11"/>
  <c r="N190" i="11"/>
  <c r="M190" i="11"/>
  <c r="L190" i="11"/>
  <c r="K190" i="11"/>
  <c r="J190" i="11"/>
  <c r="U189" i="11"/>
  <c r="T189" i="11"/>
  <c r="S189" i="11"/>
  <c r="R189" i="11"/>
  <c r="Q189" i="11"/>
  <c r="P189" i="11"/>
  <c r="O189" i="11"/>
  <c r="N189" i="11"/>
  <c r="M189" i="11"/>
  <c r="L189" i="11"/>
  <c r="K189" i="11"/>
  <c r="J189" i="11"/>
  <c r="U188" i="11"/>
  <c r="T188" i="11"/>
  <c r="S188" i="11"/>
  <c r="R188" i="11"/>
  <c r="Q188" i="11"/>
  <c r="P188" i="11"/>
  <c r="O188" i="11"/>
  <c r="N188" i="11"/>
  <c r="M188" i="11"/>
  <c r="L188" i="11"/>
  <c r="K188" i="11"/>
  <c r="J188" i="11"/>
  <c r="U187" i="11"/>
  <c r="T187" i="11"/>
  <c r="S187" i="11"/>
  <c r="R187" i="11"/>
  <c r="Q187" i="11"/>
  <c r="P187" i="11"/>
  <c r="O187" i="11"/>
  <c r="N187" i="11"/>
  <c r="M187" i="11"/>
  <c r="L187" i="11"/>
  <c r="K187" i="11"/>
  <c r="J187" i="11"/>
  <c r="U186" i="11"/>
  <c r="T186" i="11"/>
  <c r="S186" i="11"/>
  <c r="R186" i="11"/>
  <c r="Q186" i="11"/>
  <c r="P186" i="11"/>
  <c r="O186" i="11"/>
  <c r="N186" i="11"/>
  <c r="M186" i="11"/>
  <c r="L186" i="11"/>
  <c r="K186" i="11"/>
  <c r="J186" i="11"/>
  <c r="U185" i="11"/>
  <c r="T185" i="11"/>
  <c r="S185" i="11"/>
  <c r="R185" i="11"/>
  <c r="Q185" i="11"/>
  <c r="P185" i="11"/>
  <c r="O185" i="11"/>
  <c r="N185" i="11"/>
  <c r="M185" i="11"/>
  <c r="L185" i="11"/>
  <c r="K185" i="11"/>
  <c r="J185" i="11"/>
  <c r="U184" i="11"/>
  <c r="T184" i="11"/>
  <c r="S184" i="11"/>
  <c r="R184" i="11"/>
  <c r="Q184" i="11"/>
  <c r="P184" i="11"/>
  <c r="O184" i="11"/>
  <c r="N184" i="11"/>
  <c r="M184" i="11"/>
  <c r="L184" i="11"/>
  <c r="K184" i="11"/>
  <c r="J184" i="11"/>
  <c r="U183" i="11"/>
  <c r="T183" i="11"/>
  <c r="S183" i="11"/>
  <c r="R183" i="11"/>
  <c r="Q183" i="11"/>
  <c r="P183" i="11"/>
  <c r="O183" i="11"/>
  <c r="N183" i="11"/>
  <c r="M183" i="11"/>
  <c r="L183" i="11"/>
  <c r="K183" i="11"/>
  <c r="J183" i="11"/>
  <c r="U182" i="11"/>
  <c r="T182" i="11"/>
  <c r="S182" i="11"/>
  <c r="R182" i="11"/>
  <c r="Q182" i="11"/>
  <c r="P182" i="11"/>
  <c r="O182" i="11"/>
  <c r="N182" i="11"/>
  <c r="M182" i="11"/>
  <c r="L182" i="11"/>
  <c r="K182" i="11"/>
  <c r="J182" i="11"/>
  <c r="U181" i="11"/>
  <c r="T181" i="11"/>
  <c r="S181" i="11"/>
  <c r="R181" i="11"/>
  <c r="Q181" i="11"/>
  <c r="P181" i="11"/>
  <c r="O181" i="11"/>
  <c r="N181" i="11"/>
  <c r="M181" i="11"/>
  <c r="L181" i="11"/>
  <c r="K181" i="11"/>
  <c r="J181" i="11"/>
  <c r="U180" i="11"/>
  <c r="T180" i="11"/>
  <c r="S180" i="11"/>
  <c r="R180" i="11"/>
  <c r="Q180" i="11"/>
  <c r="P180" i="11"/>
  <c r="O180" i="11"/>
  <c r="N180" i="11"/>
  <c r="M180" i="11"/>
  <c r="L180" i="11"/>
  <c r="K180" i="11"/>
  <c r="J180" i="11"/>
  <c r="U179" i="11"/>
  <c r="T179" i="11"/>
  <c r="S179" i="11"/>
  <c r="R179" i="11"/>
  <c r="Q179" i="11"/>
  <c r="P179" i="11"/>
  <c r="O179" i="11"/>
  <c r="N179" i="11"/>
  <c r="M179" i="11"/>
  <c r="L179" i="11"/>
  <c r="K179" i="11"/>
  <c r="J179" i="11"/>
  <c r="U178" i="11"/>
  <c r="T178" i="11"/>
  <c r="S178" i="11"/>
  <c r="R178" i="11"/>
  <c r="Q178" i="11"/>
  <c r="P178" i="11"/>
  <c r="O178" i="11"/>
  <c r="N178" i="11"/>
  <c r="M178" i="11"/>
  <c r="L178" i="11"/>
  <c r="K178" i="11"/>
  <c r="J178" i="11"/>
  <c r="U177" i="11"/>
  <c r="T177" i="11"/>
  <c r="S177" i="11"/>
  <c r="R177" i="11"/>
  <c r="Q177" i="11"/>
  <c r="P177" i="11"/>
  <c r="O177" i="11"/>
  <c r="N177" i="11"/>
  <c r="M177" i="11"/>
  <c r="L177" i="11"/>
  <c r="K177" i="11"/>
  <c r="J177" i="11"/>
  <c r="U176" i="11"/>
  <c r="T176" i="11"/>
  <c r="S176" i="11"/>
  <c r="R176" i="11"/>
  <c r="Q176" i="11"/>
  <c r="P176" i="11"/>
  <c r="O176" i="11"/>
  <c r="N176" i="11"/>
  <c r="M176" i="11"/>
  <c r="L176" i="11"/>
  <c r="K176" i="11"/>
  <c r="J176" i="11"/>
  <c r="U175" i="11"/>
  <c r="T175" i="11"/>
  <c r="S175" i="11"/>
  <c r="R175" i="11"/>
  <c r="Q175" i="11"/>
  <c r="P175" i="11"/>
  <c r="O175" i="11"/>
  <c r="N175" i="11"/>
  <c r="M175" i="11"/>
  <c r="L175" i="11"/>
  <c r="K175" i="11"/>
  <c r="J175" i="11"/>
  <c r="U174" i="11"/>
  <c r="T174" i="11"/>
  <c r="S174" i="11"/>
  <c r="R174" i="11"/>
  <c r="Q174" i="11"/>
  <c r="P174" i="11"/>
  <c r="O174" i="11"/>
  <c r="N174" i="11"/>
  <c r="M174" i="11"/>
  <c r="L174" i="11"/>
  <c r="K174" i="11"/>
  <c r="J174" i="11"/>
  <c r="U173" i="11"/>
  <c r="T173" i="11"/>
  <c r="S173" i="11"/>
  <c r="R173" i="11"/>
  <c r="Q173" i="11"/>
  <c r="P173" i="11"/>
  <c r="O173" i="11"/>
  <c r="N173" i="11"/>
  <c r="M173" i="11"/>
  <c r="L173" i="11"/>
  <c r="K173" i="11"/>
  <c r="J173" i="11"/>
  <c r="U172" i="11"/>
  <c r="T172" i="11"/>
  <c r="S172" i="11"/>
  <c r="R172" i="11"/>
  <c r="Q172" i="11"/>
  <c r="P172" i="11"/>
  <c r="O172" i="11"/>
  <c r="N172" i="11"/>
  <c r="M172" i="11"/>
  <c r="L172" i="11"/>
  <c r="K172" i="11"/>
  <c r="J172" i="11"/>
  <c r="U171" i="11"/>
  <c r="T171" i="11"/>
  <c r="S171" i="11"/>
  <c r="R171" i="11"/>
  <c r="Q171" i="11"/>
  <c r="P171" i="11"/>
  <c r="O171" i="11"/>
  <c r="N171" i="11"/>
  <c r="M171" i="11"/>
  <c r="L171" i="11"/>
  <c r="K171" i="11"/>
  <c r="J171" i="11"/>
  <c r="U170" i="11"/>
  <c r="T170" i="11"/>
  <c r="S170" i="11"/>
  <c r="R170" i="11"/>
  <c r="Q170" i="11"/>
  <c r="P170" i="11"/>
  <c r="O170" i="11"/>
  <c r="N170" i="11"/>
  <c r="M170" i="11"/>
  <c r="L170" i="11"/>
  <c r="K170" i="11"/>
  <c r="J170" i="11"/>
  <c r="U169" i="11"/>
  <c r="T169" i="11"/>
  <c r="S169" i="11"/>
  <c r="R169" i="11"/>
  <c r="Q169" i="11"/>
  <c r="P169" i="11"/>
  <c r="O169" i="11"/>
  <c r="N169" i="11"/>
  <c r="M169" i="11"/>
  <c r="L169" i="11"/>
  <c r="K169" i="11"/>
  <c r="J169" i="11"/>
  <c r="U168" i="11"/>
  <c r="T168" i="11"/>
  <c r="S168" i="11"/>
  <c r="R168" i="11"/>
  <c r="Q168" i="11"/>
  <c r="P168" i="11"/>
  <c r="O168" i="11"/>
  <c r="N168" i="11"/>
  <c r="M168" i="11"/>
  <c r="L168" i="11"/>
  <c r="K168" i="11"/>
  <c r="J168" i="11"/>
  <c r="U167" i="11"/>
  <c r="T167" i="11"/>
  <c r="S167" i="11"/>
  <c r="R167" i="11"/>
  <c r="Q167" i="11"/>
  <c r="P167" i="11"/>
  <c r="O167" i="11"/>
  <c r="N167" i="11"/>
  <c r="M167" i="11"/>
  <c r="L167" i="11"/>
  <c r="K167" i="11"/>
  <c r="J167" i="11"/>
  <c r="U166" i="11"/>
  <c r="T166" i="11"/>
  <c r="S166" i="11"/>
  <c r="R166" i="11"/>
  <c r="Q166" i="11"/>
  <c r="P166" i="11"/>
  <c r="O166" i="11"/>
  <c r="N166" i="11"/>
  <c r="M166" i="11"/>
  <c r="L166" i="11"/>
  <c r="K166" i="11"/>
  <c r="J166" i="11"/>
  <c r="U165" i="11"/>
  <c r="T165" i="11"/>
  <c r="S165" i="11"/>
  <c r="R165" i="11"/>
  <c r="Q165" i="11"/>
  <c r="P165" i="11"/>
  <c r="O165" i="11"/>
  <c r="N165" i="11"/>
  <c r="M165" i="11"/>
  <c r="L165" i="11"/>
  <c r="K165" i="11"/>
  <c r="J165" i="11"/>
  <c r="U164" i="11"/>
  <c r="T164" i="11"/>
  <c r="S164" i="11"/>
  <c r="R164" i="11"/>
  <c r="Q164" i="11"/>
  <c r="P164" i="11"/>
  <c r="O164" i="11"/>
  <c r="N164" i="11"/>
  <c r="M164" i="11"/>
  <c r="L164" i="11"/>
  <c r="K164" i="11"/>
  <c r="J164" i="11"/>
  <c r="U163" i="11"/>
  <c r="T163" i="11"/>
  <c r="S163" i="11"/>
  <c r="R163" i="11"/>
  <c r="Q163" i="11"/>
  <c r="P163" i="11"/>
  <c r="O163" i="11"/>
  <c r="N163" i="11"/>
  <c r="M163" i="11"/>
  <c r="L163" i="11"/>
  <c r="K163" i="11"/>
  <c r="J163" i="11"/>
  <c r="U162" i="11"/>
  <c r="T162" i="11"/>
  <c r="S162" i="11"/>
  <c r="R162" i="11"/>
  <c r="Q162" i="11"/>
  <c r="P162" i="11"/>
  <c r="O162" i="11"/>
  <c r="N162" i="11"/>
  <c r="M162" i="11"/>
  <c r="L162" i="11"/>
  <c r="K162" i="11"/>
  <c r="J162" i="11"/>
  <c r="U161" i="11"/>
  <c r="T161" i="11"/>
  <c r="S161" i="11"/>
  <c r="R161" i="11"/>
  <c r="Q161" i="11"/>
  <c r="P161" i="11"/>
  <c r="O161" i="11"/>
  <c r="N161" i="11"/>
  <c r="M161" i="11"/>
  <c r="L161" i="11"/>
  <c r="K161" i="11"/>
  <c r="J161" i="11"/>
  <c r="U160" i="11"/>
  <c r="T160" i="11"/>
  <c r="S160" i="11"/>
  <c r="R160" i="11"/>
  <c r="Q160" i="11"/>
  <c r="P160" i="11"/>
  <c r="O160" i="11"/>
  <c r="N160" i="11"/>
  <c r="M160" i="11"/>
  <c r="L160" i="11"/>
  <c r="K160" i="11"/>
  <c r="J160" i="11"/>
  <c r="U159" i="11"/>
  <c r="T159" i="11"/>
  <c r="S159" i="11"/>
  <c r="R159" i="11"/>
  <c r="Q159" i="11"/>
  <c r="P159" i="11"/>
  <c r="O159" i="11"/>
  <c r="N159" i="11"/>
  <c r="M159" i="11"/>
  <c r="L159" i="11"/>
  <c r="K159" i="11"/>
  <c r="J159" i="11"/>
  <c r="U158" i="11"/>
  <c r="T158" i="11"/>
  <c r="S158" i="11"/>
  <c r="R158" i="11"/>
  <c r="Q158" i="11"/>
  <c r="P158" i="11"/>
  <c r="O158" i="11"/>
  <c r="N158" i="11"/>
  <c r="M158" i="11"/>
  <c r="L158" i="11"/>
  <c r="K158" i="11"/>
  <c r="J158" i="11"/>
  <c r="U157" i="11"/>
  <c r="T157" i="11"/>
  <c r="S157" i="11"/>
  <c r="R157" i="11"/>
  <c r="Q157" i="11"/>
  <c r="P157" i="11"/>
  <c r="O157" i="11"/>
  <c r="N157" i="11"/>
  <c r="M157" i="11"/>
  <c r="L157" i="11"/>
  <c r="K157" i="11"/>
  <c r="J157" i="11"/>
  <c r="U156" i="11"/>
  <c r="T156" i="11"/>
  <c r="S156" i="11"/>
  <c r="R156" i="11"/>
  <c r="Q156" i="11"/>
  <c r="P156" i="11"/>
  <c r="O156" i="11"/>
  <c r="N156" i="11"/>
  <c r="M156" i="11"/>
  <c r="L156" i="11"/>
  <c r="K156" i="11"/>
  <c r="J156" i="11"/>
  <c r="U155" i="11"/>
  <c r="T155" i="11"/>
  <c r="S155" i="11"/>
  <c r="R155" i="11"/>
  <c r="Q155" i="11"/>
  <c r="P155" i="11"/>
  <c r="O155" i="11"/>
  <c r="N155" i="11"/>
  <c r="M155" i="11"/>
  <c r="L155" i="11"/>
  <c r="K155" i="11"/>
  <c r="J155" i="11"/>
  <c r="U154" i="11"/>
  <c r="T154" i="11"/>
  <c r="S154" i="11"/>
  <c r="R154" i="11"/>
  <c r="Q154" i="11"/>
  <c r="P154" i="11"/>
  <c r="O154" i="11"/>
  <c r="N154" i="11"/>
  <c r="M154" i="11"/>
  <c r="L154" i="11"/>
  <c r="K154" i="11"/>
  <c r="J154" i="11"/>
  <c r="U153" i="11"/>
  <c r="T153" i="11"/>
  <c r="S153" i="11"/>
  <c r="R153" i="11"/>
  <c r="Q153" i="11"/>
  <c r="P153" i="11"/>
  <c r="O153" i="11"/>
  <c r="N153" i="11"/>
  <c r="M153" i="11"/>
  <c r="L153" i="11"/>
  <c r="K153" i="11"/>
  <c r="J153" i="11"/>
  <c r="U152" i="11"/>
  <c r="T152" i="11"/>
  <c r="S152" i="11"/>
  <c r="R152" i="11"/>
  <c r="Q152" i="11"/>
  <c r="P152" i="11"/>
  <c r="O152" i="11"/>
  <c r="N152" i="11"/>
  <c r="M152" i="11"/>
  <c r="L152" i="11"/>
  <c r="K152" i="11"/>
  <c r="J152" i="11"/>
  <c r="U151" i="11"/>
  <c r="T151" i="11"/>
  <c r="S151" i="11"/>
  <c r="R151" i="11"/>
  <c r="Q151" i="11"/>
  <c r="P151" i="11"/>
  <c r="O151" i="11"/>
  <c r="N151" i="11"/>
  <c r="M151" i="11"/>
  <c r="L151" i="11"/>
  <c r="K151" i="11"/>
  <c r="J151" i="11"/>
  <c r="U150" i="11"/>
  <c r="T150" i="11"/>
  <c r="S150" i="11"/>
  <c r="R150" i="11"/>
  <c r="Q150" i="11"/>
  <c r="P150" i="11"/>
  <c r="O150" i="11"/>
  <c r="N150" i="11"/>
  <c r="M150" i="11"/>
  <c r="L150" i="11"/>
  <c r="K150" i="11"/>
  <c r="J150" i="11"/>
  <c r="U149" i="11"/>
  <c r="T149" i="11"/>
  <c r="S149" i="11"/>
  <c r="R149" i="11"/>
  <c r="Q149" i="11"/>
  <c r="P149" i="11"/>
  <c r="O149" i="11"/>
  <c r="N149" i="11"/>
  <c r="M149" i="11"/>
  <c r="L149" i="11"/>
  <c r="K149" i="11"/>
  <c r="J149" i="11"/>
  <c r="U148" i="11"/>
  <c r="T148" i="11"/>
  <c r="S148" i="11"/>
  <c r="R148" i="11"/>
  <c r="Q148" i="11"/>
  <c r="P148" i="11"/>
  <c r="O148" i="11"/>
  <c r="N148" i="11"/>
  <c r="M148" i="11"/>
  <c r="L148" i="11"/>
  <c r="K148" i="11"/>
  <c r="J148" i="11"/>
  <c r="U147" i="11"/>
  <c r="T147" i="11"/>
  <c r="S147" i="11"/>
  <c r="R147" i="11"/>
  <c r="Q147" i="11"/>
  <c r="P147" i="11"/>
  <c r="O147" i="11"/>
  <c r="N147" i="11"/>
  <c r="M147" i="11"/>
  <c r="L147" i="11"/>
  <c r="K147" i="11"/>
  <c r="J147" i="11"/>
  <c r="U146" i="11"/>
  <c r="T146" i="11"/>
  <c r="S146" i="11"/>
  <c r="R146" i="11"/>
  <c r="Q146" i="11"/>
  <c r="P146" i="11"/>
  <c r="O146" i="11"/>
  <c r="N146" i="11"/>
  <c r="M146" i="11"/>
  <c r="L146" i="11"/>
  <c r="K146" i="11"/>
  <c r="J146" i="11"/>
  <c r="U145" i="11"/>
  <c r="T145" i="11"/>
  <c r="S145" i="11"/>
  <c r="R145" i="11"/>
  <c r="Q145" i="11"/>
  <c r="P145" i="11"/>
  <c r="O145" i="11"/>
  <c r="N145" i="11"/>
  <c r="M145" i="11"/>
  <c r="L145" i="11"/>
  <c r="K145" i="11"/>
  <c r="J145" i="11"/>
  <c r="U144" i="11"/>
  <c r="T144" i="11"/>
  <c r="S144" i="11"/>
  <c r="R144" i="11"/>
  <c r="Q144" i="11"/>
  <c r="P144" i="11"/>
  <c r="O144" i="11"/>
  <c r="N144" i="11"/>
  <c r="M144" i="11"/>
  <c r="L144" i="11"/>
  <c r="K144" i="11"/>
  <c r="J144" i="11"/>
  <c r="U143" i="11"/>
  <c r="T143" i="11"/>
  <c r="S143" i="11"/>
  <c r="R143" i="11"/>
  <c r="Q143" i="11"/>
  <c r="P143" i="11"/>
  <c r="O143" i="11"/>
  <c r="N143" i="11"/>
  <c r="M143" i="11"/>
  <c r="L143" i="11"/>
  <c r="K143" i="11"/>
  <c r="J143" i="11"/>
  <c r="U142" i="11"/>
  <c r="T142" i="11"/>
  <c r="S142" i="11"/>
  <c r="R142" i="11"/>
  <c r="Q142" i="11"/>
  <c r="P142" i="11"/>
  <c r="O142" i="11"/>
  <c r="N142" i="11"/>
  <c r="M142" i="11"/>
  <c r="L142" i="11"/>
  <c r="K142" i="11"/>
  <c r="J142" i="11"/>
  <c r="U141" i="11"/>
  <c r="T141" i="11"/>
  <c r="S141" i="11"/>
  <c r="R141" i="11"/>
  <c r="Q141" i="11"/>
  <c r="P141" i="11"/>
  <c r="O141" i="11"/>
  <c r="N141" i="11"/>
  <c r="M141" i="11"/>
  <c r="L141" i="11"/>
  <c r="K141" i="11"/>
  <c r="J141" i="11"/>
  <c r="U140" i="11"/>
  <c r="T140" i="11"/>
  <c r="S140" i="11"/>
  <c r="R140" i="11"/>
  <c r="Q140" i="11"/>
  <c r="P140" i="11"/>
  <c r="O140" i="11"/>
  <c r="N140" i="11"/>
  <c r="M140" i="11"/>
  <c r="L140" i="11"/>
  <c r="K140" i="11"/>
  <c r="J140" i="11"/>
  <c r="U139" i="11"/>
  <c r="T139" i="11"/>
  <c r="S139" i="11"/>
  <c r="R139" i="11"/>
  <c r="Q139" i="11"/>
  <c r="P139" i="11"/>
  <c r="O139" i="11"/>
  <c r="N139" i="11"/>
  <c r="M139" i="11"/>
  <c r="L139" i="11"/>
  <c r="K139" i="11"/>
  <c r="J139" i="11"/>
  <c r="U138" i="11"/>
  <c r="T138" i="11"/>
  <c r="S138" i="11"/>
  <c r="R138" i="11"/>
  <c r="Q138" i="11"/>
  <c r="P138" i="11"/>
  <c r="O138" i="11"/>
  <c r="N138" i="11"/>
  <c r="M138" i="11"/>
  <c r="L138" i="11"/>
  <c r="K138" i="11"/>
  <c r="J138" i="11"/>
  <c r="U137" i="11"/>
  <c r="T137" i="11"/>
  <c r="S137" i="11"/>
  <c r="R137" i="11"/>
  <c r="Q137" i="11"/>
  <c r="P137" i="11"/>
  <c r="O137" i="11"/>
  <c r="N137" i="11"/>
  <c r="M137" i="11"/>
  <c r="L137" i="11"/>
  <c r="K137" i="11"/>
  <c r="J137" i="11"/>
  <c r="U136" i="11"/>
  <c r="T136" i="11"/>
  <c r="S136" i="11"/>
  <c r="R136" i="11"/>
  <c r="Q136" i="11"/>
  <c r="P136" i="11"/>
  <c r="O136" i="11"/>
  <c r="N136" i="11"/>
  <c r="M136" i="11"/>
  <c r="L136" i="11"/>
  <c r="K136" i="11"/>
  <c r="J136" i="11"/>
  <c r="U135" i="11"/>
  <c r="T135" i="11"/>
  <c r="S135" i="11"/>
  <c r="R135" i="11"/>
  <c r="Q135" i="11"/>
  <c r="P135" i="11"/>
  <c r="O135" i="11"/>
  <c r="N135" i="11"/>
  <c r="M135" i="11"/>
  <c r="L135" i="11"/>
  <c r="K135" i="11"/>
  <c r="J135" i="11"/>
  <c r="U134" i="11"/>
  <c r="T134" i="11"/>
  <c r="S134" i="11"/>
  <c r="R134" i="11"/>
  <c r="Q134" i="11"/>
  <c r="P134" i="11"/>
  <c r="O134" i="11"/>
  <c r="N134" i="11"/>
  <c r="M134" i="11"/>
  <c r="L134" i="11"/>
  <c r="K134" i="11"/>
  <c r="J134" i="11"/>
  <c r="U133" i="11"/>
  <c r="T133" i="11"/>
  <c r="S133" i="11"/>
  <c r="R133" i="11"/>
  <c r="Q133" i="11"/>
  <c r="P133" i="11"/>
  <c r="O133" i="11"/>
  <c r="N133" i="11"/>
  <c r="M133" i="11"/>
  <c r="L133" i="11"/>
  <c r="K133" i="11"/>
  <c r="J133" i="11"/>
  <c r="U132" i="11"/>
  <c r="T132" i="11"/>
  <c r="S132" i="11"/>
  <c r="R132" i="11"/>
  <c r="Q132" i="11"/>
  <c r="P132" i="11"/>
  <c r="O132" i="11"/>
  <c r="N132" i="11"/>
  <c r="M132" i="11"/>
  <c r="L132" i="11"/>
  <c r="K132" i="11"/>
  <c r="J132" i="11"/>
  <c r="U131" i="11"/>
  <c r="T131" i="11"/>
  <c r="S131" i="11"/>
  <c r="R131" i="11"/>
  <c r="Q131" i="11"/>
  <c r="P131" i="11"/>
  <c r="O131" i="11"/>
  <c r="N131" i="11"/>
  <c r="M131" i="11"/>
  <c r="L131" i="11"/>
  <c r="K131" i="11"/>
  <c r="J131" i="11"/>
  <c r="U130" i="11"/>
  <c r="T130" i="11"/>
  <c r="S130" i="11"/>
  <c r="R130" i="11"/>
  <c r="Q130" i="11"/>
  <c r="P130" i="11"/>
  <c r="O130" i="11"/>
  <c r="N130" i="11"/>
  <c r="M130" i="11"/>
  <c r="L130" i="11"/>
  <c r="K130" i="11"/>
  <c r="J130" i="11"/>
  <c r="U129" i="11"/>
  <c r="T129" i="11"/>
  <c r="S129" i="11"/>
  <c r="R129" i="11"/>
  <c r="Q129" i="11"/>
  <c r="P129" i="11"/>
  <c r="O129" i="11"/>
  <c r="N129" i="11"/>
  <c r="M129" i="11"/>
  <c r="L129" i="11"/>
  <c r="K129" i="11"/>
  <c r="J129" i="11"/>
  <c r="U128" i="11"/>
  <c r="T128" i="11"/>
  <c r="S128" i="11"/>
  <c r="R128" i="11"/>
  <c r="Q128" i="11"/>
  <c r="P128" i="11"/>
  <c r="O128" i="11"/>
  <c r="N128" i="11"/>
  <c r="M128" i="11"/>
  <c r="L128" i="11"/>
  <c r="K128" i="11"/>
  <c r="J128" i="11"/>
  <c r="U127" i="11"/>
  <c r="T127" i="11"/>
  <c r="S127" i="11"/>
  <c r="R127" i="11"/>
  <c r="Q127" i="11"/>
  <c r="P127" i="11"/>
  <c r="O127" i="11"/>
  <c r="N127" i="11"/>
  <c r="M127" i="11"/>
  <c r="L127" i="11"/>
  <c r="K127" i="11"/>
  <c r="J127" i="11"/>
  <c r="U126" i="11"/>
  <c r="T126" i="11"/>
  <c r="S126" i="11"/>
  <c r="R126" i="11"/>
  <c r="Q126" i="11"/>
  <c r="P126" i="11"/>
  <c r="O126" i="11"/>
  <c r="N126" i="11"/>
  <c r="M126" i="11"/>
  <c r="L126" i="11"/>
  <c r="K126" i="11"/>
  <c r="J126" i="11"/>
  <c r="U125" i="11"/>
  <c r="T125" i="11"/>
  <c r="S125" i="11"/>
  <c r="R125" i="11"/>
  <c r="Q125" i="11"/>
  <c r="P125" i="11"/>
  <c r="O125" i="11"/>
  <c r="N125" i="11"/>
  <c r="M125" i="11"/>
  <c r="L125" i="11"/>
  <c r="K125" i="11"/>
  <c r="J125" i="11"/>
  <c r="U124" i="11"/>
  <c r="T124" i="11"/>
  <c r="S124" i="11"/>
  <c r="R124" i="11"/>
  <c r="Q124" i="11"/>
  <c r="P124" i="11"/>
  <c r="O124" i="11"/>
  <c r="N124" i="11"/>
  <c r="M124" i="11"/>
  <c r="L124" i="11"/>
  <c r="K124" i="11"/>
  <c r="J124" i="11"/>
  <c r="U123" i="11"/>
  <c r="T123" i="11"/>
  <c r="S123" i="11"/>
  <c r="R123" i="11"/>
  <c r="Q123" i="11"/>
  <c r="P123" i="11"/>
  <c r="O123" i="11"/>
  <c r="N123" i="11"/>
  <c r="M123" i="11"/>
  <c r="L123" i="11"/>
  <c r="K123" i="11"/>
  <c r="J123" i="11"/>
  <c r="U122" i="11"/>
  <c r="T122" i="11"/>
  <c r="S122" i="11"/>
  <c r="R122" i="11"/>
  <c r="Q122" i="11"/>
  <c r="P122" i="11"/>
  <c r="O122" i="11"/>
  <c r="N122" i="11"/>
  <c r="M122" i="11"/>
  <c r="L122" i="11"/>
  <c r="K122" i="11"/>
  <c r="J122" i="11"/>
  <c r="U121" i="11"/>
  <c r="T121" i="11"/>
  <c r="S121" i="11"/>
  <c r="R121" i="11"/>
  <c r="Q121" i="11"/>
  <c r="P121" i="11"/>
  <c r="O121" i="11"/>
  <c r="N121" i="11"/>
  <c r="M121" i="11"/>
  <c r="L121" i="11"/>
  <c r="K121" i="11"/>
  <c r="J121" i="11"/>
  <c r="U120" i="11"/>
  <c r="T120" i="11"/>
  <c r="S120" i="11"/>
  <c r="R120" i="11"/>
  <c r="Q120" i="11"/>
  <c r="P120" i="11"/>
  <c r="O120" i="11"/>
  <c r="N120" i="11"/>
  <c r="M120" i="11"/>
  <c r="L120" i="11"/>
  <c r="K120" i="11"/>
  <c r="J120" i="11"/>
  <c r="U119" i="11"/>
  <c r="T119" i="11"/>
  <c r="S119" i="11"/>
  <c r="R119" i="11"/>
  <c r="Q119" i="11"/>
  <c r="P119" i="11"/>
  <c r="O119" i="11"/>
  <c r="N119" i="11"/>
  <c r="M119" i="11"/>
  <c r="L119" i="11"/>
  <c r="K119" i="11"/>
  <c r="J119" i="11"/>
  <c r="U118" i="11"/>
  <c r="T118" i="11"/>
  <c r="S118" i="11"/>
  <c r="R118" i="11"/>
  <c r="Q118" i="11"/>
  <c r="P118" i="11"/>
  <c r="O118" i="11"/>
  <c r="N118" i="11"/>
  <c r="M118" i="11"/>
  <c r="L118" i="11"/>
  <c r="K118" i="11"/>
  <c r="J118" i="11"/>
  <c r="U117" i="11"/>
  <c r="T117" i="11"/>
  <c r="S117" i="11"/>
  <c r="R117" i="11"/>
  <c r="Q117" i="11"/>
  <c r="P117" i="11"/>
  <c r="O117" i="11"/>
  <c r="N117" i="11"/>
  <c r="M117" i="11"/>
  <c r="L117" i="11"/>
  <c r="K117" i="11"/>
  <c r="J117" i="11"/>
  <c r="U116" i="11"/>
  <c r="T116" i="11"/>
  <c r="S116" i="11"/>
  <c r="R116" i="11"/>
  <c r="Q116" i="11"/>
  <c r="P116" i="11"/>
  <c r="O116" i="11"/>
  <c r="N116" i="11"/>
  <c r="M116" i="11"/>
  <c r="L116" i="11"/>
  <c r="K116" i="11"/>
  <c r="J116" i="11"/>
  <c r="U115" i="11"/>
  <c r="T115" i="11"/>
  <c r="S115" i="11"/>
  <c r="R115" i="11"/>
  <c r="Q115" i="11"/>
  <c r="P115" i="11"/>
  <c r="O115" i="11"/>
  <c r="N115" i="11"/>
  <c r="M115" i="11"/>
  <c r="L115" i="11"/>
  <c r="K115" i="11"/>
  <c r="J115" i="11"/>
  <c r="U114" i="11"/>
  <c r="T114" i="11"/>
  <c r="S114" i="11"/>
  <c r="R114" i="11"/>
  <c r="Q114" i="11"/>
  <c r="P114" i="11"/>
  <c r="O114" i="11"/>
  <c r="N114" i="11"/>
  <c r="M114" i="11"/>
  <c r="L114" i="11"/>
  <c r="K114" i="11"/>
  <c r="J114" i="11"/>
  <c r="U113" i="11"/>
  <c r="T113" i="11"/>
  <c r="S113" i="11"/>
  <c r="R113" i="11"/>
  <c r="Q113" i="11"/>
  <c r="P113" i="11"/>
  <c r="O113" i="11"/>
  <c r="N113" i="11"/>
  <c r="M113" i="11"/>
  <c r="L113" i="11"/>
  <c r="K113" i="11"/>
  <c r="J113" i="11"/>
  <c r="U112" i="11"/>
  <c r="T112" i="11"/>
  <c r="S112" i="11"/>
  <c r="R112" i="11"/>
  <c r="Q112" i="11"/>
  <c r="P112" i="11"/>
  <c r="O112" i="11"/>
  <c r="N112" i="11"/>
  <c r="M112" i="11"/>
  <c r="L112" i="11"/>
  <c r="K112" i="11"/>
  <c r="J112" i="11"/>
  <c r="U111" i="11"/>
  <c r="T111" i="11"/>
  <c r="S111" i="11"/>
  <c r="R111" i="11"/>
  <c r="Q111" i="11"/>
  <c r="P111" i="11"/>
  <c r="O111" i="11"/>
  <c r="N111" i="11"/>
  <c r="M111" i="11"/>
  <c r="L111" i="11"/>
  <c r="K111" i="11"/>
  <c r="J111" i="11"/>
  <c r="U110" i="11"/>
  <c r="T110" i="11"/>
  <c r="S110" i="11"/>
  <c r="R110" i="11"/>
  <c r="Q110" i="11"/>
  <c r="P110" i="11"/>
  <c r="O110" i="11"/>
  <c r="N110" i="11"/>
  <c r="M110" i="11"/>
  <c r="L110" i="11"/>
  <c r="K110" i="11"/>
  <c r="J110" i="11"/>
  <c r="U109" i="11"/>
  <c r="T109" i="11"/>
  <c r="S109" i="11"/>
  <c r="R109" i="11"/>
  <c r="Q109" i="11"/>
  <c r="P109" i="11"/>
  <c r="O109" i="11"/>
  <c r="N109" i="11"/>
  <c r="M109" i="11"/>
  <c r="L109" i="11"/>
  <c r="K109" i="11"/>
  <c r="J109" i="11"/>
  <c r="U108" i="11"/>
  <c r="T108" i="11"/>
  <c r="S108" i="11"/>
  <c r="R108" i="11"/>
  <c r="Q108" i="11"/>
  <c r="P108" i="11"/>
  <c r="O108" i="11"/>
  <c r="N108" i="11"/>
  <c r="M108" i="11"/>
  <c r="L108" i="11"/>
  <c r="K108" i="11"/>
  <c r="J108" i="11"/>
  <c r="U107" i="11"/>
  <c r="T107" i="11"/>
  <c r="S107" i="11"/>
  <c r="R107" i="11"/>
  <c r="Q107" i="11"/>
  <c r="P107" i="11"/>
  <c r="O107" i="11"/>
  <c r="N107" i="11"/>
  <c r="M107" i="11"/>
  <c r="L107" i="11"/>
  <c r="K107" i="11"/>
  <c r="J107" i="11"/>
  <c r="U106" i="11"/>
  <c r="T106" i="11"/>
  <c r="S106" i="11"/>
  <c r="R106" i="11"/>
  <c r="Q106" i="11"/>
  <c r="P106" i="11"/>
  <c r="O106" i="11"/>
  <c r="N106" i="11"/>
  <c r="M106" i="11"/>
  <c r="L106" i="11"/>
  <c r="K106" i="11"/>
  <c r="J106" i="11"/>
  <c r="U105" i="11"/>
  <c r="T105" i="11"/>
  <c r="S105" i="11"/>
  <c r="R105" i="11"/>
  <c r="Q105" i="11"/>
  <c r="P105" i="11"/>
  <c r="O105" i="11"/>
  <c r="N105" i="11"/>
  <c r="M105" i="11"/>
  <c r="L105" i="11"/>
  <c r="K105" i="11"/>
  <c r="J105" i="11"/>
  <c r="U104" i="11"/>
  <c r="T104" i="11"/>
  <c r="S104" i="11"/>
  <c r="R104" i="11"/>
  <c r="Q104" i="11"/>
  <c r="P104" i="11"/>
  <c r="O104" i="11"/>
  <c r="N104" i="11"/>
  <c r="M104" i="11"/>
  <c r="L104" i="11"/>
  <c r="K104" i="11"/>
  <c r="J104" i="11"/>
  <c r="U103" i="11"/>
  <c r="T103" i="11"/>
  <c r="S103" i="11"/>
  <c r="R103" i="11"/>
  <c r="Q103" i="11"/>
  <c r="P103" i="11"/>
  <c r="O103" i="11"/>
  <c r="N103" i="11"/>
  <c r="M103" i="11"/>
  <c r="L103" i="11"/>
  <c r="K103" i="11"/>
  <c r="J103" i="11"/>
  <c r="U102" i="11"/>
  <c r="T102" i="11"/>
  <c r="S102" i="11"/>
  <c r="R102" i="11"/>
  <c r="Q102" i="11"/>
  <c r="P102" i="11"/>
  <c r="O102" i="11"/>
  <c r="N102" i="11"/>
  <c r="M102" i="11"/>
  <c r="L102" i="11"/>
  <c r="K102" i="11"/>
  <c r="J102" i="11"/>
  <c r="U101" i="11"/>
  <c r="T101" i="11"/>
  <c r="S101" i="11"/>
  <c r="R101" i="11"/>
  <c r="Q101" i="11"/>
  <c r="P101" i="11"/>
  <c r="O101" i="11"/>
  <c r="N101" i="11"/>
  <c r="M101" i="11"/>
  <c r="L101" i="11"/>
  <c r="K101" i="11"/>
  <c r="J101" i="11"/>
  <c r="U100" i="11"/>
  <c r="T100" i="11"/>
  <c r="S100" i="11"/>
  <c r="R100" i="11"/>
  <c r="Q100" i="11"/>
  <c r="P100" i="11"/>
  <c r="O100" i="11"/>
  <c r="N100" i="11"/>
  <c r="M100" i="11"/>
  <c r="L100" i="11"/>
  <c r="K100" i="11"/>
  <c r="J100" i="11"/>
  <c r="U99" i="11"/>
  <c r="T99" i="11"/>
  <c r="S99" i="11"/>
  <c r="R99" i="11"/>
  <c r="Q99" i="11"/>
  <c r="P99" i="11"/>
  <c r="O99" i="11"/>
  <c r="N99" i="11"/>
  <c r="M99" i="11"/>
  <c r="L99" i="11"/>
  <c r="K99" i="11"/>
  <c r="J99" i="11"/>
  <c r="U98" i="11"/>
  <c r="T98" i="11"/>
  <c r="S98" i="11"/>
  <c r="R98" i="11"/>
  <c r="Q98" i="11"/>
  <c r="P98" i="11"/>
  <c r="O98" i="11"/>
  <c r="N98" i="11"/>
  <c r="M98" i="11"/>
  <c r="L98" i="11"/>
  <c r="K98" i="11"/>
  <c r="J98" i="11"/>
  <c r="U97" i="11"/>
  <c r="T97" i="11"/>
  <c r="S97" i="11"/>
  <c r="R97" i="11"/>
  <c r="Q97" i="11"/>
  <c r="P97" i="11"/>
  <c r="O97" i="11"/>
  <c r="N97" i="11"/>
  <c r="M97" i="11"/>
  <c r="L97" i="11"/>
  <c r="K97" i="11"/>
  <c r="J97" i="11"/>
  <c r="U96" i="11"/>
  <c r="T96" i="11"/>
  <c r="S96" i="11"/>
  <c r="R96" i="11"/>
  <c r="Q96" i="11"/>
  <c r="P96" i="11"/>
  <c r="O96" i="11"/>
  <c r="N96" i="11"/>
  <c r="M96" i="11"/>
  <c r="L96" i="11"/>
  <c r="K96" i="11"/>
  <c r="J96" i="11"/>
  <c r="D35" i="32"/>
  <c r="D62" i="32"/>
  <c r="D63" i="32"/>
  <c r="D66" i="32"/>
  <c r="D67" i="32"/>
  <c r="D70" i="32"/>
  <c r="D71" i="32"/>
  <c r="D74" i="32"/>
  <c r="D75" i="32"/>
  <c r="D34" i="32"/>
  <c r="C61" i="32"/>
  <c r="D61" i="32" s="1"/>
  <c r="C62" i="32"/>
  <c r="C63" i="32"/>
  <c r="C64" i="32"/>
  <c r="D64" i="32" s="1"/>
  <c r="C65" i="32"/>
  <c r="D65" i="32" s="1"/>
  <c r="C66" i="32"/>
  <c r="C67" i="32"/>
  <c r="C68" i="32"/>
  <c r="D68" i="32" s="1"/>
  <c r="C69" i="32"/>
  <c r="D69" i="32" s="1"/>
  <c r="C70" i="32"/>
  <c r="C71" i="32"/>
  <c r="C72" i="32"/>
  <c r="D72" i="32" s="1"/>
  <c r="C73" i="32"/>
  <c r="D73" i="32" s="1"/>
  <c r="C74" i="32"/>
  <c r="C75" i="32"/>
  <c r="C76" i="32"/>
  <c r="D76" i="32" s="1"/>
  <c r="C80" i="32"/>
  <c r="D80" i="32" s="1"/>
  <c r="C84" i="32"/>
  <c r="D84" i="32" s="1"/>
  <c r="C60" i="32"/>
  <c r="D60" i="32" s="1"/>
  <c r="C36" i="32"/>
  <c r="D36" i="32" s="1"/>
  <c r="C37" i="32"/>
  <c r="D37" i="32" s="1"/>
  <c r="C38" i="32"/>
  <c r="D38" i="32" s="1"/>
  <c r="C39" i="32"/>
  <c r="D39" i="32" s="1"/>
  <c r="C40" i="32"/>
  <c r="D40" i="32" s="1"/>
  <c r="C41" i="32"/>
  <c r="D41" i="32" s="1"/>
  <c r="C42" i="32"/>
  <c r="D42" i="32" s="1"/>
  <c r="C43" i="32"/>
  <c r="D43" i="32" s="1"/>
  <c r="C44" i="32"/>
  <c r="D44" i="32" s="1"/>
  <c r="C45" i="32"/>
  <c r="D45" i="32" s="1"/>
  <c r="C46" i="32"/>
  <c r="D46" i="32" s="1"/>
  <c r="C47" i="32"/>
  <c r="D47" i="32" s="1"/>
  <c r="C48" i="32"/>
  <c r="D48" i="32" s="1"/>
  <c r="C49" i="32"/>
  <c r="D49" i="32" s="1"/>
  <c r="C50" i="32"/>
  <c r="D50" i="32" s="1"/>
  <c r="C54" i="32"/>
  <c r="D54" i="32" s="1"/>
  <c r="C58" i="32"/>
  <c r="D58" i="32" s="1"/>
  <c r="C35" i="32"/>
  <c r="C34" i="32"/>
  <c r="E84" i="32"/>
  <c r="E83" i="32"/>
  <c r="E82" i="32"/>
  <c r="E81" i="32"/>
  <c r="E80" i="32"/>
  <c r="E79" i="32"/>
  <c r="E78" i="32"/>
  <c r="E77" i="32"/>
  <c r="E76" i="32"/>
  <c r="E75" i="32"/>
  <c r="E74" i="32"/>
  <c r="E73" i="32"/>
  <c r="E72" i="32"/>
  <c r="E71" i="32"/>
  <c r="E70" i="32"/>
  <c r="E69" i="32"/>
  <c r="E68" i="32"/>
  <c r="E67" i="32"/>
  <c r="E66" i="32"/>
  <c r="E65" i="32"/>
  <c r="E64" i="32"/>
  <c r="E63" i="32"/>
  <c r="E62" i="32"/>
  <c r="E61" i="32"/>
  <c r="E60" i="32"/>
  <c r="E59" i="32"/>
  <c r="E58" i="32"/>
  <c r="E57" i="32"/>
  <c r="E56" i="32"/>
  <c r="E55" i="32"/>
  <c r="E54" i="32"/>
  <c r="E53" i="32"/>
  <c r="E52" i="32"/>
  <c r="E51" i="32"/>
  <c r="E50" i="32"/>
  <c r="E49" i="32"/>
  <c r="E48" i="32"/>
  <c r="E47" i="32"/>
  <c r="E46" i="32"/>
  <c r="E45" i="32"/>
  <c r="E44" i="32"/>
  <c r="E43" i="32"/>
  <c r="E42" i="32"/>
  <c r="E41" i="32"/>
  <c r="E40" i="32"/>
  <c r="E39" i="32"/>
  <c r="E38" i="32"/>
  <c r="E37" i="32"/>
  <c r="E36" i="32"/>
  <c r="E35" i="32"/>
  <c r="E34" i="32"/>
  <c r="I300" i="11"/>
  <c r="H300" i="11"/>
  <c r="G300" i="11"/>
  <c r="F300" i="11"/>
  <c r="I299" i="11"/>
  <c r="H299" i="11"/>
  <c r="G299" i="11"/>
  <c r="F299" i="11"/>
  <c r="I298" i="11"/>
  <c r="H298" i="11"/>
  <c r="G298" i="11"/>
  <c r="F298" i="11"/>
  <c r="I297" i="11"/>
  <c r="H297" i="11"/>
  <c r="G297" i="11"/>
  <c r="F297" i="11"/>
  <c r="I296" i="11"/>
  <c r="H296" i="11"/>
  <c r="G296" i="11"/>
  <c r="F296" i="11"/>
  <c r="I295" i="11"/>
  <c r="H295" i="11"/>
  <c r="G295" i="11"/>
  <c r="F295" i="11"/>
  <c r="I294" i="11"/>
  <c r="H294" i="11"/>
  <c r="G294" i="11"/>
  <c r="F294" i="11"/>
  <c r="I293" i="11"/>
  <c r="H293" i="11"/>
  <c r="G293" i="11"/>
  <c r="F293" i="11"/>
  <c r="I292" i="11"/>
  <c r="H292" i="11"/>
  <c r="G292" i="11"/>
  <c r="F292" i="11"/>
  <c r="I291" i="11"/>
  <c r="H291" i="11"/>
  <c r="G291" i="11"/>
  <c r="F291" i="11"/>
  <c r="I290" i="11"/>
  <c r="H290" i="11"/>
  <c r="G290" i="11"/>
  <c r="F290" i="11"/>
  <c r="I289" i="11"/>
  <c r="H289" i="11"/>
  <c r="G289" i="11"/>
  <c r="F289" i="11"/>
  <c r="I288" i="11"/>
  <c r="H288" i="11"/>
  <c r="G288" i="11"/>
  <c r="F288" i="11"/>
  <c r="I287" i="11"/>
  <c r="H287" i="11"/>
  <c r="G287" i="11"/>
  <c r="F287" i="11"/>
  <c r="I286" i="11"/>
  <c r="H286" i="11"/>
  <c r="G286" i="11"/>
  <c r="F286" i="11"/>
  <c r="I285" i="11"/>
  <c r="H285" i="11"/>
  <c r="G285" i="11"/>
  <c r="F285" i="11"/>
  <c r="I284" i="11"/>
  <c r="H284" i="11"/>
  <c r="G284" i="11"/>
  <c r="F284" i="11"/>
  <c r="I283" i="11"/>
  <c r="H283" i="11"/>
  <c r="G283" i="11"/>
  <c r="F283" i="11"/>
  <c r="I282" i="11"/>
  <c r="H282" i="11"/>
  <c r="G282" i="11"/>
  <c r="F282" i="11"/>
  <c r="I281" i="11"/>
  <c r="H281" i="11"/>
  <c r="G281" i="11"/>
  <c r="F281" i="11"/>
  <c r="I280" i="11"/>
  <c r="H280" i="11"/>
  <c r="G280" i="11"/>
  <c r="F280" i="11"/>
  <c r="I279" i="11"/>
  <c r="H279" i="11"/>
  <c r="G279" i="11"/>
  <c r="F279" i="11"/>
  <c r="I278" i="11"/>
  <c r="H278" i="11"/>
  <c r="G278" i="11"/>
  <c r="F278" i="11"/>
  <c r="I277" i="11"/>
  <c r="H277" i="11"/>
  <c r="G277" i="11"/>
  <c r="F277" i="11"/>
  <c r="I276" i="11"/>
  <c r="H276" i="11"/>
  <c r="G276" i="11"/>
  <c r="F276" i="11"/>
  <c r="I275" i="11"/>
  <c r="H275" i="11"/>
  <c r="G275" i="11"/>
  <c r="F275" i="11"/>
  <c r="I274" i="11"/>
  <c r="H274" i="11"/>
  <c r="G274" i="11"/>
  <c r="F274" i="11"/>
  <c r="I273" i="11"/>
  <c r="H273" i="11"/>
  <c r="G273" i="11"/>
  <c r="F273" i="11"/>
  <c r="I272" i="11"/>
  <c r="H272" i="11"/>
  <c r="G272" i="11"/>
  <c r="F272" i="11"/>
  <c r="I271" i="11"/>
  <c r="H271" i="11"/>
  <c r="G271" i="11"/>
  <c r="F271" i="11"/>
  <c r="I270" i="11"/>
  <c r="H270" i="11"/>
  <c r="G270" i="11"/>
  <c r="F270" i="11"/>
  <c r="I269" i="11"/>
  <c r="H269" i="11"/>
  <c r="G269" i="11"/>
  <c r="F269" i="11"/>
  <c r="I268" i="11"/>
  <c r="H268" i="11"/>
  <c r="G268" i="11"/>
  <c r="F268" i="11"/>
  <c r="I267" i="11"/>
  <c r="H267" i="11"/>
  <c r="G267" i="11"/>
  <c r="F267" i="11"/>
  <c r="I266" i="11"/>
  <c r="H266" i="11"/>
  <c r="G266" i="11"/>
  <c r="F266" i="11"/>
  <c r="I265" i="11"/>
  <c r="H265" i="11"/>
  <c r="G265" i="11"/>
  <c r="F265" i="11"/>
  <c r="I264" i="11"/>
  <c r="H264" i="11"/>
  <c r="G264" i="11"/>
  <c r="F264" i="11"/>
  <c r="I263" i="11"/>
  <c r="H263" i="11"/>
  <c r="G263" i="11"/>
  <c r="F263" i="11"/>
  <c r="I262" i="11"/>
  <c r="H262" i="11"/>
  <c r="G262" i="11"/>
  <c r="F262" i="11"/>
  <c r="I261" i="11"/>
  <c r="H261" i="11"/>
  <c r="G261" i="11"/>
  <c r="F261" i="11"/>
  <c r="I260" i="11"/>
  <c r="H260" i="11"/>
  <c r="G260" i="11"/>
  <c r="F260" i="11"/>
  <c r="I259" i="11"/>
  <c r="H259" i="11"/>
  <c r="G259" i="11"/>
  <c r="F259" i="11"/>
  <c r="I258" i="11"/>
  <c r="H258" i="11"/>
  <c r="G258" i="11"/>
  <c r="F258" i="11"/>
  <c r="I257" i="11"/>
  <c r="H257" i="11"/>
  <c r="G257" i="11"/>
  <c r="F257" i="11"/>
  <c r="I256" i="11"/>
  <c r="H256" i="11"/>
  <c r="G256" i="11"/>
  <c r="F256" i="11"/>
  <c r="I255" i="11"/>
  <c r="H255" i="11"/>
  <c r="G255" i="11"/>
  <c r="F255" i="11"/>
  <c r="I254" i="11"/>
  <c r="H254" i="11"/>
  <c r="G254" i="11"/>
  <c r="F254" i="11"/>
  <c r="I253" i="11"/>
  <c r="H253" i="11"/>
  <c r="G253" i="11"/>
  <c r="F253" i="11"/>
  <c r="I252" i="11"/>
  <c r="H252" i="11"/>
  <c r="G252" i="11"/>
  <c r="F252" i="11"/>
  <c r="I251" i="11"/>
  <c r="H251" i="11"/>
  <c r="G251" i="11"/>
  <c r="F251" i="11"/>
  <c r="I250" i="11"/>
  <c r="H250" i="11"/>
  <c r="G250" i="11"/>
  <c r="F250" i="11"/>
  <c r="I249" i="11"/>
  <c r="H249" i="11"/>
  <c r="G249" i="11"/>
  <c r="F249" i="11"/>
  <c r="I248" i="11"/>
  <c r="H248" i="11"/>
  <c r="G248" i="11"/>
  <c r="F248" i="11"/>
  <c r="I247" i="11"/>
  <c r="H247" i="11"/>
  <c r="G247" i="11"/>
  <c r="F247" i="11"/>
  <c r="I246" i="11"/>
  <c r="H246" i="11"/>
  <c r="G246" i="11"/>
  <c r="F246" i="11"/>
  <c r="I245" i="11"/>
  <c r="H245" i="11"/>
  <c r="G245" i="11"/>
  <c r="F245" i="11"/>
  <c r="I244" i="11"/>
  <c r="H244" i="11"/>
  <c r="G244" i="11"/>
  <c r="F244" i="11"/>
  <c r="I243" i="11"/>
  <c r="H243" i="11"/>
  <c r="G243" i="11"/>
  <c r="F243" i="11"/>
  <c r="I242" i="11"/>
  <c r="H242" i="11"/>
  <c r="G242" i="11"/>
  <c r="F242" i="11"/>
  <c r="I241" i="11"/>
  <c r="H241" i="11"/>
  <c r="G241" i="11"/>
  <c r="F241" i="11"/>
  <c r="I240" i="11"/>
  <c r="H240" i="11"/>
  <c r="G240" i="11"/>
  <c r="F240" i="11"/>
  <c r="I239" i="11"/>
  <c r="H239" i="11"/>
  <c r="G239" i="11"/>
  <c r="F239" i="11"/>
  <c r="I238" i="11"/>
  <c r="H238" i="11"/>
  <c r="G238" i="11"/>
  <c r="F238" i="11"/>
  <c r="I237" i="11"/>
  <c r="H237" i="11"/>
  <c r="G237" i="11"/>
  <c r="F237" i="11"/>
  <c r="I236" i="11"/>
  <c r="H236" i="11"/>
  <c r="G236" i="11"/>
  <c r="F236" i="11"/>
  <c r="I235" i="11"/>
  <c r="H235" i="11"/>
  <c r="G235" i="11"/>
  <c r="F235" i="11"/>
  <c r="I234" i="11"/>
  <c r="H234" i="11"/>
  <c r="G234" i="11"/>
  <c r="F234" i="11"/>
  <c r="I233" i="11"/>
  <c r="H233" i="11"/>
  <c r="G233" i="11"/>
  <c r="F233" i="11"/>
  <c r="I232" i="11"/>
  <c r="H232" i="11"/>
  <c r="G232" i="11"/>
  <c r="F232" i="11"/>
  <c r="I231" i="11"/>
  <c r="H231" i="11"/>
  <c r="G231" i="11"/>
  <c r="F231" i="11"/>
  <c r="I230" i="11"/>
  <c r="H230" i="11"/>
  <c r="G230" i="11"/>
  <c r="F230" i="11"/>
  <c r="I229" i="11"/>
  <c r="H229" i="11"/>
  <c r="G229" i="11"/>
  <c r="F229" i="11"/>
  <c r="I228" i="11"/>
  <c r="H228" i="11"/>
  <c r="G228" i="11"/>
  <c r="F228" i="11"/>
  <c r="I227" i="11"/>
  <c r="H227" i="11"/>
  <c r="G227" i="11"/>
  <c r="F227" i="11"/>
  <c r="I226" i="11"/>
  <c r="H226" i="11"/>
  <c r="G226" i="11"/>
  <c r="F226" i="11"/>
  <c r="I225" i="11"/>
  <c r="H225" i="11"/>
  <c r="G225" i="11"/>
  <c r="F225" i="11"/>
  <c r="I224" i="11"/>
  <c r="H224" i="11"/>
  <c r="G224" i="11"/>
  <c r="F224" i="11"/>
  <c r="I223" i="11"/>
  <c r="H223" i="11"/>
  <c r="G223" i="11"/>
  <c r="F223" i="11"/>
  <c r="I222" i="11"/>
  <c r="H222" i="11"/>
  <c r="G222" i="11"/>
  <c r="F222" i="11"/>
  <c r="I221" i="11"/>
  <c r="H221" i="11"/>
  <c r="G221" i="11"/>
  <c r="F221" i="11"/>
  <c r="I220" i="11"/>
  <c r="H220" i="11"/>
  <c r="G220" i="11"/>
  <c r="F220" i="11"/>
  <c r="I219" i="11"/>
  <c r="H219" i="11"/>
  <c r="G219" i="11"/>
  <c r="F219" i="11"/>
  <c r="I218" i="11"/>
  <c r="H218" i="11"/>
  <c r="G218" i="11"/>
  <c r="F218" i="11"/>
  <c r="I217" i="11"/>
  <c r="H217" i="11"/>
  <c r="G217" i="11"/>
  <c r="F217" i="11"/>
  <c r="I216" i="11"/>
  <c r="H216" i="11"/>
  <c r="G216" i="11"/>
  <c r="F216" i="11"/>
  <c r="I215" i="11"/>
  <c r="H215" i="11"/>
  <c r="G215" i="11"/>
  <c r="F215" i="11"/>
  <c r="I214" i="11"/>
  <c r="H214" i="11"/>
  <c r="G214" i="11"/>
  <c r="F214" i="11"/>
  <c r="I213" i="11"/>
  <c r="H213" i="11"/>
  <c r="G213" i="11"/>
  <c r="F213" i="11"/>
  <c r="I212" i="11"/>
  <c r="H212" i="11"/>
  <c r="G212" i="11"/>
  <c r="F212" i="11"/>
  <c r="I211" i="11"/>
  <c r="H211" i="11"/>
  <c r="G211" i="11"/>
  <c r="F211" i="11"/>
  <c r="I210" i="11"/>
  <c r="H210" i="11"/>
  <c r="G210" i="11"/>
  <c r="F210" i="11"/>
  <c r="I209" i="11"/>
  <c r="H209" i="11"/>
  <c r="G209" i="11"/>
  <c r="F209" i="11"/>
  <c r="I208" i="11"/>
  <c r="H208" i="11"/>
  <c r="G208" i="11"/>
  <c r="F208" i="11"/>
  <c r="I207" i="11"/>
  <c r="H207" i="11"/>
  <c r="G207" i="11"/>
  <c r="F207" i="11"/>
  <c r="I206" i="11"/>
  <c r="H206" i="11"/>
  <c r="G206" i="11"/>
  <c r="F206" i="11"/>
  <c r="I205" i="11"/>
  <c r="H205" i="11"/>
  <c r="G205" i="11"/>
  <c r="F205" i="11"/>
  <c r="I204" i="11"/>
  <c r="H204" i="11"/>
  <c r="G204" i="11"/>
  <c r="F204" i="11"/>
  <c r="I203" i="11"/>
  <c r="H203" i="11"/>
  <c r="G203" i="11"/>
  <c r="F203" i="11"/>
  <c r="I202" i="11"/>
  <c r="H202" i="11"/>
  <c r="G202" i="11"/>
  <c r="F202" i="11"/>
  <c r="I201" i="11"/>
  <c r="H201" i="11"/>
  <c r="G201" i="11"/>
  <c r="F201" i="11"/>
  <c r="I200" i="11"/>
  <c r="H200" i="11"/>
  <c r="G200" i="11"/>
  <c r="F200" i="11"/>
  <c r="I199" i="11"/>
  <c r="H199" i="11"/>
  <c r="G199" i="11"/>
  <c r="F199" i="11"/>
  <c r="I198" i="11"/>
  <c r="H198" i="11"/>
  <c r="G198" i="11"/>
  <c r="F198" i="11"/>
  <c r="I197" i="11"/>
  <c r="H197" i="11"/>
  <c r="G197" i="11"/>
  <c r="F197" i="11"/>
  <c r="I196" i="11"/>
  <c r="H196" i="11"/>
  <c r="G196" i="11"/>
  <c r="F196" i="11"/>
  <c r="I195" i="11"/>
  <c r="H195" i="11"/>
  <c r="G195" i="11"/>
  <c r="F195" i="11"/>
  <c r="I194" i="11"/>
  <c r="H194" i="11"/>
  <c r="G194" i="11"/>
  <c r="F194" i="11"/>
  <c r="I193" i="11"/>
  <c r="H193" i="11"/>
  <c r="G193" i="11"/>
  <c r="F193" i="11"/>
  <c r="I192" i="11"/>
  <c r="H192" i="11"/>
  <c r="G192" i="11"/>
  <c r="F192" i="11"/>
  <c r="I191" i="11"/>
  <c r="H191" i="11"/>
  <c r="G191" i="11"/>
  <c r="F191" i="11"/>
  <c r="I190" i="11"/>
  <c r="H190" i="11"/>
  <c r="G190" i="11"/>
  <c r="F190" i="11"/>
  <c r="I189" i="11"/>
  <c r="H189" i="11"/>
  <c r="G189" i="11"/>
  <c r="F189" i="11"/>
  <c r="I188" i="11"/>
  <c r="H188" i="11"/>
  <c r="G188" i="11"/>
  <c r="F188" i="11"/>
  <c r="I187" i="11"/>
  <c r="H187" i="11"/>
  <c r="G187" i="11"/>
  <c r="F187" i="11"/>
  <c r="I186" i="11"/>
  <c r="H186" i="11"/>
  <c r="G186" i="11"/>
  <c r="F186" i="11"/>
  <c r="I185" i="11"/>
  <c r="H185" i="11"/>
  <c r="G185" i="11"/>
  <c r="F185" i="11"/>
  <c r="I184" i="11"/>
  <c r="H184" i="11"/>
  <c r="G184" i="11"/>
  <c r="F184" i="11"/>
  <c r="I183" i="11"/>
  <c r="H183" i="11"/>
  <c r="G183" i="11"/>
  <c r="F183" i="11"/>
  <c r="I182" i="11"/>
  <c r="H182" i="11"/>
  <c r="G182" i="11"/>
  <c r="F182" i="11"/>
  <c r="I181" i="11"/>
  <c r="H181" i="11"/>
  <c r="G181" i="11"/>
  <c r="F181" i="11"/>
  <c r="I180" i="11"/>
  <c r="H180" i="11"/>
  <c r="G180" i="11"/>
  <c r="F180" i="11"/>
  <c r="I179" i="11"/>
  <c r="H179" i="11"/>
  <c r="G179" i="11"/>
  <c r="F179" i="11"/>
  <c r="I178" i="11"/>
  <c r="H178" i="11"/>
  <c r="G178" i="11"/>
  <c r="F178" i="11"/>
  <c r="I177" i="11"/>
  <c r="H177" i="11"/>
  <c r="G177" i="11"/>
  <c r="F177" i="11"/>
  <c r="I176" i="11"/>
  <c r="H176" i="11"/>
  <c r="G176" i="11"/>
  <c r="F176" i="11"/>
  <c r="I175" i="11"/>
  <c r="H175" i="11"/>
  <c r="G175" i="11"/>
  <c r="F175" i="11"/>
  <c r="I174" i="11"/>
  <c r="H174" i="11"/>
  <c r="G174" i="11"/>
  <c r="F174" i="11"/>
  <c r="I173" i="11"/>
  <c r="H173" i="11"/>
  <c r="G173" i="11"/>
  <c r="F173" i="11"/>
  <c r="I172" i="11"/>
  <c r="H172" i="11"/>
  <c r="G172" i="11"/>
  <c r="F172" i="11"/>
  <c r="I171" i="11"/>
  <c r="H171" i="11"/>
  <c r="G171" i="11"/>
  <c r="F171" i="11"/>
  <c r="I170" i="11"/>
  <c r="H170" i="11"/>
  <c r="G170" i="11"/>
  <c r="F170" i="11"/>
  <c r="I169" i="11"/>
  <c r="H169" i="11"/>
  <c r="G169" i="11"/>
  <c r="F169" i="11"/>
  <c r="I168" i="11"/>
  <c r="H168" i="11"/>
  <c r="G168" i="11"/>
  <c r="F168" i="11"/>
  <c r="I167" i="11"/>
  <c r="H167" i="11"/>
  <c r="G167" i="11"/>
  <c r="F167" i="11"/>
  <c r="I166" i="11"/>
  <c r="H166" i="11"/>
  <c r="G166" i="11"/>
  <c r="F166" i="11"/>
  <c r="I165" i="11"/>
  <c r="H165" i="11"/>
  <c r="G165" i="11"/>
  <c r="F165" i="11"/>
  <c r="I164" i="11"/>
  <c r="H164" i="11"/>
  <c r="G164" i="11"/>
  <c r="F164" i="11"/>
  <c r="I163" i="11"/>
  <c r="H163" i="11"/>
  <c r="G163" i="11"/>
  <c r="F163" i="11"/>
  <c r="I162" i="11"/>
  <c r="H162" i="11"/>
  <c r="G162" i="11"/>
  <c r="F162" i="11"/>
  <c r="I161" i="11"/>
  <c r="H161" i="11"/>
  <c r="G161" i="11"/>
  <c r="F161" i="11"/>
  <c r="I160" i="11"/>
  <c r="H160" i="11"/>
  <c r="G160" i="11"/>
  <c r="F160" i="11"/>
  <c r="I159" i="11"/>
  <c r="H159" i="11"/>
  <c r="G159" i="11"/>
  <c r="F159" i="11"/>
  <c r="I158" i="11"/>
  <c r="H158" i="11"/>
  <c r="G158" i="11"/>
  <c r="F158" i="11"/>
  <c r="I157" i="11"/>
  <c r="H157" i="11"/>
  <c r="G157" i="11"/>
  <c r="F157" i="11"/>
  <c r="I156" i="11"/>
  <c r="H156" i="11"/>
  <c r="G156" i="11"/>
  <c r="F156" i="11"/>
  <c r="I155" i="11"/>
  <c r="H155" i="11"/>
  <c r="G155" i="11"/>
  <c r="F155" i="11"/>
  <c r="I154" i="11"/>
  <c r="H154" i="11"/>
  <c r="G154" i="11"/>
  <c r="F154" i="11"/>
  <c r="I153" i="11"/>
  <c r="H153" i="11"/>
  <c r="G153" i="11"/>
  <c r="F153" i="11"/>
  <c r="I152" i="11"/>
  <c r="H152" i="11"/>
  <c r="G152" i="11"/>
  <c r="F152" i="11"/>
  <c r="I151" i="11"/>
  <c r="H151" i="11"/>
  <c r="G151" i="11"/>
  <c r="F151" i="11"/>
  <c r="I150" i="11"/>
  <c r="H150" i="11"/>
  <c r="G150" i="11"/>
  <c r="F150" i="11"/>
  <c r="I149" i="11"/>
  <c r="H149" i="11"/>
  <c r="G149" i="11"/>
  <c r="F149" i="11"/>
  <c r="I148" i="11"/>
  <c r="H148" i="11"/>
  <c r="G148" i="11"/>
  <c r="F148" i="11"/>
  <c r="I147" i="11"/>
  <c r="H147" i="11"/>
  <c r="G147" i="11"/>
  <c r="F147" i="11"/>
  <c r="I146" i="11"/>
  <c r="H146" i="11"/>
  <c r="G146" i="11"/>
  <c r="F146" i="11"/>
  <c r="I145" i="11"/>
  <c r="H145" i="11"/>
  <c r="G145" i="11"/>
  <c r="F145" i="11"/>
  <c r="I144" i="11"/>
  <c r="H144" i="11"/>
  <c r="G144" i="11"/>
  <c r="F144" i="11"/>
  <c r="I143" i="11"/>
  <c r="H143" i="11"/>
  <c r="G143" i="11"/>
  <c r="F143" i="11"/>
  <c r="I142" i="11"/>
  <c r="H142" i="11"/>
  <c r="G142" i="11"/>
  <c r="F142" i="11"/>
  <c r="I141" i="11"/>
  <c r="H141" i="11"/>
  <c r="G141" i="11"/>
  <c r="F141" i="11"/>
  <c r="I140" i="11"/>
  <c r="H140" i="11"/>
  <c r="G140" i="11"/>
  <c r="F140" i="11"/>
  <c r="I139" i="11"/>
  <c r="H139" i="11"/>
  <c r="G139" i="11"/>
  <c r="F139" i="11"/>
  <c r="I138" i="11"/>
  <c r="H138" i="11"/>
  <c r="G138" i="11"/>
  <c r="F138" i="11"/>
  <c r="I137" i="11"/>
  <c r="H137" i="11"/>
  <c r="G137" i="11"/>
  <c r="F137" i="11"/>
  <c r="I136" i="11"/>
  <c r="H136" i="11"/>
  <c r="G136" i="11"/>
  <c r="F136" i="11"/>
  <c r="I135" i="11"/>
  <c r="H135" i="11"/>
  <c r="G135" i="11"/>
  <c r="F135" i="11"/>
  <c r="I134" i="11"/>
  <c r="H134" i="11"/>
  <c r="G134" i="11"/>
  <c r="F134" i="11"/>
  <c r="I133" i="11"/>
  <c r="H133" i="11"/>
  <c r="G133" i="11"/>
  <c r="F133" i="11"/>
  <c r="I132" i="11"/>
  <c r="H132" i="11"/>
  <c r="G132" i="11"/>
  <c r="F132" i="11"/>
  <c r="I131" i="11"/>
  <c r="H131" i="11"/>
  <c r="G131" i="11"/>
  <c r="F131" i="11"/>
  <c r="I130" i="11"/>
  <c r="H130" i="11"/>
  <c r="G130" i="11"/>
  <c r="F130" i="11"/>
  <c r="I129" i="11"/>
  <c r="H129" i="11"/>
  <c r="G129" i="11"/>
  <c r="F129" i="11"/>
  <c r="I128" i="11"/>
  <c r="H128" i="11"/>
  <c r="G128" i="11"/>
  <c r="F128" i="11"/>
  <c r="I127" i="11"/>
  <c r="H127" i="11"/>
  <c r="G127" i="11"/>
  <c r="F127" i="11"/>
  <c r="I126" i="11"/>
  <c r="H126" i="11"/>
  <c r="G126" i="11"/>
  <c r="F126" i="11"/>
  <c r="I125" i="11"/>
  <c r="H125" i="11"/>
  <c r="G125" i="11"/>
  <c r="F125" i="11"/>
  <c r="I124" i="11"/>
  <c r="H124" i="11"/>
  <c r="G124" i="11"/>
  <c r="F124" i="11"/>
  <c r="I123" i="11"/>
  <c r="H123" i="11"/>
  <c r="G123" i="11"/>
  <c r="F123" i="11"/>
  <c r="I122" i="11"/>
  <c r="H122" i="11"/>
  <c r="G122" i="11"/>
  <c r="F122" i="11"/>
  <c r="I121" i="11"/>
  <c r="H121" i="11"/>
  <c r="G121" i="11"/>
  <c r="F121" i="11"/>
  <c r="I120" i="11"/>
  <c r="H120" i="11"/>
  <c r="G120" i="11"/>
  <c r="F120" i="11"/>
  <c r="I119" i="11"/>
  <c r="H119" i="11"/>
  <c r="G119" i="11"/>
  <c r="F119" i="11"/>
  <c r="I118" i="11"/>
  <c r="H118" i="11"/>
  <c r="G118" i="11"/>
  <c r="F118" i="11"/>
  <c r="I117" i="11"/>
  <c r="H117" i="11"/>
  <c r="G117" i="11"/>
  <c r="F117" i="11"/>
  <c r="I116" i="11"/>
  <c r="H116" i="11"/>
  <c r="G116" i="11"/>
  <c r="F116" i="11"/>
  <c r="I115" i="11"/>
  <c r="H115" i="11"/>
  <c r="G115" i="11"/>
  <c r="F115" i="11"/>
  <c r="I114" i="11"/>
  <c r="H114" i="11"/>
  <c r="G114" i="11"/>
  <c r="F114" i="11"/>
  <c r="I113" i="11"/>
  <c r="H113" i="11"/>
  <c r="G113" i="11"/>
  <c r="F113" i="11"/>
  <c r="I112" i="11"/>
  <c r="H112" i="11"/>
  <c r="G112" i="11"/>
  <c r="F112" i="11"/>
  <c r="I111" i="11"/>
  <c r="H111" i="11"/>
  <c r="G111" i="11"/>
  <c r="F111" i="11"/>
  <c r="I110" i="11"/>
  <c r="H110" i="11"/>
  <c r="G110" i="11"/>
  <c r="F110" i="11"/>
  <c r="I109" i="11"/>
  <c r="H109" i="11"/>
  <c r="G109" i="11"/>
  <c r="F109" i="11"/>
  <c r="I108" i="11"/>
  <c r="H108" i="11"/>
  <c r="G108" i="11"/>
  <c r="F108" i="11"/>
  <c r="I107" i="11"/>
  <c r="H107" i="11"/>
  <c r="G107" i="11"/>
  <c r="F107" i="11"/>
  <c r="I106" i="11"/>
  <c r="H106" i="11"/>
  <c r="G106" i="11"/>
  <c r="F106" i="11"/>
  <c r="I105" i="11"/>
  <c r="H105" i="11"/>
  <c r="G105" i="11"/>
  <c r="F105" i="11"/>
  <c r="I104" i="11"/>
  <c r="H104" i="11"/>
  <c r="G104" i="11"/>
  <c r="F104" i="11"/>
  <c r="I103" i="11"/>
  <c r="H103" i="11"/>
  <c r="G103" i="11"/>
  <c r="F103" i="11"/>
  <c r="I102" i="11"/>
  <c r="H102" i="11"/>
  <c r="G102" i="11"/>
  <c r="F102" i="11"/>
  <c r="I101" i="11"/>
  <c r="H101" i="11"/>
  <c r="G101" i="11"/>
  <c r="F101" i="11"/>
  <c r="I100" i="11"/>
  <c r="H100" i="11"/>
  <c r="G100" i="11"/>
  <c r="F100" i="11"/>
  <c r="I99" i="11"/>
  <c r="H99" i="11"/>
  <c r="G99" i="11"/>
  <c r="F99" i="11"/>
  <c r="I98" i="11"/>
  <c r="H98" i="11"/>
  <c r="G98" i="11"/>
  <c r="F98" i="11"/>
  <c r="I97" i="11"/>
  <c r="H97" i="11"/>
  <c r="G97" i="11"/>
  <c r="F97" i="11"/>
  <c r="I96" i="11"/>
  <c r="H96" i="11"/>
  <c r="G96" i="11"/>
  <c r="F96" i="11"/>
  <c r="D33" i="32"/>
  <c r="C33" i="32"/>
  <c r="D32" i="32"/>
  <c r="C32" i="32"/>
  <c r="D31" i="32"/>
  <c r="C31" i="32"/>
  <c r="D30" i="32"/>
  <c r="C30" i="32"/>
  <c r="D29" i="32"/>
  <c r="C29" i="32"/>
  <c r="D28" i="32"/>
  <c r="C28" i="32"/>
  <c r="D27" i="32"/>
  <c r="C27" i="32"/>
  <c r="C85" i="32" s="1"/>
  <c r="D85" i="32" s="1"/>
  <c r="D26" i="32"/>
  <c r="C26" i="32"/>
  <c r="D25" i="32"/>
  <c r="C25" i="32"/>
  <c r="C83" i="32" s="1"/>
  <c r="D83" i="32" s="1"/>
  <c r="D24" i="32"/>
  <c r="C24" i="32"/>
  <c r="C82" i="32" s="1"/>
  <c r="D82" i="32" s="1"/>
  <c r="D23" i="32"/>
  <c r="C23" i="32"/>
  <c r="C81" i="32" s="1"/>
  <c r="D81" i="32" s="1"/>
  <c r="D22" i="32"/>
  <c r="C22" i="32"/>
  <c r="D21" i="32"/>
  <c r="C21" i="32"/>
  <c r="C79" i="32" s="1"/>
  <c r="D79" i="32" s="1"/>
  <c r="D20" i="32"/>
  <c r="C20" i="32"/>
  <c r="C78" i="32" s="1"/>
  <c r="D78" i="32" s="1"/>
  <c r="D19" i="32"/>
  <c r="C19" i="32"/>
  <c r="C77" i="32" s="1"/>
  <c r="D77" i="32" s="1"/>
  <c r="D18" i="32"/>
  <c r="C18" i="32"/>
  <c r="A5" i="11" l="1" a="1"/>
  <c r="C57" i="32"/>
  <c r="D57" i="32" s="1"/>
  <c r="C53" i="32"/>
  <c r="D53" i="32" s="1"/>
  <c r="C56" i="32"/>
  <c r="D56" i="32" s="1"/>
  <c r="C52" i="32"/>
  <c r="D52" i="32" s="1"/>
  <c r="C59" i="32"/>
  <c r="D59" i="32" s="1"/>
  <c r="C55" i="32"/>
  <c r="D55" i="32" s="1"/>
  <c r="C51" i="32"/>
  <c r="D51" i="32" s="1"/>
  <c r="F95" i="11" l="1"/>
  <c r="I93" i="11"/>
  <c r="G92" i="11"/>
  <c r="H92" i="11" s="1"/>
  <c r="F91" i="11"/>
  <c r="I89" i="11"/>
  <c r="F94" i="11"/>
  <c r="I92" i="11"/>
  <c r="G91" i="11"/>
  <c r="H91" i="11" s="1"/>
  <c r="I94" i="11"/>
  <c r="G93" i="11"/>
  <c r="H93" i="11" s="1"/>
  <c r="F92" i="11"/>
  <c r="I90" i="11"/>
  <c r="G89" i="11"/>
  <c r="H89" i="11" s="1"/>
  <c r="I95" i="11"/>
  <c r="G94" i="11"/>
  <c r="H94" i="11" s="1"/>
  <c r="F93" i="11"/>
  <c r="I91" i="11"/>
  <c r="G90" i="11"/>
  <c r="H90" i="11" s="1"/>
  <c r="F89" i="11"/>
  <c r="G95" i="11"/>
  <c r="H95" i="11" s="1"/>
  <c r="F90" i="11"/>
  <c r="G19" i="11"/>
  <c r="H19" i="11" s="1"/>
  <c r="I11" i="11"/>
  <c r="G25" i="11"/>
  <c r="H25" i="11" s="1"/>
  <c r="G20" i="11"/>
  <c r="H20" i="11" s="1"/>
  <c r="G32" i="11"/>
  <c r="H32" i="11" s="1"/>
  <c r="I15" i="11"/>
  <c r="F15" i="11" s="1"/>
  <c r="I7" i="11"/>
  <c r="G35" i="11"/>
  <c r="H35" i="11" s="1"/>
  <c r="G46" i="11"/>
  <c r="H46" i="11" s="1"/>
  <c r="I75" i="11"/>
  <c r="F75" i="11" s="1"/>
  <c r="I80" i="11"/>
  <c r="F80" i="11" s="1"/>
  <c r="F60" i="11"/>
  <c r="I48" i="11"/>
  <c r="F48" i="11" s="1"/>
  <c r="F71" i="11"/>
  <c r="G39" i="11"/>
  <c r="H39" i="11" s="1"/>
  <c r="I68" i="11"/>
  <c r="F68" i="11" s="1"/>
  <c r="G50" i="11"/>
  <c r="H50" i="11" s="1"/>
  <c r="I79" i="11"/>
  <c r="I58" i="11"/>
  <c r="F58" i="11" s="1"/>
  <c r="I74" i="11"/>
  <c r="F74" i="11" s="1"/>
  <c r="I37" i="11"/>
  <c r="I69" i="11"/>
  <c r="F69" i="11" s="1"/>
  <c r="I85" i="11"/>
  <c r="F85" i="11" s="1"/>
  <c r="A5" i="11"/>
  <c r="I24" i="11"/>
  <c r="F24" i="11" s="1"/>
  <c r="G14" i="11"/>
  <c r="H14" i="11" s="1"/>
  <c r="I30" i="11"/>
  <c r="F30" i="11" s="1"/>
  <c r="F7" i="11"/>
  <c r="G16" i="11"/>
  <c r="H16" i="11" s="1"/>
  <c r="I26" i="11"/>
  <c r="F26" i="11" s="1"/>
  <c r="I40" i="11"/>
  <c r="F40" i="11" s="1"/>
  <c r="F49" i="11"/>
  <c r="G78" i="11"/>
  <c r="H78" i="11" s="1"/>
  <c r="G43" i="11"/>
  <c r="H43" i="11" s="1"/>
  <c r="F36" i="11"/>
  <c r="I78" i="11"/>
  <c r="G36" i="11"/>
  <c r="H36" i="11" s="1"/>
  <c r="I49" i="11"/>
  <c r="G60" i="11"/>
  <c r="H60" i="11" s="1"/>
  <c r="I73" i="11"/>
  <c r="F73" i="11" s="1"/>
  <c r="G84" i="11"/>
  <c r="H84" i="11" s="1"/>
  <c r="I44" i="11"/>
  <c r="F44" i="11" s="1"/>
  <c r="G55" i="11"/>
  <c r="H55" i="11" s="1"/>
  <c r="G71" i="11"/>
  <c r="H71" i="11" s="1"/>
  <c r="I84" i="11"/>
  <c r="F84" i="11" s="1"/>
  <c r="G42" i="11"/>
  <c r="H42" i="11" s="1"/>
  <c r="I55" i="11"/>
  <c r="G82" i="11"/>
  <c r="H82" i="11" s="1"/>
  <c r="G45" i="11"/>
  <c r="H45" i="11" s="1"/>
  <c r="G61" i="11"/>
  <c r="H61" i="11" s="1"/>
  <c r="G77" i="11"/>
  <c r="H77" i="11" s="1"/>
  <c r="G40" i="11"/>
  <c r="H40" i="11" s="1"/>
  <c r="G56" i="11"/>
  <c r="H56" i="11" s="1"/>
  <c r="G72" i="11"/>
  <c r="H72" i="11" s="1"/>
  <c r="G5" i="11"/>
  <c r="H5" i="11" s="1"/>
  <c r="G88" i="11"/>
  <c r="H88" i="11" s="1"/>
  <c r="F11" i="11"/>
  <c r="G9" i="11"/>
  <c r="H9" i="11" s="1"/>
  <c r="F34" i="11"/>
  <c r="G67" i="11"/>
  <c r="H67" i="11" s="1"/>
  <c r="I46" i="11"/>
  <c r="I57" i="11"/>
  <c r="F57" i="11" s="1"/>
  <c r="I39" i="11"/>
  <c r="F39" i="11" s="1"/>
  <c r="F87" i="11"/>
  <c r="G8" i="11"/>
  <c r="H8" i="11" s="1"/>
  <c r="G30" i="11"/>
  <c r="H30" i="11" s="1"/>
  <c r="I25" i="11"/>
  <c r="F25" i="11" s="1"/>
  <c r="I31" i="11"/>
  <c r="F31" i="11" s="1"/>
  <c r="G49" i="11"/>
  <c r="H49" i="11" s="1"/>
  <c r="G11" i="11"/>
  <c r="H11" i="11" s="1"/>
  <c r="G27" i="11"/>
  <c r="H27" i="11" s="1"/>
  <c r="F6" i="11"/>
  <c r="I19" i="11"/>
  <c r="F19" i="11" s="1"/>
  <c r="F33" i="11"/>
  <c r="G17" i="11"/>
  <c r="H17" i="11" s="1"/>
  <c r="G33" i="11"/>
  <c r="H33" i="11" s="1"/>
  <c r="G12" i="11"/>
  <c r="H12" i="11" s="1"/>
  <c r="G28" i="11"/>
  <c r="H28" i="11" s="1"/>
  <c r="I12" i="11"/>
  <c r="F12" i="11" s="1"/>
  <c r="I28" i="11"/>
  <c r="F28" i="11" s="1"/>
  <c r="G7" i="11"/>
  <c r="H7" i="11" s="1"/>
  <c r="F21" i="11"/>
  <c r="G34" i="11"/>
  <c r="H34" i="11" s="1"/>
  <c r="G13" i="11"/>
  <c r="H13" i="11" s="1"/>
  <c r="G29" i="11"/>
  <c r="H29" i="11" s="1"/>
  <c r="F46" i="11"/>
  <c r="G75" i="11"/>
  <c r="H75" i="11" s="1"/>
  <c r="G38" i="11"/>
  <c r="H38" i="11" s="1"/>
  <c r="I51" i="11"/>
  <c r="F51" i="11" s="1"/>
  <c r="I67" i="11"/>
  <c r="F67" i="11" s="1"/>
  <c r="F81" i="11"/>
  <c r="I64" i="11"/>
  <c r="F64" i="11" s="1"/>
  <c r="I38" i="11"/>
  <c r="F38" i="11" s="1"/>
  <c r="I54" i="11"/>
  <c r="F54" i="11" s="1"/>
  <c r="G65" i="11"/>
  <c r="H65" i="11" s="1"/>
  <c r="G81" i="11"/>
  <c r="H81" i="11" s="1"/>
  <c r="I41" i="11"/>
  <c r="F41" i="11" s="1"/>
  <c r="G52" i="11"/>
  <c r="H52" i="11" s="1"/>
  <c r="I65" i="11"/>
  <c r="F65" i="11" s="1"/>
  <c r="G76" i="11"/>
  <c r="H76" i="11" s="1"/>
  <c r="G51" i="11"/>
  <c r="H51" i="11" s="1"/>
  <c r="G47" i="11"/>
  <c r="H47" i="11" s="1"/>
  <c r="I60" i="11"/>
  <c r="I76" i="11"/>
  <c r="F76" i="11" s="1"/>
  <c r="G59" i="11"/>
  <c r="H59" i="11" s="1"/>
  <c r="G58" i="11"/>
  <c r="H58" i="11" s="1"/>
  <c r="I71" i="11"/>
  <c r="I56" i="11"/>
  <c r="F56" i="11" s="1"/>
  <c r="I50" i="11"/>
  <c r="I66" i="11"/>
  <c r="F66" i="11" s="1"/>
  <c r="I82" i="11"/>
  <c r="I45" i="11"/>
  <c r="F45" i="11" s="1"/>
  <c r="I61" i="11"/>
  <c r="F61" i="11" s="1"/>
  <c r="I77" i="11"/>
  <c r="F77" i="11" s="1"/>
  <c r="G87" i="11"/>
  <c r="H87" i="11" s="1"/>
  <c r="I88" i="11"/>
  <c r="I13" i="11"/>
  <c r="F13" i="11" s="1"/>
  <c r="I27" i="11"/>
  <c r="F27" i="11" s="1"/>
  <c r="I6" i="11"/>
  <c r="I20" i="11"/>
  <c r="F20" i="11" s="1"/>
  <c r="G26" i="11"/>
  <c r="H26" i="11" s="1"/>
  <c r="G21" i="11"/>
  <c r="H21" i="11" s="1"/>
  <c r="G83" i="11"/>
  <c r="H83" i="11" s="1"/>
  <c r="I59" i="11"/>
  <c r="F59" i="11" s="1"/>
  <c r="G86" i="11"/>
  <c r="H86" i="11" s="1"/>
  <c r="G73" i="11"/>
  <c r="H73" i="11" s="1"/>
  <c r="F47" i="11"/>
  <c r="I81" i="11"/>
  <c r="I52" i="11"/>
  <c r="F52" i="11" s="1"/>
  <c r="F82" i="11"/>
  <c r="G66" i="11"/>
  <c r="H66" i="11" s="1"/>
  <c r="I42" i="11"/>
  <c r="F42" i="11" s="1"/>
  <c r="I53" i="11"/>
  <c r="F53" i="11" s="1"/>
  <c r="I29" i="11"/>
  <c r="F29" i="11" s="1"/>
  <c r="I14" i="11"/>
  <c r="F14" i="11" s="1"/>
  <c r="I9" i="11"/>
  <c r="F9" i="11" s="1"/>
  <c r="G23" i="11"/>
  <c r="H23" i="11" s="1"/>
  <c r="G18" i="11"/>
  <c r="H18" i="11" s="1"/>
  <c r="I10" i="11"/>
  <c r="F10" i="11" s="1"/>
  <c r="I35" i="11"/>
  <c r="F35" i="11" s="1"/>
  <c r="G62" i="11"/>
  <c r="H62" i="11" s="1"/>
  <c r="I62" i="11"/>
  <c r="I5" i="11"/>
  <c r="F5" i="11" s="1"/>
  <c r="I16" i="11"/>
  <c r="F16" i="11" s="1"/>
  <c r="I32" i="11"/>
  <c r="F32" i="11" s="1"/>
  <c r="I8" i="11"/>
  <c r="F8" i="11" s="1"/>
  <c r="G22" i="11"/>
  <c r="H22" i="11" s="1"/>
  <c r="G6" i="11"/>
  <c r="H6" i="11" s="1"/>
  <c r="I22" i="11"/>
  <c r="F22" i="11" s="1"/>
  <c r="I21" i="11"/>
  <c r="I17" i="11"/>
  <c r="F17" i="11" s="1"/>
  <c r="I33" i="11"/>
  <c r="G15" i="11"/>
  <c r="H15" i="11" s="1"/>
  <c r="G31" i="11"/>
  <c r="H31" i="11" s="1"/>
  <c r="G10" i="11"/>
  <c r="H10" i="11" s="1"/>
  <c r="I23" i="11"/>
  <c r="F23" i="11" s="1"/>
  <c r="G24" i="11"/>
  <c r="H24" i="11" s="1"/>
  <c r="I18" i="11"/>
  <c r="F18" i="11" s="1"/>
  <c r="I34" i="11"/>
  <c r="F62" i="11"/>
  <c r="F78" i="11"/>
  <c r="I43" i="11"/>
  <c r="F43" i="11" s="1"/>
  <c r="G54" i="11"/>
  <c r="H54" i="11" s="1"/>
  <c r="G70" i="11"/>
  <c r="H70" i="11" s="1"/>
  <c r="I83" i="11"/>
  <c r="F83" i="11" s="1"/>
  <c r="I72" i="11"/>
  <c r="F72" i="11" s="1"/>
  <c r="G41" i="11"/>
  <c r="H41" i="11" s="1"/>
  <c r="G57" i="11"/>
  <c r="H57" i="11" s="1"/>
  <c r="I70" i="11"/>
  <c r="F70" i="11" s="1"/>
  <c r="I86" i="11"/>
  <c r="F86" i="11" s="1"/>
  <c r="G44" i="11"/>
  <c r="H44" i="11" s="1"/>
  <c r="F55" i="11"/>
  <c r="G68" i="11"/>
  <c r="H68" i="11" s="1"/>
  <c r="F79" i="11"/>
  <c r="I36" i="11"/>
  <c r="F50" i="11"/>
  <c r="G63" i="11"/>
  <c r="H63" i="11" s="1"/>
  <c r="G79" i="11"/>
  <c r="H79" i="11" s="1"/>
  <c r="F37" i="11"/>
  <c r="I47" i="11"/>
  <c r="I63" i="11"/>
  <c r="F63" i="11" s="1"/>
  <c r="G74" i="11"/>
  <c r="H74" i="11" s="1"/>
  <c r="G37" i="11"/>
  <c r="H37" i="11" s="1"/>
  <c r="G53" i="11"/>
  <c r="H53" i="11" s="1"/>
  <c r="G69" i="11"/>
  <c r="H69" i="11" s="1"/>
  <c r="G85" i="11"/>
  <c r="H85" i="11" s="1"/>
  <c r="G48" i="11"/>
  <c r="H48" i="11" s="1"/>
  <c r="G64" i="11"/>
  <c r="H64" i="11" s="1"/>
  <c r="G80" i="11"/>
  <c r="H80" i="11" s="1"/>
  <c r="I87" i="11"/>
  <c r="F88" i="11"/>
  <c r="P2" i="19"/>
  <c r="L2" i="19" l="1"/>
  <c r="M2" i="19" s="1"/>
  <c r="L14" i="19"/>
  <c r="M14" i="19" s="1"/>
  <c r="L26" i="19"/>
  <c r="M26" i="19" s="1"/>
  <c r="L38" i="19"/>
  <c r="M38" i="19" s="1"/>
  <c r="L50" i="19"/>
  <c r="M50" i="19" s="1"/>
  <c r="L62" i="19"/>
  <c r="M62" i="19" s="1"/>
  <c r="L74" i="19"/>
  <c r="M74" i="19" s="1"/>
  <c r="L86" i="19"/>
  <c r="M86" i="19" s="1"/>
  <c r="L98" i="19"/>
  <c r="M98" i="19" s="1"/>
  <c r="L110" i="19"/>
  <c r="M110" i="19" s="1"/>
  <c r="L122" i="19"/>
  <c r="M122" i="19" s="1"/>
  <c r="L134" i="19"/>
  <c r="M134" i="19" s="1"/>
  <c r="L146" i="19"/>
  <c r="M146" i="19" s="1"/>
  <c r="L158" i="19"/>
  <c r="M158" i="19" s="1"/>
  <c r="L170" i="19"/>
  <c r="M170" i="19" s="1"/>
  <c r="L182" i="19"/>
  <c r="M182" i="19" s="1"/>
  <c r="L194" i="19"/>
  <c r="M194" i="19" s="1"/>
  <c r="L206" i="19"/>
  <c r="M206" i="19" s="1"/>
  <c r="L218" i="19"/>
  <c r="M218" i="19" s="1"/>
  <c r="L230" i="19"/>
  <c r="M230" i="19" s="1"/>
  <c r="L242" i="19"/>
  <c r="M242" i="19" s="1"/>
  <c r="L254" i="19"/>
  <c r="M254" i="19" s="1"/>
  <c r="L266" i="19"/>
  <c r="M266" i="19" s="1"/>
  <c r="L278" i="19"/>
  <c r="M278" i="19" s="1"/>
  <c r="L290" i="19"/>
  <c r="M290" i="19" s="1"/>
  <c r="L11" i="19"/>
  <c r="M11" i="19" s="1"/>
  <c r="L23" i="19"/>
  <c r="M23" i="19" s="1"/>
  <c r="L35" i="19"/>
  <c r="M35" i="19" s="1"/>
  <c r="L47" i="19"/>
  <c r="M47" i="19" s="1"/>
  <c r="L59" i="19"/>
  <c r="M59" i="19" s="1"/>
  <c r="L71" i="19"/>
  <c r="M71" i="19" s="1"/>
  <c r="L83" i="19"/>
  <c r="M83" i="19" s="1"/>
  <c r="L95" i="19"/>
  <c r="M95" i="19" s="1"/>
  <c r="L107" i="19"/>
  <c r="M107" i="19" s="1"/>
  <c r="L119" i="19"/>
  <c r="M119" i="19" s="1"/>
  <c r="L131" i="19"/>
  <c r="M131" i="19" s="1"/>
  <c r="L143" i="19"/>
  <c r="M143" i="19" s="1"/>
  <c r="L155" i="19"/>
  <c r="M155" i="19" s="1"/>
  <c r="L167" i="19"/>
  <c r="M167" i="19" s="1"/>
  <c r="L179" i="19"/>
  <c r="M179" i="19" s="1"/>
  <c r="L191" i="19"/>
  <c r="M191" i="19" s="1"/>
  <c r="L203" i="19"/>
  <c r="M203" i="19" s="1"/>
  <c r="L215" i="19"/>
  <c r="M215" i="19" s="1"/>
  <c r="L227" i="19"/>
  <c r="M227" i="19" s="1"/>
  <c r="L239" i="19"/>
  <c r="M239" i="19" s="1"/>
  <c r="L251" i="19"/>
  <c r="M251" i="19" s="1"/>
  <c r="L263" i="19"/>
  <c r="M263" i="19" s="1"/>
  <c r="L275" i="19"/>
  <c r="M275" i="19" s="1"/>
  <c r="L287" i="19"/>
  <c r="M287" i="19" s="1"/>
  <c r="L299" i="19"/>
  <c r="M299" i="19" s="1"/>
  <c r="L311" i="19"/>
  <c r="M311" i="19" s="1"/>
  <c r="L323" i="19"/>
  <c r="M323" i="19" s="1"/>
  <c r="L335" i="19"/>
  <c r="M335" i="19" s="1"/>
  <c r="L12" i="19"/>
  <c r="M12" i="19" s="1"/>
  <c r="L36" i="19"/>
  <c r="M36" i="19" s="1"/>
  <c r="L60" i="19"/>
  <c r="M60" i="19" s="1"/>
  <c r="L84" i="19"/>
  <c r="M84" i="19" s="1"/>
  <c r="L108" i="19"/>
  <c r="M108" i="19" s="1"/>
  <c r="L132" i="19"/>
  <c r="M132" i="19" s="1"/>
  <c r="L156" i="19"/>
  <c r="M156" i="19" s="1"/>
  <c r="L180" i="19"/>
  <c r="M180" i="19" s="1"/>
  <c r="L204" i="19"/>
  <c r="M204" i="19" s="1"/>
  <c r="L228" i="19"/>
  <c r="M228" i="19" s="1"/>
  <c r="L252" i="19"/>
  <c r="M252" i="19" s="1"/>
  <c r="L276" i="19"/>
  <c r="M276" i="19" s="1"/>
  <c r="L302" i="19"/>
  <c r="M302" i="19" s="1"/>
  <c r="L313" i="19"/>
  <c r="M313" i="19" s="1"/>
  <c r="L324" i="19"/>
  <c r="M324" i="19" s="1"/>
  <c r="L348" i="19"/>
  <c r="M348" i="19" s="1"/>
  <c r="L360" i="19"/>
  <c r="M360" i="19" s="1"/>
  <c r="L372" i="19"/>
  <c r="M372" i="19" s="1"/>
  <c r="L384" i="19"/>
  <c r="M384" i="19" s="1"/>
  <c r="L396" i="19"/>
  <c r="M396" i="19" s="1"/>
  <c r="L408" i="19"/>
  <c r="M408" i="19" s="1"/>
  <c r="L13" i="19"/>
  <c r="M13" i="19" s="1"/>
  <c r="L37" i="19"/>
  <c r="M37" i="19" s="1"/>
  <c r="L61" i="19"/>
  <c r="M61" i="19" s="1"/>
  <c r="L85" i="19"/>
  <c r="M85" i="19" s="1"/>
  <c r="L109" i="19"/>
  <c r="M109" i="19" s="1"/>
  <c r="L133" i="19"/>
  <c r="M133" i="19" s="1"/>
  <c r="L157" i="19"/>
  <c r="M157" i="19" s="1"/>
  <c r="L181" i="19"/>
  <c r="M181" i="19" s="1"/>
  <c r="L205" i="19"/>
  <c r="M205" i="19" s="1"/>
  <c r="L229" i="19"/>
  <c r="M229" i="19" s="1"/>
  <c r="L253" i="19"/>
  <c r="M253" i="19" s="1"/>
  <c r="L277" i="19"/>
  <c r="M277" i="19" s="1"/>
  <c r="L314" i="19"/>
  <c r="M314" i="19" s="1"/>
  <c r="L325" i="19"/>
  <c r="M325" i="19" s="1"/>
  <c r="L336" i="19"/>
  <c r="M336" i="19" s="1"/>
  <c r="L349" i="19"/>
  <c r="M349" i="19" s="1"/>
  <c r="L24" i="19"/>
  <c r="M24" i="19" s="1"/>
  <c r="L48" i="19"/>
  <c r="M48" i="19" s="1"/>
  <c r="L72" i="19"/>
  <c r="M72" i="19" s="1"/>
  <c r="L96" i="19"/>
  <c r="M96" i="19" s="1"/>
  <c r="L120" i="19"/>
  <c r="M120" i="19" s="1"/>
  <c r="L144" i="19"/>
  <c r="M144" i="19" s="1"/>
  <c r="L168" i="19"/>
  <c r="M168" i="19" s="1"/>
  <c r="L192" i="19"/>
  <c r="M192" i="19" s="1"/>
  <c r="L216" i="19"/>
  <c r="M216" i="19" s="1"/>
  <c r="L240" i="19"/>
  <c r="M240" i="19" s="1"/>
  <c r="L264" i="19"/>
  <c r="M264" i="19" s="1"/>
  <c r="L288" i="19"/>
  <c r="M288" i="19" s="1"/>
  <c r="L300" i="19"/>
  <c r="M300" i="19" s="1"/>
  <c r="L326" i="19"/>
  <c r="M326" i="19" s="1"/>
  <c r="L337" i="19"/>
  <c r="M337" i="19" s="1"/>
  <c r="L350" i="19"/>
  <c r="M350" i="19" s="1"/>
  <c r="L362" i="19"/>
  <c r="M362" i="19" s="1"/>
  <c r="L374" i="19"/>
  <c r="M374" i="19" s="1"/>
  <c r="L386" i="19"/>
  <c r="M386" i="19" s="1"/>
  <c r="L398" i="19"/>
  <c r="M398" i="19" s="1"/>
  <c r="L410" i="19"/>
  <c r="M410" i="19" s="1"/>
  <c r="L422" i="19"/>
  <c r="M422" i="19" s="1"/>
  <c r="L434" i="19"/>
  <c r="M434" i="19" s="1"/>
  <c r="L446" i="19"/>
  <c r="M446" i="19" s="1"/>
  <c r="L458" i="19"/>
  <c r="M458" i="19" s="1"/>
  <c r="L470" i="19"/>
  <c r="M470" i="19" s="1"/>
  <c r="L482" i="19"/>
  <c r="M482" i="19" s="1"/>
  <c r="L494" i="19"/>
  <c r="M494" i="19" s="1"/>
  <c r="L73" i="19"/>
  <c r="M73" i="19" s="1"/>
  <c r="L169" i="19"/>
  <c r="M169" i="19" s="1"/>
  <c r="L265" i="19"/>
  <c r="M265" i="19" s="1"/>
  <c r="L338" i="19"/>
  <c r="M338" i="19" s="1"/>
  <c r="L373" i="19"/>
  <c r="M373" i="19" s="1"/>
  <c r="L397" i="19"/>
  <c r="M397" i="19" s="1"/>
  <c r="L420" i="19"/>
  <c r="M420" i="19" s="1"/>
  <c r="L431" i="19"/>
  <c r="M431" i="19" s="1"/>
  <c r="L457" i="19"/>
  <c r="M457" i="19" s="1"/>
  <c r="L468" i="19"/>
  <c r="M468" i="19" s="1"/>
  <c r="L479" i="19"/>
  <c r="M479" i="19" s="1"/>
  <c r="L504" i="19"/>
  <c r="M504" i="19" s="1"/>
  <c r="L516" i="19"/>
  <c r="M516" i="19" s="1"/>
  <c r="L528" i="19"/>
  <c r="M528" i="19" s="1"/>
  <c r="L540" i="19"/>
  <c r="M540" i="19" s="1"/>
  <c r="L552" i="19"/>
  <c r="M552" i="19" s="1"/>
  <c r="L564" i="19"/>
  <c r="M564" i="19" s="1"/>
  <c r="L576" i="19"/>
  <c r="M576" i="19" s="1"/>
  <c r="L588" i="19"/>
  <c r="M588" i="19" s="1"/>
  <c r="L600" i="19"/>
  <c r="M600" i="19" s="1"/>
  <c r="L612" i="19"/>
  <c r="M612" i="19" s="1"/>
  <c r="L624" i="19"/>
  <c r="M624" i="19" s="1"/>
  <c r="L636" i="19"/>
  <c r="M636" i="19" s="1"/>
  <c r="L648" i="19"/>
  <c r="M648" i="19" s="1"/>
  <c r="L660" i="19"/>
  <c r="M660" i="19" s="1"/>
  <c r="L672" i="19"/>
  <c r="M672" i="19" s="1"/>
  <c r="L684" i="19"/>
  <c r="M684" i="19" s="1"/>
  <c r="L696" i="19"/>
  <c r="M696" i="19" s="1"/>
  <c r="L49" i="19"/>
  <c r="M49" i="19" s="1"/>
  <c r="L145" i="19"/>
  <c r="M145" i="19" s="1"/>
  <c r="L241" i="19"/>
  <c r="M241" i="19" s="1"/>
  <c r="L301" i="19"/>
  <c r="M301" i="19" s="1"/>
  <c r="L359" i="19"/>
  <c r="M359" i="19" s="1"/>
  <c r="L383" i="19"/>
  <c r="M383" i="19" s="1"/>
  <c r="L407" i="19"/>
  <c r="M407" i="19" s="1"/>
  <c r="L421" i="19"/>
  <c r="M421" i="19" s="1"/>
  <c r="L432" i="19"/>
  <c r="M432" i="19" s="1"/>
  <c r="L443" i="19"/>
  <c r="M443" i="19" s="1"/>
  <c r="L469" i="19"/>
  <c r="M469" i="19" s="1"/>
  <c r="L480" i="19"/>
  <c r="M480" i="19" s="1"/>
  <c r="L491" i="19"/>
  <c r="M491" i="19" s="1"/>
  <c r="L505" i="19"/>
  <c r="M505" i="19" s="1"/>
  <c r="L517" i="19"/>
  <c r="M517" i="19" s="1"/>
  <c r="L529" i="19"/>
  <c r="M529" i="19" s="1"/>
  <c r="L541" i="19"/>
  <c r="M541" i="19" s="1"/>
  <c r="L553" i="19"/>
  <c r="M553" i="19" s="1"/>
  <c r="L565" i="19"/>
  <c r="M565" i="19" s="1"/>
  <c r="L577" i="19"/>
  <c r="M577" i="19" s="1"/>
  <c r="L589" i="19"/>
  <c r="M589" i="19" s="1"/>
  <c r="L601" i="19"/>
  <c r="M601" i="19" s="1"/>
  <c r="L25" i="19"/>
  <c r="M25" i="19" s="1"/>
  <c r="L121" i="19"/>
  <c r="M121" i="19" s="1"/>
  <c r="L217" i="19"/>
  <c r="M217" i="19" s="1"/>
  <c r="L347" i="19"/>
  <c r="M347" i="19" s="1"/>
  <c r="L361" i="19"/>
  <c r="M361" i="19" s="1"/>
  <c r="L385" i="19"/>
  <c r="M385" i="19" s="1"/>
  <c r="L409" i="19"/>
  <c r="M409" i="19" s="1"/>
  <c r="L433" i="19"/>
  <c r="M433" i="19" s="1"/>
  <c r="L444" i="19"/>
  <c r="M444" i="19" s="1"/>
  <c r="L455" i="19"/>
  <c r="M455" i="19" s="1"/>
  <c r="L481" i="19"/>
  <c r="M481" i="19" s="1"/>
  <c r="L492" i="19"/>
  <c r="M492" i="19" s="1"/>
  <c r="L506" i="19"/>
  <c r="M506" i="19" s="1"/>
  <c r="L518" i="19"/>
  <c r="M518" i="19" s="1"/>
  <c r="L530" i="19"/>
  <c r="M530" i="19" s="1"/>
  <c r="L542" i="19"/>
  <c r="M542" i="19" s="1"/>
  <c r="L554" i="19"/>
  <c r="M554" i="19" s="1"/>
  <c r="L566" i="19"/>
  <c r="M566" i="19" s="1"/>
  <c r="L289" i="19"/>
  <c r="M289" i="19" s="1"/>
  <c r="L395" i="19"/>
  <c r="M395" i="19" s="1"/>
  <c r="L445" i="19"/>
  <c r="M445" i="19" s="1"/>
  <c r="L467" i="19"/>
  <c r="M467" i="19" s="1"/>
  <c r="L539" i="19"/>
  <c r="M539" i="19" s="1"/>
  <c r="L578" i="19"/>
  <c r="M578" i="19" s="1"/>
  <c r="L602" i="19"/>
  <c r="M602" i="19" s="1"/>
  <c r="L626" i="19"/>
  <c r="M626" i="19" s="1"/>
  <c r="L637" i="19"/>
  <c r="M637" i="19" s="1"/>
  <c r="L647" i="19"/>
  <c r="M647" i="19" s="1"/>
  <c r="L674" i="19"/>
  <c r="M674" i="19" s="1"/>
  <c r="L685" i="19"/>
  <c r="M685" i="19" s="1"/>
  <c r="L695" i="19"/>
  <c r="M695" i="19" s="1"/>
  <c r="L708" i="19"/>
  <c r="M708" i="19" s="1"/>
  <c r="L720" i="19"/>
  <c r="M720" i="19" s="1"/>
  <c r="L732" i="19"/>
  <c r="M732" i="19" s="1"/>
  <c r="L744" i="19"/>
  <c r="M744" i="19" s="1"/>
  <c r="L756" i="19"/>
  <c r="M756" i="19" s="1"/>
  <c r="L768" i="19"/>
  <c r="M768" i="19" s="1"/>
  <c r="L780" i="19"/>
  <c r="M780" i="19" s="1"/>
  <c r="L792" i="19"/>
  <c r="M792" i="19" s="1"/>
  <c r="L804" i="19"/>
  <c r="M804" i="19" s="1"/>
  <c r="L816" i="19"/>
  <c r="M816" i="19" s="1"/>
  <c r="L828" i="19"/>
  <c r="M828" i="19" s="1"/>
  <c r="L840" i="19"/>
  <c r="M840" i="19" s="1"/>
  <c r="L852" i="19"/>
  <c r="M852" i="19" s="1"/>
  <c r="L864" i="19"/>
  <c r="M864" i="19" s="1"/>
  <c r="L876" i="19"/>
  <c r="M876" i="19" s="1"/>
  <c r="L888" i="19"/>
  <c r="M888" i="19" s="1"/>
  <c r="L900" i="19"/>
  <c r="M900" i="19" s="1"/>
  <c r="L912" i="19"/>
  <c r="M912" i="19" s="1"/>
  <c r="L924" i="19"/>
  <c r="M924" i="19" s="1"/>
  <c r="L936" i="19"/>
  <c r="M936" i="19" s="1"/>
  <c r="L948" i="19"/>
  <c r="M948" i="19" s="1"/>
  <c r="L960" i="19"/>
  <c r="M960" i="19" s="1"/>
  <c r="L972" i="19"/>
  <c r="M972" i="19" s="1"/>
  <c r="L984" i="19"/>
  <c r="M984" i="19" s="1"/>
  <c r="L996" i="19"/>
  <c r="M996" i="19" s="1"/>
  <c r="L1008" i="19"/>
  <c r="M1008" i="19" s="1"/>
  <c r="L193" i="19"/>
  <c r="M193" i="19" s="1"/>
  <c r="L312" i="19"/>
  <c r="M312" i="19" s="1"/>
  <c r="L371" i="19"/>
  <c r="M371" i="19" s="1"/>
  <c r="L493" i="19"/>
  <c r="M493" i="19" s="1"/>
  <c r="L527" i="19"/>
  <c r="M527" i="19" s="1"/>
  <c r="L587" i="19"/>
  <c r="M587" i="19" s="1"/>
  <c r="L611" i="19"/>
  <c r="M611" i="19" s="1"/>
  <c r="L638" i="19"/>
  <c r="M638" i="19" s="1"/>
  <c r="L649" i="19"/>
  <c r="M649" i="19" s="1"/>
  <c r="L659" i="19"/>
  <c r="M659" i="19" s="1"/>
  <c r="L686" i="19"/>
  <c r="M686" i="19" s="1"/>
  <c r="L697" i="19"/>
  <c r="M697" i="19" s="1"/>
  <c r="L709" i="19"/>
  <c r="M709" i="19" s="1"/>
  <c r="L721" i="19"/>
  <c r="M721" i="19" s="1"/>
  <c r="L733" i="19"/>
  <c r="M733" i="19" s="1"/>
  <c r="L745" i="19"/>
  <c r="M745" i="19" s="1"/>
  <c r="L757" i="19"/>
  <c r="M757" i="19" s="1"/>
  <c r="L769" i="19"/>
  <c r="M769" i="19" s="1"/>
  <c r="L781" i="19"/>
  <c r="M781" i="19" s="1"/>
  <c r="L793" i="19"/>
  <c r="M793" i="19" s="1"/>
  <c r="L805" i="19"/>
  <c r="M805" i="19" s="1"/>
  <c r="L817" i="19"/>
  <c r="M817" i="19" s="1"/>
  <c r="L829" i="19"/>
  <c r="M829" i="19" s="1"/>
  <c r="L841" i="19"/>
  <c r="M841" i="19" s="1"/>
  <c r="L853" i="19"/>
  <c r="M853" i="19" s="1"/>
  <c r="L865" i="19"/>
  <c r="M865" i="19" s="1"/>
  <c r="L877" i="19"/>
  <c r="M877" i="19" s="1"/>
  <c r="L889" i="19"/>
  <c r="M889" i="19" s="1"/>
  <c r="L901" i="19"/>
  <c r="M901" i="19" s="1"/>
  <c r="L913" i="19"/>
  <c r="M913" i="19" s="1"/>
  <c r="L925" i="19"/>
  <c r="M925" i="19" s="1"/>
  <c r="L937" i="19"/>
  <c r="M937" i="19" s="1"/>
  <c r="L949" i="19"/>
  <c r="M949" i="19" s="1"/>
  <c r="L961" i="19"/>
  <c r="M961" i="19" s="1"/>
  <c r="L973" i="19"/>
  <c r="M973" i="19" s="1"/>
  <c r="L985" i="19"/>
  <c r="M985" i="19" s="1"/>
  <c r="L997" i="19"/>
  <c r="M997" i="19" s="1"/>
  <c r="L1009" i="19"/>
  <c r="M1009" i="19" s="1"/>
  <c r="L97" i="19"/>
  <c r="M97" i="19" s="1"/>
  <c r="L456" i="19"/>
  <c r="M456" i="19" s="1"/>
  <c r="L515" i="19"/>
  <c r="M515" i="19" s="1"/>
  <c r="L563" i="19"/>
  <c r="M563" i="19" s="1"/>
  <c r="L590" i="19"/>
  <c r="M590" i="19" s="1"/>
  <c r="L613" i="19"/>
  <c r="M613" i="19" s="1"/>
  <c r="L623" i="19"/>
  <c r="M623" i="19" s="1"/>
  <c r="L650" i="19"/>
  <c r="M650" i="19" s="1"/>
  <c r="L661" i="19"/>
  <c r="M661" i="19" s="1"/>
  <c r="L671" i="19"/>
  <c r="M671" i="19" s="1"/>
  <c r="L698" i="19"/>
  <c r="M698" i="19" s="1"/>
  <c r="L710" i="19"/>
  <c r="M710" i="19" s="1"/>
  <c r="L722" i="19"/>
  <c r="M722" i="19" s="1"/>
  <c r="L734" i="19"/>
  <c r="M734" i="19" s="1"/>
  <c r="L746" i="19"/>
  <c r="M746" i="19" s="1"/>
  <c r="L758" i="19"/>
  <c r="M758" i="19" s="1"/>
  <c r="L770" i="19"/>
  <c r="M770" i="19" s="1"/>
  <c r="L782" i="19"/>
  <c r="M782" i="19" s="1"/>
  <c r="L794" i="19"/>
  <c r="M794" i="19" s="1"/>
  <c r="L806" i="19"/>
  <c r="M806" i="19" s="1"/>
  <c r="L818" i="19"/>
  <c r="M818" i="19" s="1"/>
  <c r="L830" i="19"/>
  <c r="M830" i="19" s="1"/>
  <c r="L842" i="19"/>
  <c r="M842" i="19" s="1"/>
  <c r="L854" i="19"/>
  <c r="M854" i="19" s="1"/>
  <c r="L866" i="19"/>
  <c r="M866" i="19" s="1"/>
  <c r="L878" i="19"/>
  <c r="M878" i="19" s="1"/>
  <c r="L890" i="19"/>
  <c r="M890" i="19" s="1"/>
  <c r="L902" i="19"/>
  <c r="M902" i="19" s="1"/>
  <c r="L914" i="19"/>
  <c r="M914" i="19" s="1"/>
  <c r="L926" i="19"/>
  <c r="M926" i="19" s="1"/>
  <c r="L938" i="19"/>
  <c r="M938" i="19" s="1"/>
  <c r="L950" i="19"/>
  <c r="M950" i="19" s="1"/>
  <c r="L962" i="19"/>
  <c r="M962" i="19" s="1"/>
  <c r="L974" i="19"/>
  <c r="M974" i="19" s="1"/>
  <c r="L986" i="19"/>
  <c r="M986" i="19" s="1"/>
  <c r="L998" i="19"/>
  <c r="M998" i="19" s="1"/>
  <c r="L419" i="19"/>
  <c r="M419" i="19" s="1"/>
  <c r="L503" i="19"/>
  <c r="M503" i="19" s="1"/>
  <c r="L551" i="19"/>
  <c r="M551" i="19" s="1"/>
  <c r="L575" i="19"/>
  <c r="M575" i="19" s="1"/>
  <c r="L599" i="19"/>
  <c r="M599" i="19" s="1"/>
  <c r="L614" i="19"/>
  <c r="M614" i="19" s="1"/>
  <c r="L625" i="19"/>
  <c r="M625" i="19" s="1"/>
  <c r="L635" i="19"/>
  <c r="M635" i="19" s="1"/>
  <c r="L662" i="19"/>
  <c r="M662" i="19" s="1"/>
  <c r="L673" i="19"/>
  <c r="M673" i="19" s="1"/>
  <c r="L683" i="19"/>
  <c r="M683" i="19" s="1"/>
  <c r="L707" i="19"/>
  <c r="M707" i="19" s="1"/>
  <c r="L719" i="19"/>
  <c r="M719" i="19" s="1"/>
  <c r="L731" i="19"/>
  <c r="M731" i="19" s="1"/>
  <c r="L743" i="19"/>
  <c r="M743" i="19" s="1"/>
  <c r="L755" i="19"/>
  <c r="M755" i="19" s="1"/>
  <c r="L767" i="19"/>
  <c r="M767" i="19" s="1"/>
  <c r="L779" i="19"/>
  <c r="M779" i="19" s="1"/>
  <c r="L791" i="19"/>
  <c r="M791" i="19" s="1"/>
  <c r="L803" i="19"/>
  <c r="M803" i="19" s="1"/>
  <c r="L815" i="19"/>
  <c r="M815" i="19" s="1"/>
  <c r="L827" i="19"/>
  <c r="M827" i="19" s="1"/>
  <c r="L839" i="19"/>
  <c r="M839" i="19" s="1"/>
  <c r="L851" i="19"/>
  <c r="M851" i="19" s="1"/>
  <c r="L863" i="19"/>
  <c r="M863" i="19" s="1"/>
  <c r="L875" i="19"/>
  <c r="M875" i="19" s="1"/>
  <c r="L887" i="19"/>
  <c r="M887" i="19" s="1"/>
  <c r="L899" i="19"/>
  <c r="M899" i="19" s="1"/>
  <c r="L935" i="19"/>
  <c r="M935" i="19" s="1"/>
  <c r="L983" i="19"/>
  <c r="M983" i="19" s="1"/>
  <c r="L923" i="19"/>
  <c r="M923" i="19" s="1"/>
  <c r="L971" i="19"/>
  <c r="M971" i="19" s="1"/>
  <c r="L911" i="19"/>
  <c r="M911" i="19" s="1"/>
  <c r="L959" i="19"/>
  <c r="M959" i="19" s="1"/>
  <c r="L1007" i="19"/>
  <c r="M1007" i="19" s="1"/>
  <c r="L947" i="19"/>
  <c r="M947" i="19" s="1"/>
  <c r="L995" i="19"/>
  <c r="M995" i="19" s="1"/>
  <c r="K3" i="11"/>
  <c r="J95" i="11" l="1"/>
  <c r="J89" i="11"/>
  <c r="J94" i="11"/>
  <c r="J91" i="11"/>
  <c r="J93" i="11"/>
  <c r="J90" i="11"/>
  <c r="J92" i="11"/>
  <c r="J88" i="11"/>
  <c r="J5" i="11"/>
  <c r="J87" i="11"/>
  <c r="J16" i="11"/>
  <c r="J63" i="11"/>
  <c r="J29" i="11"/>
  <c r="J45" i="11"/>
  <c r="J25" i="11"/>
  <c r="J84" i="11"/>
  <c r="J85" i="11"/>
  <c r="J69" i="11"/>
  <c r="J53" i="11"/>
  <c r="J37" i="11"/>
  <c r="J30" i="11"/>
  <c r="J14" i="11"/>
  <c r="J13" i="11"/>
  <c r="J32" i="11"/>
  <c r="J50" i="11"/>
  <c r="J81" i="11"/>
  <c r="J65" i="11"/>
  <c r="J49" i="11"/>
  <c r="J26" i="11"/>
  <c r="J10" i="11"/>
  <c r="J58" i="11"/>
  <c r="J42" i="11"/>
  <c r="J79" i="11"/>
  <c r="J24" i="11"/>
  <c r="J38" i="11"/>
  <c r="J61" i="11"/>
  <c r="J48" i="11"/>
  <c r="J82" i="11"/>
  <c r="J83" i="11"/>
  <c r="J67" i="11"/>
  <c r="J51" i="11"/>
  <c r="J35" i="11"/>
  <c r="J28" i="11"/>
  <c r="J12" i="11"/>
  <c r="J66" i="11"/>
  <c r="J23" i="11"/>
  <c r="J46" i="11"/>
  <c r="J80" i="11"/>
  <c r="J33" i="11"/>
  <c r="J47" i="11"/>
  <c r="J8" i="11"/>
  <c r="J77" i="11"/>
  <c r="J6" i="11"/>
  <c r="J74" i="11"/>
  <c r="J75" i="11"/>
  <c r="J59" i="11"/>
  <c r="J43" i="11"/>
  <c r="J9" i="11"/>
  <c r="J20" i="11"/>
  <c r="J21" i="11"/>
  <c r="J44" i="11"/>
  <c r="J19" i="11"/>
  <c r="J68" i="11"/>
  <c r="J86" i="11"/>
  <c r="J55" i="11"/>
  <c r="J56" i="11"/>
  <c r="J60" i="11"/>
  <c r="J54" i="11"/>
  <c r="J17" i="11"/>
  <c r="J78" i="11"/>
  <c r="J31" i="11"/>
  <c r="J52" i="11"/>
  <c r="J76" i="11"/>
  <c r="J27" i="11"/>
  <c r="J34" i="11"/>
  <c r="J72" i="11"/>
  <c r="J73" i="11"/>
  <c r="J57" i="11"/>
  <c r="J41" i="11"/>
  <c r="J64" i="11"/>
  <c r="J18" i="11"/>
  <c r="J11" i="11"/>
  <c r="J40" i="11"/>
  <c r="J62" i="11"/>
  <c r="J15" i="11"/>
  <c r="J70" i="11"/>
  <c r="J71" i="11"/>
  <c r="J39" i="11"/>
  <c r="J36" i="11"/>
  <c r="J7" i="11"/>
  <c r="J22" i="11"/>
  <c r="P3" i="19"/>
  <c r="L3" i="11"/>
  <c r="L3" i="19" l="1"/>
  <c r="M3" i="19" s="1"/>
  <c r="L15" i="19"/>
  <c r="M15" i="19" s="1"/>
  <c r="L27" i="19"/>
  <c r="M27" i="19" s="1"/>
  <c r="L39" i="19"/>
  <c r="M39" i="19" s="1"/>
  <c r="L51" i="19"/>
  <c r="M51" i="19" s="1"/>
  <c r="L63" i="19"/>
  <c r="M63" i="19" s="1"/>
  <c r="L75" i="19"/>
  <c r="M75" i="19" s="1"/>
  <c r="L87" i="19"/>
  <c r="M87" i="19" s="1"/>
  <c r="L99" i="19"/>
  <c r="M99" i="19" s="1"/>
  <c r="L111" i="19"/>
  <c r="M111" i="19" s="1"/>
  <c r="L123" i="19"/>
  <c r="M123" i="19" s="1"/>
  <c r="L135" i="19"/>
  <c r="M135" i="19" s="1"/>
  <c r="L147" i="19"/>
  <c r="M147" i="19" s="1"/>
  <c r="L159" i="19"/>
  <c r="M159" i="19" s="1"/>
  <c r="L171" i="19"/>
  <c r="M171" i="19" s="1"/>
  <c r="L183" i="19"/>
  <c r="M183" i="19" s="1"/>
  <c r="L195" i="19"/>
  <c r="M195" i="19" s="1"/>
  <c r="L207" i="19"/>
  <c r="M207" i="19" s="1"/>
  <c r="L219" i="19"/>
  <c r="M219" i="19" s="1"/>
  <c r="L231" i="19"/>
  <c r="M231" i="19" s="1"/>
  <c r="L243" i="19"/>
  <c r="M243" i="19" s="1"/>
  <c r="L255" i="19"/>
  <c r="M255" i="19" s="1"/>
  <c r="L267" i="19"/>
  <c r="M267" i="19" s="1"/>
  <c r="L279" i="19"/>
  <c r="M279" i="19" s="1"/>
  <c r="L291" i="19"/>
  <c r="M291" i="19" s="1"/>
  <c r="L303" i="19"/>
  <c r="M303" i="19" s="1"/>
  <c r="L315" i="19"/>
  <c r="M315" i="19" s="1"/>
  <c r="L327" i="19"/>
  <c r="M327" i="19" s="1"/>
  <c r="L339" i="19"/>
  <c r="M339" i="19" s="1"/>
  <c r="L447" i="19"/>
  <c r="M447" i="19" s="1"/>
  <c r="L495" i="19"/>
  <c r="M495" i="19" s="1"/>
  <c r="L375" i="19"/>
  <c r="M375" i="19" s="1"/>
  <c r="L399" i="19"/>
  <c r="M399" i="19" s="1"/>
  <c r="L459" i="19"/>
  <c r="M459" i="19" s="1"/>
  <c r="L423" i="19"/>
  <c r="M423" i="19" s="1"/>
  <c r="L471" i="19"/>
  <c r="M471" i="19" s="1"/>
  <c r="L363" i="19"/>
  <c r="M363" i="19" s="1"/>
  <c r="L507" i="19"/>
  <c r="M507" i="19" s="1"/>
  <c r="L555" i="19"/>
  <c r="M555" i="19" s="1"/>
  <c r="L615" i="19"/>
  <c r="M615" i="19" s="1"/>
  <c r="L663" i="19"/>
  <c r="M663" i="19" s="1"/>
  <c r="L543" i="19"/>
  <c r="M543" i="19" s="1"/>
  <c r="L579" i="19"/>
  <c r="M579" i="19" s="1"/>
  <c r="L603" i="19"/>
  <c r="M603" i="19" s="1"/>
  <c r="L627" i="19"/>
  <c r="M627" i="19" s="1"/>
  <c r="L675" i="19"/>
  <c r="M675" i="19" s="1"/>
  <c r="L411" i="19"/>
  <c r="M411" i="19" s="1"/>
  <c r="L435" i="19"/>
  <c r="M435" i="19" s="1"/>
  <c r="L531" i="19"/>
  <c r="M531" i="19" s="1"/>
  <c r="L639" i="19"/>
  <c r="M639" i="19" s="1"/>
  <c r="L687" i="19"/>
  <c r="M687" i="19" s="1"/>
  <c r="L351" i="19"/>
  <c r="M351" i="19" s="1"/>
  <c r="L387" i="19"/>
  <c r="M387" i="19" s="1"/>
  <c r="L483" i="19"/>
  <c r="M483" i="19" s="1"/>
  <c r="L519" i="19"/>
  <c r="M519" i="19" s="1"/>
  <c r="L567" i="19"/>
  <c r="M567" i="19" s="1"/>
  <c r="L591" i="19"/>
  <c r="M591" i="19" s="1"/>
  <c r="L651" i="19"/>
  <c r="M651" i="19" s="1"/>
  <c r="L699" i="19"/>
  <c r="M699" i="19" s="1"/>
  <c r="L711" i="19"/>
  <c r="M711" i="19" s="1"/>
  <c r="L723" i="19"/>
  <c r="M723" i="19" s="1"/>
  <c r="L735" i="19"/>
  <c r="M735" i="19" s="1"/>
  <c r="L747" i="19"/>
  <c r="M747" i="19" s="1"/>
  <c r="L759" i="19"/>
  <c r="M759" i="19" s="1"/>
  <c r="L771" i="19"/>
  <c r="M771" i="19" s="1"/>
  <c r="L783" i="19"/>
  <c r="M783" i="19" s="1"/>
  <c r="L795" i="19"/>
  <c r="M795" i="19" s="1"/>
  <c r="L807" i="19"/>
  <c r="M807" i="19" s="1"/>
  <c r="L819" i="19"/>
  <c r="M819" i="19" s="1"/>
  <c r="L831" i="19"/>
  <c r="M831" i="19" s="1"/>
  <c r="L843" i="19"/>
  <c r="M843" i="19" s="1"/>
  <c r="L855" i="19"/>
  <c r="M855" i="19" s="1"/>
  <c r="L867" i="19"/>
  <c r="M867" i="19" s="1"/>
  <c r="L879" i="19"/>
  <c r="M879" i="19" s="1"/>
  <c r="L891" i="19"/>
  <c r="M891" i="19" s="1"/>
  <c r="L903" i="19"/>
  <c r="M903" i="19" s="1"/>
  <c r="L951" i="19"/>
  <c r="M951" i="19" s="1"/>
  <c r="L999" i="19"/>
  <c r="M999" i="19" s="1"/>
  <c r="L939" i="19"/>
  <c r="M939" i="19" s="1"/>
  <c r="L987" i="19"/>
  <c r="M987" i="19" s="1"/>
  <c r="L927" i="19"/>
  <c r="M927" i="19" s="1"/>
  <c r="L975" i="19"/>
  <c r="M975" i="19" s="1"/>
  <c r="L915" i="19"/>
  <c r="M915" i="19" s="1"/>
  <c r="L963" i="19"/>
  <c r="M963" i="19" s="1"/>
  <c r="K92" i="11"/>
  <c r="K89" i="11"/>
  <c r="K93" i="11"/>
  <c r="K90" i="11"/>
  <c r="K94" i="11"/>
  <c r="K91" i="11"/>
  <c r="K95" i="11"/>
  <c r="K88" i="11"/>
  <c r="K84" i="11"/>
  <c r="K87" i="11"/>
  <c r="K38" i="11"/>
  <c r="K33" i="11"/>
  <c r="K57" i="11"/>
  <c r="K56" i="11"/>
  <c r="K42" i="11"/>
  <c r="K11" i="11"/>
  <c r="K27" i="11"/>
  <c r="K52" i="11"/>
  <c r="K41" i="11"/>
  <c r="K20" i="11"/>
  <c r="K59" i="11"/>
  <c r="K75" i="11"/>
  <c r="K58" i="11"/>
  <c r="K74" i="11"/>
  <c r="K25" i="11"/>
  <c r="K18" i="11"/>
  <c r="K72" i="11"/>
  <c r="K46" i="11"/>
  <c r="K13" i="11"/>
  <c r="K29" i="11"/>
  <c r="K31" i="11"/>
  <c r="K6" i="11"/>
  <c r="K22" i="11"/>
  <c r="K61" i="11"/>
  <c r="K77" i="11"/>
  <c r="K60" i="11"/>
  <c r="K76" i="11"/>
  <c r="K73" i="11"/>
  <c r="K50" i="11"/>
  <c r="K15" i="11"/>
  <c r="K49" i="11"/>
  <c r="K35" i="11"/>
  <c r="K8" i="11"/>
  <c r="K24" i="11"/>
  <c r="K63" i="11"/>
  <c r="K79" i="11"/>
  <c r="K62" i="11"/>
  <c r="K78" i="11"/>
  <c r="K37" i="11"/>
  <c r="K17" i="11"/>
  <c r="K32" i="11"/>
  <c r="K39" i="11"/>
  <c r="K10" i="11"/>
  <c r="K26" i="11"/>
  <c r="K65" i="11"/>
  <c r="K81" i="11"/>
  <c r="K64" i="11"/>
  <c r="K80" i="11"/>
  <c r="K48" i="11"/>
  <c r="K45" i="11"/>
  <c r="K19" i="11"/>
  <c r="K36" i="11"/>
  <c r="K43" i="11"/>
  <c r="K12" i="11"/>
  <c r="K28" i="11"/>
  <c r="K67" i="11"/>
  <c r="K83" i="11"/>
  <c r="K66" i="11"/>
  <c r="K82" i="11"/>
  <c r="K9" i="11"/>
  <c r="K53" i="11"/>
  <c r="K5" i="11"/>
  <c r="K21" i="11"/>
  <c r="K40" i="11"/>
  <c r="K47" i="11"/>
  <c r="K14" i="11"/>
  <c r="K30" i="11"/>
  <c r="K69" i="11"/>
  <c r="K85" i="11"/>
  <c r="K68" i="11"/>
  <c r="K34" i="11"/>
  <c r="K7" i="11"/>
  <c r="K23" i="11"/>
  <c r="K44" i="11"/>
  <c r="K51" i="11"/>
  <c r="K16" i="11"/>
  <c r="K55" i="11"/>
  <c r="K71" i="11"/>
  <c r="K54" i="11"/>
  <c r="K70" i="11"/>
  <c r="K86" i="11"/>
  <c r="P4" i="19"/>
  <c r="M3" i="11"/>
  <c r="L4" i="19" l="1"/>
  <c r="M4" i="19" s="1"/>
  <c r="L28" i="19"/>
  <c r="M28" i="19" s="1"/>
  <c r="L52" i="19"/>
  <c r="M52" i="19" s="1"/>
  <c r="L76" i="19"/>
  <c r="M76" i="19" s="1"/>
  <c r="L100" i="19"/>
  <c r="M100" i="19" s="1"/>
  <c r="L124" i="19"/>
  <c r="M124" i="19" s="1"/>
  <c r="L148" i="19"/>
  <c r="M148" i="19" s="1"/>
  <c r="L172" i="19"/>
  <c r="M172" i="19" s="1"/>
  <c r="L196" i="19"/>
  <c r="M196" i="19" s="1"/>
  <c r="L220" i="19"/>
  <c r="M220" i="19" s="1"/>
  <c r="L244" i="19"/>
  <c r="M244" i="19" s="1"/>
  <c r="L268" i="19"/>
  <c r="M268" i="19" s="1"/>
  <c r="L292" i="19"/>
  <c r="M292" i="19" s="1"/>
  <c r="L340" i="19"/>
  <c r="M340" i="19" s="1"/>
  <c r="L352" i="19"/>
  <c r="M352" i="19" s="1"/>
  <c r="L364" i="19"/>
  <c r="M364" i="19" s="1"/>
  <c r="L376" i="19"/>
  <c r="M376" i="19" s="1"/>
  <c r="L388" i="19"/>
  <c r="M388" i="19" s="1"/>
  <c r="L400" i="19"/>
  <c r="M400" i="19" s="1"/>
  <c r="L412" i="19"/>
  <c r="M412" i="19" s="1"/>
  <c r="L304" i="19"/>
  <c r="M304" i="19" s="1"/>
  <c r="L16" i="19"/>
  <c r="M16" i="19" s="1"/>
  <c r="L40" i="19"/>
  <c r="M40" i="19" s="1"/>
  <c r="L64" i="19"/>
  <c r="M64" i="19" s="1"/>
  <c r="L88" i="19"/>
  <c r="M88" i="19" s="1"/>
  <c r="L112" i="19"/>
  <c r="M112" i="19" s="1"/>
  <c r="L136" i="19"/>
  <c r="M136" i="19" s="1"/>
  <c r="L160" i="19"/>
  <c r="M160" i="19" s="1"/>
  <c r="L184" i="19"/>
  <c r="M184" i="19" s="1"/>
  <c r="L208" i="19"/>
  <c r="M208" i="19" s="1"/>
  <c r="L232" i="19"/>
  <c r="M232" i="19" s="1"/>
  <c r="L256" i="19"/>
  <c r="M256" i="19" s="1"/>
  <c r="L280" i="19"/>
  <c r="M280" i="19" s="1"/>
  <c r="L316" i="19"/>
  <c r="M316" i="19" s="1"/>
  <c r="L436" i="19"/>
  <c r="M436" i="19" s="1"/>
  <c r="L484" i="19"/>
  <c r="M484" i="19" s="1"/>
  <c r="L508" i="19"/>
  <c r="M508" i="19" s="1"/>
  <c r="L520" i="19"/>
  <c r="M520" i="19" s="1"/>
  <c r="L532" i="19"/>
  <c r="M532" i="19" s="1"/>
  <c r="L544" i="19"/>
  <c r="M544" i="19" s="1"/>
  <c r="L556" i="19"/>
  <c r="M556" i="19" s="1"/>
  <c r="L568" i="19"/>
  <c r="M568" i="19" s="1"/>
  <c r="L580" i="19"/>
  <c r="M580" i="19" s="1"/>
  <c r="L592" i="19"/>
  <c r="M592" i="19" s="1"/>
  <c r="L604" i="19"/>
  <c r="M604" i="19" s="1"/>
  <c r="L616" i="19"/>
  <c r="M616" i="19" s="1"/>
  <c r="L628" i="19"/>
  <c r="M628" i="19" s="1"/>
  <c r="L640" i="19"/>
  <c r="M640" i="19" s="1"/>
  <c r="L652" i="19"/>
  <c r="M652" i="19" s="1"/>
  <c r="L664" i="19"/>
  <c r="M664" i="19" s="1"/>
  <c r="L676" i="19"/>
  <c r="M676" i="19" s="1"/>
  <c r="L688" i="19"/>
  <c r="M688" i="19" s="1"/>
  <c r="L448" i="19"/>
  <c r="M448" i="19" s="1"/>
  <c r="L496" i="19"/>
  <c r="M496" i="19" s="1"/>
  <c r="L328" i="19"/>
  <c r="M328" i="19" s="1"/>
  <c r="L460" i="19"/>
  <c r="M460" i="19" s="1"/>
  <c r="L424" i="19"/>
  <c r="M424" i="19" s="1"/>
  <c r="L700" i="19"/>
  <c r="M700" i="19" s="1"/>
  <c r="L712" i="19"/>
  <c r="M712" i="19" s="1"/>
  <c r="L724" i="19"/>
  <c r="M724" i="19" s="1"/>
  <c r="L736" i="19"/>
  <c r="M736" i="19" s="1"/>
  <c r="L748" i="19"/>
  <c r="M748" i="19" s="1"/>
  <c r="L760" i="19"/>
  <c r="M760" i="19" s="1"/>
  <c r="L772" i="19"/>
  <c r="M772" i="19" s="1"/>
  <c r="L784" i="19"/>
  <c r="M784" i="19" s="1"/>
  <c r="L796" i="19"/>
  <c r="M796" i="19" s="1"/>
  <c r="L808" i="19"/>
  <c r="M808" i="19" s="1"/>
  <c r="L820" i="19"/>
  <c r="M820" i="19" s="1"/>
  <c r="L832" i="19"/>
  <c r="M832" i="19" s="1"/>
  <c r="L844" i="19"/>
  <c r="M844" i="19" s="1"/>
  <c r="L856" i="19"/>
  <c r="M856" i="19" s="1"/>
  <c r="L868" i="19"/>
  <c r="M868" i="19" s="1"/>
  <c r="L880" i="19"/>
  <c r="M880" i="19" s="1"/>
  <c r="L892" i="19"/>
  <c r="M892" i="19" s="1"/>
  <c r="L904" i="19"/>
  <c r="M904" i="19" s="1"/>
  <c r="L916" i="19"/>
  <c r="M916" i="19" s="1"/>
  <c r="L928" i="19"/>
  <c r="M928" i="19" s="1"/>
  <c r="L940" i="19"/>
  <c r="M940" i="19" s="1"/>
  <c r="L952" i="19"/>
  <c r="M952" i="19" s="1"/>
  <c r="L964" i="19"/>
  <c r="M964" i="19" s="1"/>
  <c r="L976" i="19"/>
  <c r="M976" i="19" s="1"/>
  <c r="L988" i="19"/>
  <c r="M988" i="19" s="1"/>
  <c r="L1000" i="19"/>
  <c r="M1000" i="19" s="1"/>
  <c r="L472" i="19"/>
  <c r="M472" i="19" s="1"/>
  <c r="L92" i="11"/>
  <c r="L89" i="11"/>
  <c r="L93" i="11"/>
  <c r="L90" i="11"/>
  <c r="L94" i="11"/>
  <c r="L91" i="11"/>
  <c r="L95" i="11"/>
  <c r="L88" i="11"/>
  <c r="L78" i="11"/>
  <c r="L87" i="11"/>
  <c r="L37" i="11"/>
  <c r="L10" i="11"/>
  <c r="L56" i="11"/>
  <c r="L26" i="11"/>
  <c r="L72" i="11"/>
  <c r="L83" i="11"/>
  <c r="L19" i="11"/>
  <c r="L69" i="11"/>
  <c r="L51" i="11"/>
  <c r="L40" i="11"/>
  <c r="L6" i="11"/>
  <c r="L22" i="11"/>
  <c r="L77" i="11"/>
  <c r="L63" i="11"/>
  <c r="L15" i="11"/>
  <c r="L79" i="11"/>
  <c r="L43" i="11"/>
  <c r="L36" i="11"/>
  <c r="L52" i="11"/>
  <c r="L68" i="11"/>
  <c r="L84" i="11"/>
  <c r="L8" i="11"/>
  <c r="L24" i="11"/>
  <c r="L33" i="11"/>
  <c r="L73" i="11"/>
  <c r="L17" i="11"/>
  <c r="L61" i="11"/>
  <c r="L47" i="11"/>
  <c r="L38" i="11"/>
  <c r="L54" i="11"/>
  <c r="L70" i="11"/>
  <c r="L86" i="11"/>
  <c r="L12" i="11"/>
  <c r="L28" i="11"/>
  <c r="L41" i="11"/>
  <c r="L5" i="11"/>
  <c r="L21" i="11"/>
  <c r="L85" i="11"/>
  <c r="L59" i="11"/>
  <c r="L42" i="11"/>
  <c r="L58" i="11"/>
  <c r="L74" i="11"/>
  <c r="L14" i="11"/>
  <c r="L30" i="11"/>
  <c r="L45" i="11"/>
  <c r="L7" i="11"/>
  <c r="L23" i="11"/>
  <c r="L75" i="11"/>
  <c r="L67" i="11"/>
  <c r="L44" i="11"/>
  <c r="L60" i="11"/>
  <c r="L76" i="11"/>
  <c r="L16" i="11"/>
  <c r="L71" i="11"/>
  <c r="L49" i="11"/>
  <c r="L9" i="11"/>
  <c r="L25" i="11"/>
  <c r="L31" i="11"/>
  <c r="L81" i="11"/>
  <c r="L46" i="11"/>
  <c r="L62" i="11"/>
  <c r="L18" i="11"/>
  <c r="L57" i="11"/>
  <c r="L53" i="11"/>
  <c r="L11" i="11"/>
  <c r="L27" i="11"/>
  <c r="L35" i="11"/>
  <c r="L32" i="11"/>
  <c r="L48" i="11"/>
  <c r="L64" i="11"/>
  <c r="L80" i="11"/>
  <c r="L20" i="11"/>
  <c r="L65" i="11"/>
  <c r="L55" i="11"/>
  <c r="L13" i="11"/>
  <c r="L29" i="11"/>
  <c r="L39" i="11"/>
  <c r="L34" i="11"/>
  <c r="L50" i="11"/>
  <c r="L66" i="11"/>
  <c r="L82" i="11"/>
  <c r="P5" i="19"/>
  <c r="N3" i="11"/>
  <c r="M94" i="11" s="1"/>
  <c r="L329" i="19" l="1"/>
  <c r="M329" i="19" s="1"/>
  <c r="L5" i="19"/>
  <c r="M5" i="19" s="1"/>
  <c r="L29" i="19"/>
  <c r="M29" i="19" s="1"/>
  <c r="L53" i="19"/>
  <c r="M53" i="19" s="1"/>
  <c r="L77" i="19"/>
  <c r="M77" i="19" s="1"/>
  <c r="L101" i="19"/>
  <c r="M101" i="19" s="1"/>
  <c r="L125" i="19"/>
  <c r="M125" i="19" s="1"/>
  <c r="L149" i="19"/>
  <c r="M149" i="19" s="1"/>
  <c r="L173" i="19"/>
  <c r="M173" i="19" s="1"/>
  <c r="L197" i="19"/>
  <c r="M197" i="19" s="1"/>
  <c r="L221" i="19"/>
  <c r="M221" i="19" s="1"/>
  <c r="L245" i="19"/>
  <c r="M245" i="19" s="1"/>
  <c r="L269" i="19"/>
  <c r="M269" i="19" s="1"/>
  <c r="L293" i="19"/>
  <c r="M293" i="19" s="1"/>
  <c r="L341" i="19"/>
  <c r="M341" i="19" s="1"/>
  <c r="L353" i="19"/>
  <c r="M353" i="19" s="1"/>
  <c r="L305" i="19"/>
  <c r="M305" i="19" s="1"/>
  <c r="L41" i="19"/>
  <c r="M41" i="19" s="1"/>
  <c r="L137" i="19"/>
  <c r="M137" i="19" s="1"/>
  <c r="L233" i="19"/>
  <c r="M233" i="19" s="1"/>
  <c r="L317" i="19"/>
  <c r="M317" i="19" s="1"/>
  <c r="L365" i="19"/>
  <c r="M365" i="19" s="1"/>
  <c r="L389" i="19"/>
  <c r="M389" i="19" s="1"/>
  <c r="L413" i="19"/>
  <c r="M413" i="19" s="1"/>
  <c r="L425" i="19"/>
  <c r="M425" i="19" s="1"/>
  <c r="L473" i="19"/>
  <c r="M473" i="19" s="1"/>
  <c r="L17" i="19"/>
  <c r="M17" i="19" s="1"/>
  <c r="L113" i="19"/>
  <c r="M113" i="19" s="1"/>
  <c r="L209" i="19"/>
  <c r="M209" i="19" s="1"/>
  <c r="L437" i="19"/>
  <c r="M437" i="19" s="1"/>
  <c r="L485" i="19"/>
  <c r="M485" i="19" s="1"/>
  <c r="L509" i="19"/>
  <c r="M509" i="19" s="1"/>
  <c r="L521" i="19"/>
  <c r="M521" i="19" s="1"/>
  <c r="L533" i="19"/>
  <c r="M533" i="19" s="1"/>
  <c r="L545" i="19"/>
  <c r="M545" i="19" s="1"/>
  <c r="L557" i="19"/>
  <c r="M557" i="19" s="1"/>
  <c r="L569" i="19"/>
  <c r="M569" i="19" s="1"/>
  <c r="L581" i="19"/>
  <c r="M581" i="19" s="1"/>
  <c r="L593" i="19"/>
  <c r="M593" i="19" s="1"/>
  <c r="L605" i="19"/>
  <c r="M605" i="19" s="1"/>
  <c r="L89" i="19"/>
  <c r="M89" i="19" s="1"/>
  <c r="L185" i="19"/>
  <c r="M185" i="19" s="1"/>
  <c r="L281" i="19"/>
  <c r="M281" i="19" s="1"/>
  <c r="L377" i="19"/>
  <c r="M377" i="19" s="1"/>
  <c r="L401" i="19"/>
  <c r="M401" i="19" s="1"/>
  <c r="L449" i="19"/>
  <c r="M449" i="19" s="1"/>
  <c r="L497" i="19"/>
  <c r="M497" i="19" s="1"/>
  <c r="L161" i="19"/>
  <c r="M161" i="19" s="1"/>
  <c r="L653" i="19"/>
  <c r="M653" i="19" s="1"/>
  <c r="L65" i="19"/>
  <c r="M65" i="19" s="1"/>
  <c r="L617" i="19"/>
  <c r="M617" i="19" s="1"/>
  <c r="L665" i="19"/>
  <c r="M665" i="19" s="1"/>
  <c r="L701" i="19"/>
  <c r="M701" i="19" s="1"/>
  <c r="L713" i="19"/>
  <c r="M713" i="19" s="1"/>
  <c r="L725" i="19"/>
  <c r="M725" i="19" s="1"/>
  <c r="L737" i="19"/>
  <c r="M737" i="19" s="1"/>
  <c r="L749" i="19"/>
  <c r="M749" i="19" s="1"/>
  <c r="L761" i="19"/>
  <c r="M761" i="19" s="1"/>
  <c r="L773" i="19"/>
  <c r="M773" i="19" s="1"/>
  <c r="L785" i="19"/>
  <c r="M785" i="19" s="1"/>
  <c r="L797" i="19"/>
  <c r="M797" i="19" s="1"/>
  <c r="L809" i="19"/>
  <c r="M809" i="19" s="1"/>
  <c r="L821" i="19"/>
  <c r="M821" i="19" s="1"/>
  <c r="L833" i="19"/>
  <c r="M833" i="19" s="1"/>
  <c r="L845" i="19"/>
  <c r="M845" i="19" s="1"/>
  <c r="L857" i="19"/>
  <c r="M857" i="19" s="1"/>
  <c r="L869" i="19"/>
  <c r="M869" i="19" s="1"/>
  <c r="L881" i="19"/>
  <c r="M881" i="19" s="1"/>
  <c r="L893" i="19"/>
  <c r="M893" i="19" s="1"/>
  <c r="L905" i="19"/>
  <c r="M905" i="19" s="1"/>
  <c r="L917" i="19"/>
  <c r="M917" i="19" s="1"/>
  <c r="L929" i="19"/>
  <c r="M929" i="19" s="1"/>
  <c r="L941" i="19"/>
  <c r="M941" i="19" s="1"/>
  <c r="L953" i="19"/>
  <c r="M953" i="19" s="1"/>
  <c r="L965" i="19"/>
  <c r="M965" i="19" s="1"/>
  <c r="L977" i="19"/>
  <c r="M977" i="19" s="1"/>
  <c r="L989" i="19"/>
  <c r="M989" i="19" s="1"/>
  <c r="L1001" i="19"/>
  <c r="M1001" i="19" s="1"/>
  <c r="L629" i="19"/>
  <c r="M629" i="19" s="1"/>
  <c r="L677" i="19"/>
  <c r="M677" i="19" s="1"/>
  <c r="L257" i="19"/>
  <c r="M257" i="19" s="1"/>
  <c r="L461" i="19"/>
  <c r="M461" i="19" s="1"/>
  <c r="L641" i="19"/>
  <c r="M641" i="19" s="1"/>
  <c r="L689" i="19"/>
  <c r="M689" i="19" s="1"/>
  <c r="M92" i="11"/>
  <c r="M89" i="11"/>
  <c r="M93" i="11"/>
  <c r="M90" i="11"/>
  <c r="M91" i="11"/>
  <c r="M95" i="11"/>
  <c r="M88" i="11"/>
  <c r="M52" i="11"/>
  <c r="M87" i="11"/>
  <c r="M20" i="11"/>
  <c r="M57" i="11"/>
  <c r="M66" i="11"/>
  <c r="M22" i="11"/>
  <c r="M59" i="11"/>
  <c r="M68" i="11"/>
  <c r="M9" i="11"/>
  <c r="M73" i="11"/>
  <c r="M82" i="11"/>
  <c r="M11" i="11"/>
  <c r="M75" i="11"/>
  <c r="M84" i="11"/>
  <c r="M25" i="11"/>
  <c r="M34" i="11"/>
  <c r="M27" i="11"/>
  <c r="M36" i="11"/>
  <c r="M41" i="11"/>
  <c r="M50" i="11"/>
  <c r="M6" i="11"/>
  <c r="M43" i="11"/>
  <c r="M16" i="11"/>
  <c r="M5" i="11"/>
  <c r="M21" i="11"/>
  <c r="M37" i="11"/>
  <c r="M53" i="11"/>
  <c r="M69" i="11"/>
  <c r="M85" i="11"/>
  <c r="M46" i="11"/>
  <c r="M62" i="11"/>
  <c r="M78" i="11"/>
  <c r="M18" i="11"/>
  <c r="M7" i="11"/>
  <c r="M23" i="11"/>
  <c r="M39" i="11"/>
  <c r="M55" i="11"/>
  <c r="M71" i="11"/>
  <c r="M32" i="11"/>
  <c r="M48" i="11"/>
  <c r="M64" i="11"/>
  <c r="M80" i="11"/>
  <c r="M8" i="11"/>
  <c r="M24" i="11"/>
  <c r="M13" i="11"/>
  <c r="M29" i="11"/>
  <c r="M45" i="11"/>
  <c r="M61" i="11"/>
  <c r="M77" i="11"/>
  <c r="M38" i="11"/>
  <c r="M54" i="11"/>
  <c r="M70" i="11"/>
  <c r="M86" i="11"/>
  <c r="M10" i="11"/>
  <c r="M26" i="11"/>
  <c r="M15" i="11"/>
  <c r="M31" i="11"/>
  <c r="M47" i="11"/>
  <c r="M63" i="11"/>
  <c r="M79" i="11"/>
  <c r="M40" i="11"/>
  <c r="M56" i="11"/>
  <c r="M72" i="11"/>
  <c r="M12" i="11"/>
  <c r="M28" i="11"/>
  <c r="M17" i="11"/>
  <c r="M33" i="11"/>
  <c r="M49" i="11"/>
  <c r="M65" i="11"/>
  <c r="M81" i="11"/>
  <c r="M42" i="11"/>
  <c r="M58" i="11"/>
  <c r="M74" i="11"/>
  <c r="M14" i="11"/>
  <c r="M30" i="11"/>
  <c r="M19" i="11"/>
  <c r="M35" i="11"/>
  <c r="M51" i="11"/>
  <c r="M67" i="11"/>
  <c r="M83" i="11"/>
  <c r="M44" i="11"/>
  <c r="M60" i="11"/>
  <c r="M76" i="11"/>
  <c r="P6" i="19"/>
  <c r="O3" i="11"/>
  <c r="N89" i="11" s="1"/>
  <c r="L6" i="19" l="1"/>
  <c r="M6" i="19" s="1"/>
  <c r="L18" i="19"/>
  <c r="M18" i="19" s="1"/>
  <c r="L30" i="19"/>
  <c r="M30" i="19" s="1"/>
  <c r="L42" i="19"/>
  <c r="M42" i="19" s="1"/>
  <c r="L54" i="19"/>
  <c r="M54" i="19" s="1"/>
  <c r="L66" i="19"/>
  <c r="M66" i="19" s="1"/>
  <c r="L78" i="19"/>
  <c r="M78" i="19" s="1"/>
  <c r="L90" i="19"/>
  <c r="M90" i="19" s="1"/>
  <c r="L102" i="19"/>
  <c r="M102" i="19" s="1"/>
  <c r="L114" i="19"/>
  <c r="M114" i="19" s="1"/>
  <c r="L126" i="19"/>
  <c r="M126" i="19" s="1"/>
  <c r="L138" i="19"/>
  <c r="M138" i="19" s="1"/>
  <c r="L150" i="19"/>
  <c r="M150" i="19" s="1"/>
  <c r="L162" i="19"/>
  <c r="M162" i="19" s="1"/>
  <c r="L174" i="19"/>
  <c r="M174" i="19" s="1"/>
  <c r="L186" i="19"/>
  <c r="M186" i="19" s="1"/>
  <c r="L198" i="19"/>
  <c r="M198" i="19" s="1"/>
  <c r="L210" i="19"/>
  <c r="M210" i="19" s="1"/>
  <c r="L222" i="19"/>
  <c r="M222" i="19" s="1"/>
  <c r="L234" i="19"/>
  <c r="M234" i="19" s="1"/>
  <c r="L246" i="19"/>
  <c r="M246" i="19" s="1"/>
  <c r="L258" i="19"/>
  <c r="M258" i="19" s="1"/>
  <c r="L270" i="19"/>
  <c r="M270" i="19" s="1"/>
  <c r="L282" i="19"/>
  <c r="M282" i="19" s="1"/>
  <c r="L318" i="19"/>
  <c r="M318" i="19" s="1"/>
  <c r="L330" i="19"/>
  <c r="M330" i="19" s="1"/>
  <c r="L294" i="19"/>
  <c r="M294" i="19" s="1"/>
  <c r="L342" i="19"/>
  <c r="M342" i="19" s="1"/>
  <c r="L354" i="19"/>
  <c r="M354" i="19" s="1"/>
  <c r="L366" i="19"/>
  <c r="M366" i="19" s="1"/>
  <c r="L378" i="19"/>
  <c r="M378" i="19" s="1"/>
  <c r="L390" i="19"/>
  <c r="M390" i="19" s="1"/>
  <c r="L402" i="19"/>
  <c r="M402" i="19" s="1"/>
  <c r="L414" i="19"/>
  <c r="M414" i="19" s="1"/>
  <c r="L426" i="19"/>
  <c r="M426" i="19" s="1"/>
  <c r="L438" i="19"/>
  <c r="M438" i="19" s="1"/>
  <c r="L450" i="19"/>
  <c r="M450" i="19" s="1"/>
  <c r="L462" i="19"/>
  <c r="M462" i="19" s="1"/>
  <c r="L474" i="19"/>
  <c r="M474" i="19" s="1"/>
  <c r="L486" i="19"/>
  <c r="M486" i="19" s="1"/>
  <c r="L498" i="19"/>
  <c r="M498" i="19" s="1"/>
  <c r="L306" i="19"/>
  <c r="M306" i="19" s="1"/>
  <c r="L510" i="19"/>
  <c r="M510" i="19" s="1"/>
  <c r="L522" i="19"/>
  <c r="M522" i="19" s="1"/>
  <c r="L534" i="19"/>
  <c r="M534" i="19" s="1"/>
  <c r="L546" i="19"/>
  <c r="M546" i="19" s="1"/>
  <c r="L558" i="19"/>
  <c r="M558" i="19" s="1"/>
  <c r="L570" i="19"/>
  <c r="M570" i="19" s="1"/>
  <c r="L594" i="19"/>
  <c r="M594" i="19" s="1"/>
  <c r="L642" i="19"/>
  <c r="M642" i="19" s="1"/>
  <c r="L690" i="19"/>
  <c r="M690" i="19" s="1"/>
  <c r="L654" i="19"/>
  <c r="M654" i="19" s="1"/>
  <c r="L582" i="19"/>
  <c r="M582" i="19" s="1"/>
  <c r="L606" i="19"/>
  <c r="M606" i="19" s="1"/>
  <c r="L618" i="19"/>
  <c r="M618" i="19" s="1"/>
  <c r="L666" i="19"/>
  <c r="M666" i="19" s="1"/>
  <c r="L702" i="19"/>
  <c r="M702" i="19" s="1"/>
  <c r="L714" i="19"/>
  <c r="M714" i="19" s="1"/>
  <c r="L726" i="19"/>
  <c r="M726" i="19" s="1"/>
  <c r="L738" i="19"/>
  <c r="M738" i="19" s="1"/>
  <c r="L750" i="19"/>
  <c r="M750" i="19" s="1"/>
  <c r="L762" i="19"/>
  <c r="M762" i="19" s="1"/>
  <c r="L774" i="19"/>
  <c r="M774" i="19" s="1"/>
  <c r="L786" i="19"/>
  <c r="M786" i="19" s="1"/>
  <c r="L798" i="19"/>
  <c r="M798" i="19" s="1"/>
  <c r="L810" i="19"/>
  <c r="M810" i="19" s="1"/>
  <c r="L822" i="19"/>
  <c r="M822" i="19" s="1"/>
  <c r="L834" i="19"/>
  <c r="M834" i="19" s="1"/>
  <c r="L846" i="19"/>
  <c r="M846" i="19" s="1"/>
  <c r="L858" i="19"/>
  <c r="M858" i="19" s="1"/>
  <c r="L870" i="19"/>
  <c r="M870" i="19" s="1"/>
  <c r="L882" i="19"/>
  <c r="M882" i="19" s="1"/>
  <c r="L894" i="19"/>
  <c r="M894" i="19" s="1"/>
  <c r="L906" i="19"/>
  <c r="M906" i="19" s="1"/>
  <c r="L918" i="19"/>
  <c r="M918" i="19" s="1"/>
  <c r="L930" i="19"/>
  <c r="M930" i="19" s="1"/>
  <c r="L942" i="19"/>
  <c r="M942" i="19" s="1"/>
  <c r="L954" i="19"/>
  <c r="M954" i="19" s="1"/>
  <c r="L966" i="19"/>
  <c r="M966" i="19" s="1"/>
  <c r="L978" i="19"/>
  <c r="M978" i="19" s="1"/>
  <c r="L990" i="19"/>
  <c r="M990" i="19" s="1"/>
  <c r="L1002" i="19"/>
  <c r="M1002" i="19" s="1"/>
  <c r="L630" i="19"/>
  <c r="M630" i="19" s="1"/>
  <c r="L678" i="19"/>
  <c r="M678" i="19" s="1"/>
  <c r="N93" i="11"/>
  <c r="N90" i="11"/>
  <c r="N94" i="11"/>
  <c r="N91" i="11"/>
  <c r="N95" i="11"/>
  <c r="N92" i="11"/>
  <c r="N88" i="11"/>
  <c r="N71" i="11"/>
  <c r="N87" i="11"/>
  <c r="N30" i="11"/>
  <c r="N46" i="11"/>
  <c r="N5" i="11"/>
  <c r="N21" i="11"/>
  <c r="N62" i="11"/>
  <c r="N43" i="11"/>
  <c r="N78" i="11"/>
  <c r="N65" i="11"/>
  <c r="N75" i="11"/>
  <c r="N49" i="11"/>
  <c r="N35" i="11"/>
  <c r="N14" i="11"/>
  <c r="N41" i="11"/>
  <c r="N16" i="11"/>
  <c r="N17" i="11"/>
  <c r="N18" i="11"/>
  <c r="N42" i="11"/>
  <c r="N58" i="11"/>
  <c r="N74" i="11"/>
  <c r="N39" i="11"/>
  <c r="N28" i="11"/>
  <c r="N45" i="11"/>
  <c r="N57" i="11"/>
  <c r="N19" i="11"/>
  <c r="N22" i="11"/>
  <c r="N44" i="11"/>
  <c r="N60" i="11"/>
  <c r="N76" i="11"/>
  <c r="N73" i="11"/>
  <c r="N47" i="11"/>
  <c r="N10" i="11"/>
  <c r="N53" i="11"/>
  <c r="N7" i="11"/>
  <c r="N23" i="11"/>
  <c r="N32" i="11"/>
  <c r="N48" i="11"/>
  <c r="N64" i="11"/>
  <c r="N80" i="11"/>
  <c r="N77" i="11"/>
  <c r="N51" i="11"/>
  <c r="N20" i="11"/>
  <c r="N55" i="11"/>
  <c r="N9" i="11"/>
  <c r="N25" i="11"/>
  <c r="N34" i="11"/>
  <c r="N50" i="11"/>
  <c r="N66" i="11"/>
  <c r="N82" i="11"/>
  <c r="N79" i="11"/>
  <c r="N59" i="11"/>
  <c r="N12" i="11"/>
  <c r="N63" i="11"/>
  <c r="N11" i="11"/>
  <c r="N27" i="11"/>
  <c r="N36" i="11"/>
  <c r="N52" i="11"/>
  <c r="N68" i="11"/>
  <c r="N84" i="11"/>
  <c r="N81" i="11"/>
  <c r="N24" i="11"/>
  <c r="N67" i="11"/>
  <c r="N33" i="11"/>
  <c r="N8" i="11"/>
  <c r="N13" i="11"/>
  <c r="N29" i="11"/>
  <c r="N38" i="11"/>
  <c r="N54" i="11"/>
  <c r="N70" i="11"/>
  <c r="N86" i="11"/>
  <c r="N83" i="11"/>
  <c r="N31" i="11"/>
  <c r="N6" i="11"/>
  <c r="N37" i="11"/>
  <c r="N26" i="11"/>
  <c r="N15" i="11"/>
  <c r="N61" i="11"/>
  <c r="N40" i="11"/>
  <c r="N56" i="11"/>
  <c r="N72" i="11"/>
  <c r="N69" i="11"/>
  <c r="N85" i="11"/>
  <c r="P7" i="19"/>
  <c r="P3" i="11"/>
  <c r="O94" i="11" s="1"/>
  <c r="L7" i="19" l="1"/>
  <c r="M7" i="19" s="1"/>
  <c r="L19" i="19"/>
  <c r="M19" i="19" s="1"/>
  <c r="L31" i="19"/>
  <c r="M31" i="19" s="1"/>
  <c r="L43" i="19"/>
  <c r="M43" i="19" s="1"/>
  <c r="L55" i="19"/>
  <c r="M55" i="19" s="1"/>
  <c r="L67" i="19"/>
  <c r="M67" i="19" s="1"/>
  <c r="L79" i="19"/>
  <c r="M79" i="19" s="1"/>
  <c r="L91" i="19"/>
  <c r="M91" i="19" s="1"/>
  <c r="L103" i="19"/>
  <c r="M103" i="19" s="1"/>
  <c r="L115" i="19"/>
  <c r="M115" i="19" s="1"/>
  <c r="L127" i="19"/>
  <c r="M127" i="19" s="1"/>
  <c r="L139" i="19"/>
  <c r="M139" i="19" s="1"/>
  <c r="L151" i="19"/>
  <c r="M151" i="19" s="1"/>
  <c r="L163" i="19"/>
  <c r="M163" i="19" s="1"/>
  <c r="L175" i="19"/>
  <c r="M175" i="19" s="1"/>
  <c r="L187" i="19"/>
  <c r="M187" i="19" s="1"/>
  <c r="L199" i="19"/>
  <c r="M199" i="19" s="1"/>
  <c r="L211" i="19"/>
  <c r="M211" i="19" s="1"/>
  <c r="L223" i="19"/>
  <c r="M223" i="19" s="1"/>
  <c r="L235" i="19"/>
  <c r="M235" i="19" s="1"/>
  <c r="L247" i="19"/>
  <c r="M247" i="19" s="1"/>
  <c r="L259" i="19"/>
  <c r="M259" i="19" s="1"/>
  <c r="L271" i="19"/>
  <c r="M271" i="19" s="1"/>
  <c r="L283" i="19"/>
  <c r="M283" i="19" s="1"/>
  <c r="L295" i="19"/>
  <c r="M295" i="19" s="1"/>
  <c r="L307" i="19"/>
  <c r="M307" i="19" s="1"/>
  <c r="L319" i="19"/>
  <c r="M319" i="19" s="1"/>
  <c r="L331" i="19"/>
  <c r="M331" i="19" s="1"/>
  <c r="L355" i="19"/>
  <c r="M355" i="19" s="1"/>
  <c r="L463" i="19"/>
  <c r="M463" i="19" s="1"/>
  <c r="L343" i="19"/>
  <c r="M343" i="19" s="1"/>
  <c r="L367" i="19"/>
  <c r="M367" i="19" s="1"/>
  <c r="L391" i="19"/>
  <c r="M391" i="19" s="1"/>
  <c r="L415" i="19"/>
  <c r="M415" i="19" s="1"/>
  <c r="L427" i="19"/>
  <c r="M427" i="19" s="1"/>
  <c r="L475" i="19"/>
  <c r="M475" i="19" s="1"/>
  <c r="L439" i="19"/>
  <c r="M439" i="19" s="1"/>
  <c r="L487" i="19"/>
  <c r="M487" i="19" s="1"/>
  <c r="L523" i="19"/>
  <c r="M523" i="19" s="1"/>
  <c r="L631" i="19"/>
  <c r="M631" i="19" s="1"/>
  <c r="L679" i="19"/>
  <c r="M679" i="19" s="1"/>
  <c r="L403" i="19"/>
  <c r="M403" i="19" s="1"/>
  <c r="L451" i="19"/>
  <c r="M451" i="19" s="1"/>
  <c r="L511" i="19"/>
  <c r="M511" i="19" s="1"/>
  <c r="L559" i="19"/>
  <c r="M559" i="19" s="1"/>
  <c r="L571" i="19"/>
  <c r="M571" i="19" s="1"/>
  <c r="L595" i="19"/>
  <c r="M595" i="19" s="1"/>
  <c r="L643" i="19"/>
  <c r="M643" i="19" s="1"/>
  <c r="L691" i="19"/>
  <c r="M691" i="19" s="1"/>
  <c r="L379" i="19"/>
  <c r="M379" i="19" s="1"/>
  <c r="L499" i="19"/>
  <c r="M499" i="19" s="1"/>
  <c r="L547" i="19"/>
  <c r="M547" i="19" s="1"/>
  <c r="L655" i="19"/>
  <c r="M655" i="19" s="1"/>
  <c r="L535" i="19"/>
  <c r="M535" i="19" s="1"/>
  <c r="L583" i="19"/>
  <c r="M583" i="19" s="1"/>
  <c r="L607" i="19"/>
  <c r="M607" i="19" s="1"/>
  <c r="L619" i="19"/>
  <c r="M619" i="19" s="1"/>
  <c r="L667" i="19"/>
  <c r="M667" i="19" s="1"/>
  <c r="L703" i="19"/>
  <c r="M703" i="19" s="1"/>
  <c r="L715" i="19"/>
  <c r="M715" i="19" s="1"/>
  <c r="L727" i="19"/>
  <c r="M727" i="19" s="1"/>
  <c r="L739" i="19"/>
  <c r="M739" i="19" s="1"/>
  <c r="L751" i="19"/>
  <c r="M751" i="19" s="1"/>
  <c r="L763" i="19"/>
  <c r="M763" i="19" s="1"/>
  <c r="L775" i="19"/>
  <c r="M775" i="19" s="1"/>
  <c r="L787" i="19"/>
  <c r="M787" i="19" s="1"/>
  <c r="L799" i="19"/>
  <c r="M799" i="19" s="1"/>
  <c r="L811" i="19"/>
  <c r="M811" i="19" s="1"/>
  <c r="L823" i="19"/>
  <c r="M823" i="19" s="1"/>
  <c r="L835" i="19"/>
  <c r="M835" i="19" s="1"/>
  <c r="L847" i="19"/>
  <c r="M847" i="19" s="1"/>
  <c r="L859" i="19"/>
  <c r="M859" i="19" s="1"/>
  <c r="L871" i="19"/>
  <c r="M871" i="19" s="1"/>
  <c r="L883" i="19"/>
  <c r="M883" i="19" s="1"/>
  <c r="L895" i="19"/>
  <c r="M895" i="19" s="1"/>
  <c r="L919" i="19"/>
  <c r="M919" i="19" s="1"/>
  <c r="L967" i="19"/>
  <c r="M967" i="19" s="1"/>
  <c r="L907" i="19"/>
  <c r="M907" i="19" s="1"/>
  <c r="L955" i="19"/>
  <c r="M955" i="19" s="1"/>
  <c r="L1003" i="19"/>
  <c r="M1003" i="19" s="1"/>
  <c r="L943" i="19"/>
  <c r="M943" i="19" s="1"/>
  <c r="L991" i="19"/>
  <c r="M991" i="19" s="1"/>
  <c r="L931" i="19"/>
  <c r="M931" i="19" s="1"/>
  <c r="L979" i="19"/>
  <c r="M979" i="19" s="1"/>
  <c r="O92" i="11"/>
  <c r="O89" i="11"/>
  <c r="O93" i="11"/>
  <c r="O90" i="11"/>
  <c r="O91" i="11"/>
  <c r="O95" i="11"/>
  <c r="O88" i="11"/>
  <c r="O85" i="11"/>
  <c r="O87" i="11"/>
  <c r="O35" i="11"/>
  <c r="O39" i="11"/>
  <c r="O14" i="11"/>
  <c r="O30" i="11"/>
  <c r="O46" i="11"/>
  <c r="O5" i="11"/>
  <c r="O21" i="11"/>
  <c r="O60" i="11"/>
  <c r="O76" i="11"/>
  <c r="O59" i="11"/>
  <c r="O75" i="11"/>
  <c r="O28" i="11"/>
  <c r="O50" i="11"/>
  <c r="O74" i="11"/>
  <c r="O43" i="11"/>
  <c r="O16" i="11"/>
  <c r="O33" i="11"/>
  <c r="O32" i="11"/>
  <c r="O7" i="11"/>
  <c r="O23" i="11"/>
  <c r="O62" i="11"/>
  <c r="O78" i="11"/>
  <c r="O61" i="11"/>
  <c r="O77" i="11"/>
  <c r="O12" i="11"/>
  <c r="O38" i="11"/>
  <c r="O19" i="11"/>
  <c r="O58" i="11"/>
  <c r="O57" i="11"/>
  <c r="O73" i="11"/>
  <c r="O47" i="11"/>
  <c r="O18" i="11"/>
  <c r="O37" i="11"/>
  <c r="O36" i="11"/>
  <c r="O9" i="11"/>
  <c r="O25" i="11"/>
  <c r="O64" i="11"/>
  <c r="O80" i="11"/>
  <c r="O63" i="11"/>
  <c r="O79" i="11"/>
  <c r="O51" i="11"/>
  <c r="O20" i="11"/>
  <c r="O41" i="11"/>
  <c r="O40" i="11"/>
  <c r="O11" i="11"/>
  <c r="O27" i="11"/>
  <c r="O66" i="11"/>
  <c r="O82" i="11"/>
  <c r="O65" i="11"/>
  <c r="O81" i="11"/>
  <c r="O34" i="11"/>
  <c r="O6" i="11"/>
  <c r="O22" i="11"/>
  <c r="O45" i="11"/>
  <c r="O44" i="11"/>
  <c r="O13" i="11"/>
  <c r="O29" i="11"/>
  <c r="O68" i="11"/>
  <c r="O84" i="11"/>
  <c r="O67" i="11"/>
  <c r="O83" i="11"/>
  <c r="O42" i="11"/>
  <c r="O8" i="11"/>
  <c r="O24" i="11"/>
  <c r="O49" i="11"/>
  <c r="O48" i="11"/>
  <c r="O15" i="11"/>
  <c r="O54" i="11"/>
  <c r="O70" i="11"/>
  <c r="O86" i="11"/>
  <c r="O69" i="11"/>
  <c r="O31" i="11"/>
  <c r="O10" i="11"/>
  <c r="O26" i="11"/>
  <c r="O53" i="11"/>
  <c r="O52" i="11"/>
  <c r="O17" i="11"/>
  <c r="O56" i="11"/>
  <c r="O72" i="11"/>
  <c r="O55" i="11"/>
  <c r="O71" i="11"/>
  <c r="P8" i="19"/>
  <c r="Q3" i="11"/>
  <c r="P92" i="11" s="1"/>
  <c r="L20" i="19" l="1"/>
  <c r="M20" i="19" s="1"/>
  <c r="L44" i="19"/>
  <c r="M44" i="19" s="1"/>
  <c r="L68" i="19"/>
  <c r="M68" i="19" s="1"/>
  <c r="L92" i="19"/>
  <c r="M92" i="19" s="1"/>
  <c r="L116" i="19"/>
  <c r="M116" i="19" s="1"/>
  <c r="L140" i="19"/>
  <c r="M140" i="19" s="1"/>
  <c r="L164" i="19"/>
  <c r="M164" i="19" s="1"/>
  <c r="L188" i="19"/>
  <c r="M188" i="19" s="1"/>
  <c r="L212" i="19"/>
  <c r="M212" i="19" s="1"/>
  <c r="L236" i="19"/>
  <c r="M236" i="19" s="1"/>
  <c r="L260" i="19"/>
  <c r="M260" i="19" s="1"/>
  <c r="L284" i="19"/>
  <c r="M284" i="19" s="1"/>
  <c r="L308" i="19"/>
  <c r="M308" i="19" s="1"/>
  <c r="L344" i="19"/>
  <c r="M344" i="19" s="1"/>
  <c r="L356" i="19"/>
  <c r="M356" i="19" s="1"/>
  <c r="L368" i="19"/>
  <c r="M368" i="19" s="1"/>
  <c r="L380" i="19"/>
  <c r="M380" i="19" s="1"/>
  <c r="L392" i="19"/>
  <c r="M392" i="19" s="1"/>
  <c r="L404" i="19"/>
  <c r="M404" i="19" s="1"/>
  <c r="L416" i="19"/>
  <c r="M416" i="19" s="1"/>
  <c r="L320" i="19"/>
  <c r="M320" i="19" s="1"/>
  <c r="L8" i="19"/>
  <c r="M8" i="19" s="1"/>
  <c r="L32" i="19"/>
  <c r="M32" i="19" s="1"/>
  <c r="L56" i="19"/>
  <c r="M56" i="19" s="1"/>
  <c r="L80" i="19"/>
  <c r="M80" i="19" s="1"/>
  <c r="L104" i="19"/>
  <c r="M104" i="19" s="1"/>
  <c r="L128" i="19"/>
  <c r="M128" i="19" s="1"/>
  <c r="L152" i="19"/>
  <c r="M152" i="19" s="1"/>
  <c r="L176" i="19"/>
  <c r="M176" i="19" s="1"/>
  <c r="L200" i="19"/>
  <c r="M200" i="19" s="1"/>
  <c r="L224" i="19"/>
  <c r="M224" i="19" s="1"/>
  <c r="L248" i="19"/>
  <c r="M248" i="19" s="1"/>
  <c r="L272" i="19"/>
  <c r="M272" i="19" s="1"/>
  <c r="L332" i="19"/>
  <c r="M332" i="19" s="1"/>
  <c r="L296" i="19"/>
  <c r="M296" i="19" s="1"/>
  <c r="L452" i="19"/>
  <c r="M452" i="19" s="1"/>
  <c r="L500" i="19"/>
  <c r="M500" i="19" s="1"/>
  <c r="L512" i="19"/>
  <c r="M512" i="19" s="1"/>
  <c r="L524" i="19"/>
  <c r="M524" i="19" s="1"/>
  <c r="L536" i="19"/>
  <c r="M536" i="19" s="1"/>
  <c r="L548" i="19"/>
  <c r="M548" i="19" s="1"/>
  <c r="L560" i="19"/>
  <c r="M560" i="19" s="1"/>
  <c r="L572" i="19"/>
  <c r="M572" i="19" s="1"/>
  <c r="L584" i="19"/>
  <c r="M584" i="19" s="1"/>
  <c r="L596" i="19"/>
  <c r="M596" i="19" s="1"/>
  <c r="L608" i="19"/>
  <c r="M608" i="19" s="1"/>
  <c r="L620" i="19"/>
  <c r="M620" i="19" s="1"/>
  <c r="L632" i="19"/>
  <c r="M632" i="19" s="1"/>
  <c r="L644" i="19"/>
  <c r="M644" i="19" s="1"/>
  <c r="L656" i="19"/>
  <c r="M656" i="19" s="1"/>
  <c r="L668" i="19"/>
  <c r="M668" i="19" s="1"/>
  <c r="L680" i="19"/>
  <c r="M680" i="19" s="1"/>
  <c r="L692" i="19"/>
  <c r="M692" i="19" s="1"/>
  <c r="L464" i="19"/>
  <c r="M464" i="19" s="1"/>
  <c r="L428" i="19"/>
  <c r="M428" i="19" s="1"/>
  <c r="L476" i="19"/>
  <c r="M476" i="19" s="1"/>
  <c r="L488" i="19"/>
  <c r="M488" i="19" s="1"/>
  <c r="L704" i="19"/>
  <c r="M704" i="19" s="1"/>
  <c r="L716" i="19"/>
  <c r="M716" i="19" s="1"/>
  <c r="L728" i="19"/>
  <c r="M728" i="19" s="1"/>
  <c r="L740" i="19"/>
  <c r="M740" i="19" s="1"/>
  <c r="L752" i="19"/>
  <c r="M752" i="19" s="1"/>
  <c r="L764" i="19"/>
  <c r="M764" i="19" s="1"/>
  <c r="L776" i="19"/>
  <c r="M776" i="19" s="1"/>
  <c r="L788" i="19"/>
  <c r="M788" i="19" s="1"/>
  <c r="L800" i="19"/>
  <c r="M800" i="19" s="1"/>
  <c r="L812" i="19"/>
  <c r="M812" i="19" s="1"/>
  <c r="L824" i="19"/>
  <c r="M824" i="19" s="1"/>
  <c r="L836" i="19"/>
  <c r="M836" i="19" s="1"/>
  <c r="L848" i="19"/>
  <c r="M848" i="19" s="1"/>
  <c r="L860" i="19"/>
  <c r="M860" i="19" s="1"/>
  <c r="L872" i="19"/>
  <c r="M872" i="19" s="1"/>
  <c r="L884" i="19"/>
  <c r="M884" i="19" s="1"/>
  <c r="L896" i="19"/>
  <c r="M896" i="19" s="1"/>
  <c r="L908" i="19"/>
  <c r="M908" i="19" s="1"/>
  <c r="L920" i="19"/>
  <c r="M920" i="19" s="1"/>
  <c r="L932" i="19"/>
  <c r="M932" i="19" s="1"/>
  <c r="L944" i="19"/>
  <c r="M944" i="19" s="1"/>
  <c r="L956" i="19"/>
  <c r="M956" i="19" s="1"/>
  <c r="L968" i="19"/>
  <c r="M968" i="19" s="1"/>
  <c r="L980" i="19"/>
  <c r="M980" i="19" s="1"/>
  <c r="L992" i="19"/>
  <c r="M992" i="19" s="1"/>
  <c r="L1004" i="19"/>
  <c r="M1004" i="19" s="1"/>
  <c r="L440" i="19"/>
  <c r="M440" i="19" s="1"/>
  <c r="P89" i="11"/>
  <c r="P93" i="11"/>
  <c r="P90" i="11"/>
  <c r="P94" i="11"/>
  <c r="P91" i="11"/>
  <c r="P95" i="11"/>
  <c r="P88" i="11"/>
  <c r="P77" i="11"/>
  <c r="P87" i="11"/>
  <c r="P85" i="11"/>
  <c r="P72" i="11"/>
  <c r="P68" i="11"/>
  <c r="P18" i="11"/>
  <c r="P66" i="11"/>
  <c r="P52" i="11"/>
  <c r="P37" i="11"/>
  <c r="P7" i="11"/>
  <c r="P53" i="11"/>
  <c r="P23" i="11"/>
  <c r="P69" i="11"/>
  <c r="P9" i="11"/>
  <c r="P25" i="11"/>
  <c r="P30" i="11"/>
  <c r="P78" i="11"/>
  <c r="P20" i="11"/>
  <c r="P74" i="11"/>
  <c r="P56" i="11"/>
  <c r="P39" i="11"/>
  <c r="P55" i="11"/>
  <c r="P71" i="11"/>
  <c r="P11" i="11"/>
  <c r="P27" i="11"/>
  <c r="P34" i="11"/>
  <c r="P6" i="11"/>
  <c r="P22" i="11"/>
  <c r="P80" i="11"/>
  <c r="P64" i="11"/>
  <c r="P41" i="11"/>
  <c r="P57" i="11"/>
  <c r="P73" i="11"/>
  <c r="P13" i="11"/>
  <c r="P29" i="11"/>
  <c r="P38" i="11"/>
  <c r="P8" i="11"/>
  <c r="P24" i="11"/>
  <c r="P32" i="11"/>
  <c r="P70" i="11"/>
  <c r="P43" i="11"/>
  <c r="P59" i="11"/>
  <c r="P75" i="11"/>
  <c r="P15" i="11"/>
  <c r="P76" i="11"/>
  <c r="P42" i="11"/>
  <c r="P10" i="11"/>
  <c r="P26" i="11"/>
  <c r="P36" i="11"/>
  <c r="P86" i="11"/>
  <c r="P45" i="11"/>
  <c r="P61" i="11"/>
  <c r="P17" i="11"/>
  <c r="P54" i="11"/>
  <c r="P46" i="11"/>
  <c r="P12" i="11"/>
  <c r="P28" i="11"/>
  <c r="P40" i="11"/>
  <c r="P31" i="11"/>
  <c r="P47" i="11"/>
  <c r="P63" i="11"/>
  <c r="P79" i="11"/>
  <c r="P19" i="11"/>
  <c r="P62" i="11"/>
  <c r="P50" i="11"/>
  <c r="P14" i="11"/>
  <c r="P84" i="11"/>
  <c r="P44" i="11"/>
  <c r="P33" i="11"/>
  <c r="P49" i="11"/>
  <c r="P65" i="11"/>
  <c r="P81" i="11"/>
  <c r="P5" i="11"/>
  <c r="P21" i="11"/>
  <c r="P82" i="11"/>
  <c r="P60" i="11"/>
  <c r="P16" i="11"/>
  <c r="P58" i="11"/>
  <c r="P48" i="11"/>
  <c r="P35" i="11"/>
  <c r="P51" i="11"/>
  <c r="P67" i="11"/>
  <c r="P83" i="11"/>
  <c r="P9" i="19"/>
  <c r="R3" i="11"/>
  <c r="L297" i="19" l="1"/>
  <c r="M297" i="19" s="1"/>
  <c r="L21" i="19"/>
  <c r="M21" i="19" s="1"/>
  <c r="L45" i="19"/>
  <c r="M45" i="19" s="1"/>
  <c r="L69" i="19"/>
  <c r="M69" i="19" s="1"/>
  <c r="L93" i="19"/>
  <c r="M93" i="19" s="1"/>
  <c r="L117" i="19"/>
  <c r="M117" i="19" s="1"/>
  <c r="L141" i="19"/>
  <c r="M141" i="19" s="1"/>
  <c r="L165" i="19"/>
  <c r="M165" i="19" s="1"/>
  <c r="L189" i="19"/>
  <c r="M189" i="19" s="1"/>
  <c r="L213" i="19"/>
  <c r="M213" i="19" s="1"/>
  <c r="L237" i="19"/>
  <c r="M237" i="19" s="1"/>
  <c r="L261" i="19"/>
  <c r="M261" i="19" s="1"/>
  <c r="L285" i="19"/>
  <c r="M285" i="19" s="1"/>
  <c r="L309" i="19"/>
  <c r="M309" i="19" s="1"/>
  <c r="L345" i="19"/>
  <c r="M345" i="19" s="1"/>
  <c r="L357" i="19"/>
  <c r="M357" i="19" s="1"/>
  <c r="L321" i="19"/>
  <c r="M321" i="19" s="1"/>
  <c r="L9" i="19"/>
  <c r="M9" i="19" s="1"/>
  <c r="L105" i="19"/>
  <c r="M105" i="19" s="1"/>
  <c r="L201" i="19"/>
  <c r="M201" i="19" s="1"/>
  <c r="L381" i="19"/>
  <c r="M381" i="19" s="1"/>
  <c r="L405" i="19"/>
  <c r="M405" i="19" s="1"/>
  <c r="L441" i="19"/>
  <c r="M441" i="19" s="1"/>
  <c r="L489" i="19"/>
  <c r="M489" i="19" s="1"/>
  <c r="L81" i="19"/>
  <c r="M81" i="19" s="1"/>
  <c r="L177" i="19"/>
  <c r="M177" i="19" s="1"/>
  <c r="L273" i="19"/>
  <c r="M273" i="19" s="1"/>
  <c r="L453" i="19"/>
  <c r="M453" i="19" s="1"/>
  <c r="L501" i="19"/>
  <c r="M501" i="19" s="1"/>
  <c r="L513" i="19"/>
  <c r="M513" i="19" s="1"/>
  <c r="L525" i="19"/>
  <c r="M525" i="19" s="1"/>
  <c r="L537" i="19"/>
  <c r="M537" i="19" s="1"/>
  <c r="L549" i="19"/>
  <c r="M549" i="19" s="1"/>
  <c r="L561" i="19"/>
  <c r="M561" i="19" s="1"/>
  <c r="L573" i="19"/>
  <c r="M573" i="19" s="1"/>
  <c r="L585" i="19"/>
  <c r="M585" i="19" s="1"/>
  <c r="L597" i="19"/>
  <c r="M597" i="19" s="1"/>
  <c r="L609" i="19"/>
  <c r="M609" i="19" s="1"/>
  <c r="L57" i="19"/>
  <c r="M57" i="19" s="1"/>
  <c r="L153" i="19"/>
  <c r="M153" i="19" s="1"/>
  <c r="L249" i="19"/>
  <c r="M249" i="19" s="1"/>
  <c r="L369" i="19"/>
  <c r="M369" i="19" s="1"/>
  <c r="L393" i="19"/>
  <c r="M393" i="19" s="1"/>
  <c r="L417" i="19"/>
  <c r="M417" i="19" s="1"/>
  <c r="L465" i="19"/>
  <c r="M465" i="19" s="1"/>
  <c r="L33" i="19"/>
  <c r="M33" i="19" s="1"/>
  <c r="L621" i="19"/>
  <c r="M621" i="19" s="1"/>
  <c r="L669" i="19"/>
  <c r="M669" i="19" s="1"/>
  <c r="L429" i="19"/>
  <c r="M429" i="19" s="1"/>
  <c r="L633" i="19"/>
  <c r="M633" i="19" s="1"/>
  <c r="L681" i="19"/>
  <c r="M681" i="19" s="1"/>
  <c r="L705" i="19"/>
  <c r="M705" i="19" s="1"/>
  <c r="L717" i="19"/>
  <c r="M717" i="19" s="1"/>
  <c r="L729" i="19"/>
  <c r="M729" i="19" s="1"/>
  <c r="L741" i="19"/>
  <c r="M741" i="19" s="1"/>
  <c r="L753" i="19"/>
  <c r="M753" i="19" s="1"/>
  <c r="L765" i="19"/>
  <c r="M765" i="19" s="1"/>
  <c r="L777" i="19"/>
  <c r="M777" i="19" s="1"/>
  <c r="L789" i="19"/>
  <c r="M789" i="19" s="1"/>
  <c r="L801" i="19"/>
  <c r="M801" i="19" s="1"/>
  <c r="L813" i="19"/>
  <c r="M813" i="19" s="1"/>
  <c r="L825" i="19"/>
  <c r="M825" i="19" s="1"/>
  <c r="L837" i="19"/>
  <c r="M837" i="19" s="1"/>
  <c r="L849" i="19"/>
  <c r="M849" i="19" s="1"/>
  <c r="L861" i="19"/>
  <c r="M861" i="19" s="1"/>
  <c r="L873" i="19"/>
  <c r="M873" i="19" s="1"/>
  <c r="L885" i="19"/>
  <c r="M885" i="19" s="1"/>
  <c r="L897" i="19"/>
  <c r="M897" i="19" s="1"/>
  <c r="L909" i="19"/>
  <c r="M909" i="19" s="1"/>
  <c r="L921" i="19"/>
  <c r="M921" i="19" s="1"/>
  <c r="L933" i="19"/>
  <c r="M933" i="19" s="1"/>
  <c r="L945" i="19"/>
  <c r="M945" i="19" s="1"/>
  <c r="L957" i="19"/>
  <c r="M957" i="19" s="1"/>
  <c r="L969" i="19"/>
  <c r="M969" i="19" s="1"/>
  <c r="L981" i="19"/>
  <c r="M981" i="19" s="1"/>
  <c r="L993" i="19"/>
  <c r="M993" i="19" s="1"/>
  <c r="L1005" i="19"/>
  <c r="M1005" i="19" s="1"/>
  <c r="L225" i="19"/>
  <c r="M225" i="19" s="1"/>
  <c r="L333" i="19"/>
  <c r="M333" i="19" s="1"/>
  <c r="L477" i="19"/>
  <c r="M477" i="19" s="1"/>
  <c r="L645" i="19"/>
  <c r="M645" i="19" s="1"/>
  <c r="L693" i="19"/>
  <c r="M693" i="19" s="1"/>
  <c r="L129" i="19"/>
  <c r="M129" i="19" s="1"/>
  <c r="L657" i="19"/>
  <c r="M657" i="19" s="1"/>
  <c r="Q92" i="11"/>
  <c r="Q89" i="11"/>
  <c r="Q93" i="11"/>
  <c r="Q90" i="11"/>
  <c r="Q94" i="11"/>
  <c r="Q91" i="11"/>
  <c r="Q95" i="11"/>
  <c r="Q88" i="11"/>
  <c r="Q77" i="11"/>
  <c r="Q87" i="11"/>
  <c r="Q7" i="11"/>
  <c r="Q23" i="11"/>
  <c r="Q14" i="11"/>
  <c r="Q30" i="11"/>
  <c r="Q46" i="11"/>
  <c r="Q62" i="11"/>
  <c r="Q78" i="11"/>
  <c r="Q37" i="11"/>
  <c r="Q53" i="11"/>
  <c r="Q69" i="11"/>
  <c r="Q85" i="11"/>
  <c r="Q9" i="11"/>
  <c r="Q25" i="11"/>
  <c r="Q16" i="11"/>
  <c r="Q32" i="11"/>
  <c r="Q48" i="11"/>
  <c r="Q64" i="11"/>
  <c r="Q80" i="11"/>
  <c r="Q39" i="11"/>
  <c r="Q55" i="11"/>
  <c r="Q71" i="11"/>
  <c r="Q11" i="11"/>
  <c r="Q18" i="11"/>
  <c r="Q66" i="11"/>
  <c r="Q57" i="11"/>
  <c r="Q13" i="11"/>
  <c r="Q29" i="11"/>
  <c r="Q20" i="11"/>
  <c r="Q36" i="11"/>
  <c r="Q52" i="11"/>
  <c r="Q68" i="11"/>
  <c r="Q84" i="11"/>
  <c r="Q43" i="11"/>
  <c r="Q59" i="11"/>
  <c r="Q75" i="11"/>
  <c r="Q82" i="11"/>
  <c r="Q15" i="11"/>
  <c r="Q6" i="11"/>
  <c r="Q22" i="11"/>
  <c r="Q38" i="11"/>
  <c r="Q54" i="11"/>
  <c r="Q70" i="11"/>
  <c r="Q86" i="11"/>
  <c r="Q45" i="11"/>
  <c r="Q61" i="11"/>
  <c r="Q34" i="11"/>
  <c r="Q17" i="11"/>
  <c r="Q8" i="11"/>
  <c r="Q24" i="11"/>
  <c r="Q40" i="11"/>
  <c r="Q56" i="11"/>
  <c r="Q72" i="11"/>
  <c r="Q31" i="11"/>
  <c r="Q47" i="11"/>
  <c r="Q63" i="11"/>
  <c r="Q79" i="11"/>
  <c r="Q19" i="11"/>
  <c r="Q10" i="11"/>
  <c r="Q26" i="11"/>
  <c r="Q42" i="11"/>
  <c r="Q58" i="11"/>
  <c r="Q74" i="11"/>
  <c r="Q33" i="11"/>
  <c r="Q49" i="11"/>
  <c r="Q65" i="11"/>
  <c r="Q81" i="11"/>
  <c r="Q27" i="11"/>
  <c r="Q50" i="11"/>
  <c r="Q41" i="11"/>
  <c r="Q73" i="11"/>
  <c r="Q5" i="11"/>
  <c r="Q21" i="11"/>
  <c r="Q12" i="11"/>
  <c r="Q28" i="11"/>
  <c r="Q44" i="11"/>
  <c r="Q60" i="11"/>
  <c r="Q76" i="11"/>
  <c r="Q35" i="11"/>
  <c r="Q51" i="11"/>
  <c r="Q67" i="11"/>
  <c r="Q83" i="11"/>
  <c r="P10" i="19"/>
  <c r="S3" i="11"/>
  <c r="L10" i="19" l="1"/>
  <c r="M10" i="19" s="1"/>
  <c r="L22" i="19"/>
  <c r="M22" i="19" s="1"/>
  <c r="L34" i="19"/>
  <c r="M34" i="19" s="1"/>
  <c r="L46" i="19"/>
  <c r="M46" i="19" s="1"/>
  <c r="L58" i="19"/>
  <c r="M58" i="19" s="1"/>
  <c r="L70" i="19"/>
  <c r="M70" i="19" s="1"/>
  <c r="L82" i="19"/>
  <c r="M82" i="19" s="1"/>
  <c r="L94" i="19"/>
  <c r="M94" i="19" s="1"/>
  <c r="L106" i="19"/>
  <c r="M106" i="19" s="1"/>
  <c r="L118" i="19"/>
  <c r="M118" i="19" s="1"/>
  <c r="L130" i="19"/>
  <c r="M130" i="19" s="1"/>
  <c r="L142" i="19"/>
  <c r="M142" i="19" s="1"/>
  <c r="L154" i="19"/>
  <c r="M154" i="19" s="1"/>
  <c r="L166" i="19"/>
  <c r="M166" i="19" s="1"/>
  <c r="L178" i="19"/>
  <c r="M178" i="19" s="1"/>
  <c r="L190" i="19"/>
  <c r="M190" i="19" s="1"/>
  <c r="L202" i="19"/>
  <c r="M202" i="19" s="1"/>
  <c r="L214" i="19"/>
  <c r="M214" i="19" s="1"/>
  <c r="L226" i="19"/>
  <c r="M226" i="19" s="1"/>
  <c r="L238" i="19"/>
  <c r="M238" i="19" s="1"/>
  <c r="L250" i="19"/>
  <c r="M250" i="19" s="1"/>
  <c r="L262" i="19"/>
  <c r="M262" i="19" s="1"/>
  <c r="L274" i="19"/>
  <c r="M274" i="19" s="1"/>
  <c r="L286" i="19"/>
  <c r="M286" i="19" s="1"/>
  <c r="L334" i="19"/>
  <c r="M334" i="19" s="1"/>
  <c r="L298" i="19"/>
  <c r="M298" i="19" s="1"/>
  <c r="L310" i="19"/>
  <c r="M310" i="19" s="1"/>
  <c r="L346" i="19"/>
  <c r="M346" i="19" s="1"/>
  <c r="L358" i="19"/>
  <c r="M358" i="19" s="1"/>
  <c r="L370" i="19"/>
  <c r="M370" i="19" s="1"/>
  <c r="L382" i="19"/>
  <c r="M382" i="19" s="1"/>
  <c r="L394" i="19"/>
  <c r="M394" i="19" s="1"/>
  <c r="L406" i="19"/>
  <c r="M406" i="19" s="1"/>
  <c r="L418" i="19"/>
  <c r="M418" i="19" s="1"/>
  <c r="L430" i="19"/>
  <c r="M430" i="19" s="1"/>
  <c r="L442" i="19"/>
  <c r="M442" i="19" s="1"/>
  <c r="L454" i="19"/>
  <c r="M454" i="19" s="1"/>
  <c r="L466" i="19"/>
  <c r="M466" i="19" s="1"/>
  <c r="L478" i="19"/>
  <c r="M478" i="19" s="1"/>
  <c r="L490" i="19"/>
  <c r="M490" i="19" s="1"/>
  <c r="L322" i="19"/>
  <c r="M322" i="19" s="1"/>
  <c r="L502" i="19"/>
  <c r="M502" i="19" s="1"/>
  <c r="L514" i="19"/>
  <c r="M514" i="19" s="1"/>
  <c r="L526" i="19"/>
  <c r="M526" i="19" s="1"/>
  <c r="L538" i="19"/>
  <c r="M538" i="19" s="1"/>
  <c r="L550" i="19"/>
  <c r="M550" i="19" s="1"/>
  <c r="L562" i="19"/>
  <c r="M562" i="19" s="1"/>
  <c r="L586" i="19"/>
  <c r="M586" i="19" s="1"/>
  <c r="L610" i="19"/>
  <c r="M610" i="19" s="1"/>
  <c r="L658" i="19"/>
  <c r="M658" i="19" s="1"/>
  <c r="L622" i="19"/>
  <c r="M622" i="19" s="1"/>
  <c r="L670" i="19"/>
  <c r="M670" i="19" s="1"/>
  <c r="L574" i="19"/>
  <c r="M574" i="19" s="1"/>
  <c r="L598" i="19"/>
  <c r="M598" i="19" s="1"/>
  <c r="L634" i="19"/>
  <c r="M634" i="19" s="1"/>
  <c r="L682" i="19"/>
  <c r="M682" i="19" s="1"/>
  <c r="L706" i="19"/>
  <c r="M706" i="19" s="1"/>
  <c r="L718" i="19"/>
  <c r="M718" i="19" s="1"/>
  <c r="L730" i="19"/>
  <c r="M730" i="19" s="1"/>
  <c r="L742" i="19"/>
  <c r="M742" i="19" s="1"/>
  <c r="L754" i="19"/>
  <c r="M754" i="19" s="1"/>
  <c r="L766" i="19"/>
  <c r="M766" i="19" s="1"/>
  <c r="L778" i="19"/>
  <c r="M778" i="19" s="1"/>
  <c r="L790" i="19"/>
  <c r="M790" i="19" s="1"/>
  <c r="L802" i="19"/>
  <c r="M802" i="19" s="1"/>
  <c r="L814" i="19"/>
  <c r="M814" i="19" s="1"/>
  <c r="L826" i="19"/>
  <c r="M826" i="19" s="1"/>
  <c r="L838" i="19"/>
  <c r="M838" i="19" s="1"/>
  <c r="L850" i="19"/>
  <c r="M850" i="19" s="1"/>
  <c r="L862" i="19"/>
  <c r="M862" i="19" s="1"/>
  <c r="L874" i="19"/>
  <c r="M874" i="19" s="1"/>
  <c r="L886" i="19"/>
  <c r="M886" i="19" s="1"/>
  <c r="L898" i="19"/>
  <c r="M898" i="19" s="1"/>
  <c r="L910" i="19"/>
  <c r="M910" i="19" s="1"/>
  <c r="L922" i="19"/>
  <c r="M922" i="19" s="1"/>
  <c r="L934" i="19"/>
  <c r="M934" i="19" s="1"/>
  <c r="L946" i="19"/>
  <c r="M946" i="19" s="1"/>
  <c r="L958" i="19"/>
  <c r="M958" i="19" s="1"/>
  <c r="L970" i="19"/>
  <c r="M970" i="19" s="1"/>
  <c r="L982" i="19"/>
  <c r="M982" i="19" s="1"/>
  <c r="L994" i="19"/>
  <c r="M994" i="19" s="1"/>
  <c r="L1006" i="19"/>
  <c r="M1006" i="19" s="1"/>
  <c r="L646" i="19"/>
  <c r="M646" i="19" s="1"/>
  <c r="L694" i="19"/>
  <c r="M694" i="19" s="1"/>
  <c r="R90" i="11"/>
  <c r="R92" i="11"/>
  <c r="R94" i="11"/>
  <c r="R93" i="11"/>
  <c r="R89" i="11"/>
  <c r="R95" i="11"/>
  <c r="R91" i="11"/>
  <c r="R88" i="11"/>
  <c r="R78" i="11"/>
  <c r="R87" i="11"/>
  <c r="R13" i="11"/>
  <c r="R83" i="11"/>
  <c r="R74" i="11"/>
  <c r="R48" i="11"/>
  <c r="R9" i="11"/>
  <c r="R26" i="11"/>
  <c r="R7" i="11"/>
  <c r="R35" i="11"/>
  <c r="R82" i="11"/>
  <c r="R42" i="11"/>
  <c r="R43" i="11"/>
  <c r="R68" i="11"/>
  <c r="R51" i="11"/>
  <c r="R25" i="11"/>
  <c r="R59" i="11"/>
  <c r="R10" i="11"/>
  <c r="R67" i="11"/>
  <c r="R32" i="11"/>
  <c r="R18" i="11"/>
  <c r="R75" i="11"/>
  <c r="R52" i="11"/>
  <c r="R17" i="11"/>
  <c r="R12" i="11"/>
  <c r="R28" i="11"/>
  <c r="R37" i="11"/>
  <c r="R53" i="11"/>
  <c r="R69" i="11"/>
  <c r="R84" i="11"/>
  <c r="R19" i="11"/>
  <c r="R56" i="11"/>
  <c r="R34" i="11"/>
  <c r="R21" i="11"/>
  <c r="R14" i="11"/>
  <c r="R58" i="11"/>
  <c r="R39" i="11"/>
  <c r="R55" i="11"/>
  <c r="R71" i="11"/>
  <c r="R70" i="11"/>
  <c r="R86" i="11"/>
  <c r="R11" i="11"/>
  <c r="R30" i="11"/>
  <c r="R85" i="11"/>
  <c r="R27" i="11"/>
  <c r="R64" i="11"/>
  <c r="R38" i="11"/>
  <c r="R5" i="11"/>
  <c r="R16" i="11"/>
  <c r="R66" i="11"/>
  <c r="R41" i="11"/>
  <c r="R57" i="11"/>
  <c r="R73" i="11"/>
  <c r="R72" i="11"/>
  <c r="R36" i="11"/>
  <c r="R23" i="11"/>
  <c r="R46" i="11"/>
  <c r="R29" i="11"/>
  <c r="R20" i="11"/>
  <c r="R62" i="11"/>
  <c r="R45" i="11"/>
  <c r="R61" i="11"/>
  <c r="R77" i="11"/>
  <c r="R76" i="11"/>
  <c r="R40" i="11"/>
  <c r="R15" i="11"/>
  <c r="R50" i="11"/>
  <c r="R6" i="11"/>
  <c r="R22" i="11"/>
  <c r="R31" i="11"/>
  <c r="R47" i="11"/>
  <c r="R63" i="11"/>
  <c r="R79" i="11"/>
  <c r="R44" i="11"/>
  <c r="R54" i="11"/>
  <c r="R60" i="11"/>
  <c r="R8" i="11"/>
  <c r="R24" i="11"/>
  <c r="R33" i="11"/>
  <c r="R49" i="11"/>
  <c r="R65" i="11"/>
  <c r="R81" i="11"/>
  <c r="R80" i="11"/>
  <c r="P11" i="19"/>
  <c r="T3" i="11"/>
  <c r="S92" i="11" l="1"/>
  <c r="S89" i="11"/>
  <c r="S93" i="11"/>
  <c r="S90" i="11"/>
  <c r="S94" i="11"/>
  <c r="S91" i="11"/>
  <c r="S95" i="11"/>
  <c r="S88" i="11"/>
  <c r="S83" i="11"/>
  <c r="S87" i="11"/>
  <c r="S51" i="11"/>
  <c r="S85" i="11"/>
  <c r="S62" i="11"/>
  <c r="S40" i="11"/>
  <c r="S31" i="11"/>
  <c r="S39" i="11"/>
  <c r="S22" i="11"/>
  <c r="S26" i="11"/>
  <c r="S48" i="11"/>
  <c r="S46" i="11"/>
  <c r="S28" i="11"/>
  <c r="S66" i="11"/>
  <c r="S52" i="11"/>
  <c r="S33" i="11"/>
  <c r="S63" i="11"/>
  <c r="S68" i="11"/>
  <c r="S13" i="11"/>
  <c r="S37" i="11"/>
  <c r="S67" i="11"/>
  <c r="S78" i="11"/>
  <c r="S17" i="11"/>
  <c r="S6" i="11"/>
  <c r="S69" i="11"/>
  <c r="S82" i="11"/>
  <c r="S19" i="11"/>
  <c r="S10" i="11"/>
  <c r="S79" i="11"/>
  <c r="S84" i="11"/>
  <c r="S29" i="11"/>
  <c r="S12" i="11"/>
  <c r="S44" i="11"/>
  <c r="S15" i="11"/>
  <c r="S47" i="11"/>
  <c r="S50" i="11"/>
  <c r="S8" i="11"/>
  <c r="S24" i="11"/>
  <c r="S65" i="11"/>
  <c r="S81" i="11"/>
  <c r="S64" i="11"/>
  <c r="S80" i="11"/>
  <c r="S35" i="11"/>
  <c r="S5" i="11"/>
  <c r="S21" i="11"/>
  <c r="S30" i="11"/>
  <c r="S41" i="11"/>
  <c r="S14" i="11"/>
  <c r="S55" i="11"/>
  <c r="S71" i="11"/>
  <c r="S54" i="11"/>
  <c r="S70" i="11"/>
  <c r="S86" i="11"/>
  <c r="S43" i="11"/>
  <c r="S7" i="11"/>
  <c r="S23" i="11"/>
  <c r="S34" i="11"/>
  <c r="S45" i="11"/>
  <c r="S16" i="11"/>
  <c r="S57" i="11"/>
  <c r="S73" i="11"/>
  <c r="S56" i="11"/>
  <c r="S72" i="11"/>
  <c r="S32" i="11"/>
  <c r="S9" i="11"/>
  <c r="S25" i="11"/>
  <c r="S38" i="11"/>
  <c r="S49" i="11"/>
  <c r="S18" i="11"/>
  <c r="S59" i="11"/>
  <c r="S75" i="11"/>
  <c r="S58" i="11"/>
  <c r="S74" i="11"/>
  <c r="S36" i="11"/>
  <c r="S11" i="11"/>
  <c r="S27" i="11"/>
  <c r="S42" i="11"/>
  <c r="S53" i="11"/>
  <c r="S20" i="11"/>
  <c r="S61" i="11"/>
  <c r="S77" i="11"/>
  <c r="S60" i="11"/>
  <c r="S76" i="11"/>
  <c r="P12" i="19"/>
  <c r="U3" i="11"/>
  <c r="T92" i="11" s="1"/>
  <c r="U88" i="11" l="1"/>
  <c r="U95" i="11"/>
  <c r="U94" i="11"/>
  <c r="U93" i="11"/>
  <c r="U92" i="11"/>
  <c r="U91" i="11"/>
  <c r="U90" i="11"/>
  <c r="U89" i="11"/>
  <c r="T89" i="11"/>
  <c r="T93" i="11"/>
  <c r="T90" i="11"/>
  <c r="T94" i="11"/>
  <c r="T91" i="11"/>
  <c r="T95" i="11"/>
  <c r="T88" i="11"/>
  <c r="T56" i="11"/>
  <c r="U87" i="11"/>
  <c r="T87" i="11"/>
  <c r="T60" i="11"/>
  <c r="T72" i="11"/>
  <c r="T14" i="11"/>
  <c r="T77" i="11"/>
  <c r="T26" i="11"/>
  <c r="T27" i="11"/>
  <c r="T81" i="11"/>
  <c r="T85" i="11"/>
  <c r="T39" i="11"/>
  <c r="T53" i="11"/>
  <c r="T47" i="11"/>
  <c r="T75" i="11"/>
  <c r="T7" i="11"/>
  <c r="T40" i="11"/>
  <c r="T11" i="11"/>
  <c r="T44" i="11"/>
  <c r="T10" i="11"/>
  <c r="T23" i="11"/>
  <c r="U86" i="11"/>
  <c r="U84" i="11"/>
  <c r="U82" i="11"/>
  <c r="U80" i="11"/>
  <c r="U78" i="11"/>
  <c r="U76" i="11"/>
  <c r="U74" i="11"/>
  <c r="U72" i="11"/>
  <c r="U70" i="11"/>
  <c r="U68" i="11"/>
  <c r="U66" i="11"/>
  <c r="U64" i="11"/>
  <c r="U62" i="11"/>
  <c r="U60" i="11"/>
  <c r="U58" i="11"/>
  <c r="U56" i="11"/>
  <c r="U54" i="11"/>
  <c r="U52" i="11"/>
  <c r="U50" i="11"/>
  <c r="U48" i="11"/>
  <c r="U46" i="11"/>
  <c r="U44" i="11"/>
  <c r="U42" i="11"/>
  <c r="U40" i="11"/>
  <c r="U38" i="11"/>
  <c r="U36" i="11"/>
  <c r="U34" i="11"/>
  <c r="U32" i="11"/>
  <c r="U30" i="11"/>
  <c r="U85" i="11"/>
  <c r="U83" i="11"/>
  <c r="U81" i="11"/>
  <c r="U79" i="11"/>
  <c r="U77" i="11"/>
  <c r="U75" i="11"/>
  <c r="U73" i="11"/>
  <c r="U71" i="11"/>
  <c r="U69" i="11"/>
  <c r="U67" i="11"/>
  <c r="U65" i="11"/>
  <c r="U63" i="11"/>
  <c r="U61" i="11"/>
  <c r="U59" i="11"/>
  <c r="U57" i="11"/>
  <c r="U55" i="11"/>
  <c r="U53" i="11"/>
  <c r="U51" i="11"/>
  <c r="U49" i="11"/>
  <c r="U47" i="11"/>
  <c r="U45" i="11"/>
  <c r="U43" i="11"/>
  <c r="U41" i="11"/>
  <c r="U39" i="11"/>
  <c r="U37" i="11"/>
  <c r="U35" i="11"/>
  <c r="U33" i="11"/>
  <c r="U31" i="11"/>
  <c r="U29" i="11"/>
  <c r="U27" i="11"/>
  <c r="U25" i="11"/>
  <c r="U23" i="11"/>
  <c r="U21" i="11"/>
  <c r="U19" i="11"/>
  <c r="U17" i="11"/>
  <c r="U15" i="11"/>
  <c r="U13" i="11"/>
  <c r="U11" i="11"/>
  <c r="U9" i="11"/>
  <c r="U7" i="11"/>
  <c r="U5" i="11"/>
  <c r="U28" i="11"/>
  <c r="U26" i="11"/>
  <c r="U24" i="11"/>
  <c r="U22" i="11"/>
  <c r="U20" i="11"/>
  <c r="U18" i="11"/>
  <c r="U16" i="11"/>
  <c r="U14" i="11"/>
  <c r="U12" i="11"/>
  <c r="U10" i="11"/>
  <c r="U8" i="11"/>
  <c r="U6" i="11"/>
  <c r="T12" i="11"/>
  <c r="T28" i="11"/>
  <c r="T43" i="11"/>
  <c r="T9" i="11"/>
  <c r="T25" i="11"/>
  <c r="T69" i="11"/>
  <c r="T61" i="11"/>
  <c r="T42" i="11"/>
  <c r="T58" i="11"/>
  <c r="T74" i="11"/>
  <c r="T16" i="11"/>
  <c r="T13" i="11"/>
  <c r="T46" i="11"/>
  <c r="T18" i="11"/>
  <c r="T67" i="11"/>
  <c r="T57" i="11"/>
  <c r="T15" i="11"/>
  <c r="T73" i="11"/>
  <c r="T37" i="11"/>
  <c r="T32" i="11"/>
  <c r="T48" i="11"/>
  <c r="T64" i="11"/>
  <c r="T80" i="11"/>
  <c r="T76" i="11"/>
  <c r="T59" i="11"/>
  <c r="T33" i="11"/>
  <c r="T62" i="11"/>
  <c r="T20" i="11"/>
  <c r="T71" i="11"/>
  <c r="T65" i="11"/>
  <c r="T17" i="11"/>
  <c r="T55" i="11"/>
  <c r="T41" i="11"/>
  <c r="T34" i="11"/>
  <c r="T50" i="11"/>
  <c r="T66" i="11"/>
  <c r="T82" i="11"/>
  <c r="T51" i="11"/>
  <c r="T30" i="11"/>
  <c r="T6" i="11"/>
  <c r="T22" i="11"/>
  <c r="T31" i="11"/>
  <c r="T83" i="11"/>
  <c r="T19" i="11"/>
  <c r="T63" i="11"/>
  <c r="T45" i="11"/>
  <c r="T36" i="11"/>
  <c r="T52" i="11"/>
  <c r="T68" i="11"/>
  <c r="T84" i="11"/>
  <c r="T29" i="11"/>
  <c r="T78" i="11"/>
  <c r="T8" i="11"/>
  <c r="T24" i="11"/>
  <c r="T35" i="11"/>
  <c r="T5" i="11"/>
  <c r="T21" i="11"/>
  <c r="T79" i="11"/>
  <c r="T49" i="11"/>
  <c r="T38" i="11"/>
  <c r="T54" i="11"/>
  <c r="T70" i="11"/>
  <c r="T86" i="11"/>
  <c r="P13" i="19"/>
  <c r="W12" i="11" l="1"/>
  <c r="X12" i="11" s="1"/>
  <c r="W17" i="11"/>
  <c r="X17" i="11" s="1"/>
  <c r="W81" i="11"/>
  <c r="X81" i="11" s="1"/>
  <c r="W29" i="11"/>
  <c r="X29" i="11" s="1"/>
  <c r="W68" i="11"/>
  <c r="X68" i="11" s="1"/>
  <c r="W20" i="11"/>
  <c r="X20" i="11" s="1"/>
  <c r="W32" i="11"/>
  <c r="X32" i="11" s="1"/>
  <c r="W46" i="11"/>
  <c r="X46" i="11" s="1"/>
  <c r="W35" i="11"/>
  <c r="X35" i="11" s="1"/>
  <c r="W25" i="11"/>
  <c r="X25" i="11" s="1"/>
  <c r="W61" i="11"/>
  <c r="X61" i="11" s="1"/>
  <c r="W47" i="11"/>
  <c r="X47" i="11" s="1"/>
  <c r="W77" i="11"/>
  <c r="X77" i="11" s="1"/>
  <c r="W11" i="11"/>
  <c r="X11" i="11" s="1"/>
  <c r="W8" i="11"/>
  <c r="X8" i="11" s="1"/>
  <c r="W56" i="11"/>
  <c r="X56" i="11" s="1"/>
  <c r="W79" i="11"/>
  <c r="X79" i="11" s="1"/>
  <c r="W45" i="11"/>
  <c r="X45" i="11" s="1"/>
  <c r="W86" i="11"/>
  <c r="X86" i="11" s="1"/>
  <c r="W63" i="11"/>
  <c r="X63" i="11" s="1"/>
  <c r="W27" i="11"/>
  <c r="X27" i="11" s="1"/>
  <c r="W9" i="11"/>
  <c r="X9" i="11" s="1"/>
  <c r="W31" i="11"/>
  <c r="X31" i="11" s="1"/>
  <c r="W36" i="11"/>
  <c r="X36" i="11" s="1"/>
  <c r="W52" i="11"/>
  <c r="X52" i="11" s="1"/>
  <c r="W84" i="11"/>
  <c r="X84" i="11" s="1"/>
  <c r="W75" i="11"/>
  <c r="X75" i="11" s="1"/>
  <c r="W40" i="11"/>
  <c r="X40" i="11" s="1"/>
  <c r="W74" i="11"/>
  <c r="X74" i="11" s="1"/>
  <c r="W10" i="11"/>
  <c r="X10" i="11" s="1"/>
  <c r="W7" i="11"/>
  <c r="X7" i="11" s="1"/>
  <c r="W19" i="11"/>
  <c r="X19" i="11" s="1"/>
  <c r="W18" i="11"/>
  <c r="X18" i="11" s="1"/>
  <c r="W72" i="11"/>
  <c r="X72" i="11" s="1"/>
  <c r="W26" i="11"/>
  <c r="X26" i="11" s="1"/>
  <c r="W23" i="11"/>
  <c r="X23" i="11" s="1"/>
  <c r="W34" i="11"/>
  <c r="X34" i="11" s="1"/>
  <c r="W50" i="11"/>
  <c r="X50" i="11" s="1"/>
  <c r="W66" i="11"/>
  <c r="X66" i="11" s="1"/>
  <c r="W57" i="11"/>
  <c r="X57" i="11" s="1"/>
  <c r="W59" i="11"/>
  <c r="X59" i="11" s="1"/>
  <c r="W6" i="11"/>
  <c r="X6" i="11" s="1"/>
  <c r="W22" i="11"/>
  <c r="X22" i="11" s="1"/>
  <c r="W38" i="11"/>
  <c r="X38" i="11" s="1"/>
  <c r="W54" i="11"/>
  <c r="X54" i="11" s="1"/>
  <c r="W70" i="11"/>
  <c r="X70" i="11" s="1"/>
  <c r="W65" i="11"/>
  <c r="X65" i="11" s="1"/>
  <c r="W21" i="11"/>
  <c r="X21" i="11" s="1"/>
  <c r="W58" i="11"/>
  <c r="X58" i="11" s="1"/>
  <c r="W28" i="11"/>
  <c r="X28" i="11" s="1"/>
  <c r="W39" i="11"/>
  <c r="X39" i="11" s="1"/>
  <c r="W44" i="11"/>
  <c r="X44" i="11" s="1"/>
  <c r="W60" i="11"/>
  <c r="X60" i="11" s="1"/>
  <c r="W76" i="11"/>
  <c r="X76" i="11" s="1"/>
  <c r="W51" i="11"/>
  <c r="X51" i="11" s="1"/>
  <c r="W67" i="11"/>
  <c r="X67" i="11" s="1"/>
  <c r="W83" i="11"/>
  <c r="X83" i="11" s="1"/>
  <c r="W24" i="11"/>
  <c r="X24" i="11" s="1"/>
  <c r="W13" i="11"/>
  <c r="X13" i="11" s="1"/>
  <c r="W42" i="11"/>
  <c r="X42" i="11" s="1"/>
  <c r="W14" i="11"/>
  <c r="X14" i="11" s="1"/>
  <c r="W30" i="11"/>
  <c r="X30" i="11" s="1"/>
  <c r="W41" i="11"/>
  <c r="X41" i="11" s="1"/>
  <c r="W62" i="11"/>
  <c r="X62" i="11" s="1"/>
  <c r="W78" i="11"/>
  <c r="X78" i="11" s="1"/>
  <c r="W53" i="11"/>
  <c r="X53" i="11" s="1"/>
  <c r="W69" i="11"/>
  <c r="X69" i="11" s="1"/>
  <c r="W85" i="11"/>
  <c r="X85" i="11" s="1"/>
  <c r="W37" i="11"/>
  <c r="X37" i="11" s="1"/>
  <c r="W49" i="11"/>
  <c r="X49" i="11" s="1"/>
  <c r="W33" i="11"/>
  <c r="X33" i="11" s="1"/>
  <c r="W15" i="11"/>
  <c r="X15" i="11" s="1"/>
  <c r="W16" i="11"/>
  <c r="X16" i="11" s="1"/>
  <c r="W43" i="11"/>
  <c r="X43" i="11" s="1"/>
  <c r="W48" i="11"/>
  <c r="X48" i="11" s="1"/>
  <c r="W64" i="11"/>
  <c r="X64" i="11" s="1"/>
  <c r="W80" i="11"/>
  <c r="X80" i="11" s="1"/>
  <c r="W55" i="11"/>
  <c r="X55" i="11" s="1"/>
  <c r="W71" i="11"/>
  <c r="X71" i="11" s="1"/>
  <c r="W82" i="11"/>
  <c r="X82" i="11" s="1"/>
  <c r="W73" i="11"/>
  <c r="X73" i="11" s="1"/>
  <c r="W5" i="11" l="1"/>
  <c r="X5"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AAFB1-5FE4-45B8-9886-0AE4641435A8}" keepAlive="1" name="Consulta - BD_P&amp;C" description="Conexión a la consulta 'BD_P&amp;C' en el libro." type="5" refreshedVersion="8" background="1" saveData="1">
    <dbPr connection="Provider=Microsoft.Mashup.OleDb.1;Data Source=$Workbook$;Location=BD_P&amp;C;Extended Properties=&quot;&quot;" command="SELECT * FROM [BD_P&amp;C]"/>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<sst xmlns="http://schemas.openxmlformats.org/spreadsheetml/2006/main" count="3680" uniqueCount="91">
  <si>
    <t>INSTRUCTIVO</t>
  </si>
  <si>
    <r>
      <rPr>
        <b/>
        <sz val="11"/>
        <color rgb="FF000000"/>
        <rFont val="Aptos Narrow"/>
        <family val="2"/>
        <scheme val="minor"/>
      </rPr>
      <t xml:space="preserve">1. </t>
    </r>
    <r>
      <rPr>
        <sz val="11"/>
        <color rgb="FF000000"/>
        <rFont val="Aptos Narrow"/>
        <family val="2"/>
        <scheme val="minor"/>
      </rPr>
      <t>La hoja "Registro" es para anotar tareas actuales (vigentes) y terminadas de los empleados, en dicha hoja se deberán anotar los datos de las tareas como la fecha de inicio, plazo, tiempo estimado y estado, además de la persona encargada.</t>
    </r>
  </si>
  <si>
    <r>
      <rPr>
        <b/>
        <sz val="11"/>
        <color rgb="FF000000"/>
        <rFont val="Aptos Narrow"/>
        <family val="2"/>
        <scheme val="minor"/>
      </rPr>
      <t>2.</t>
    </r>
    <r>
      <rPr>
        <sz val="11"/>
        <color rgb="FF000000"/>
        <rFont val="Aptos Narrow"/>
        <family val="2"/>
        <scheme val="minor"/>
      </rPr>
      <t xml:space="preserve"> La hoja "Carga de HH" no se debe mover, aquí se distribuyen las horas de cada activdidad asignada a cada empleado según la fecha de incio, plazo y tiempo estimado de la activadad, con un horizonte máximo de 3 meses (12 semanas)</t>
    </r>
  </si>
  <si>
    <r>
      <rPr>
        <b/>
        <sz val="11"/>
        <color rgb="FF000000"/>
        <rFont val="Aptos Narrow"/>
        <family val="2"/>
        <scheme val="minor"/>
      </rPr>
      <t>3.</t>
    </r>
    <r>
      <rPr>
        <sz val="11"/>
        <color rgb="FF000000"/>
        <rFont val="Aptos Narrow"/>
        <family val="2"/>
        <scheme val="minor"/>
      </rPr>
      <t xml:space="preserve"> Por último, la hoja "Gráficos HH" es para visualizar de forma más fácil la distribución actual de  la carga de trabajo, es por esto que se hicieron diversos gráficos, los cuales van acompañados de su respectiva tabla en caso de querer ver más en detalle los valores.
</t>
    </r>
    <r>
      <rPr>
        <b/>
        <sz val="11"/>
        <color rgb="FF000000"/>
        <rFont val="Aptos Narrow"/>
        <family val="2"/>
        <scheme val="minor"/>
      </rPr>
      <t xml:space="preserve">NOTA: </t>
    </r>
    <r>
      <rPr>
        <sz val="11"/>
        <color rgb="FF000000"/>
        <rFont val="Aptos Narrow"/>
        <family val="2"/>
        <scheme val="minor"/>
      </rPr>
      <t>Los gráficos no se actualizan solos, se debe ir a la pestaña "Datos" y hacer click en "Actualizar todos"</t>
    </r>
  </si>
  <si>
    <t xml:space="preserve">Emplado </t>
  </si>
  <si>
    <t>Tarea/Actividad</t>
  </si>
  <si>
    <t>Fecha de inicio</t>
  </si>
  <si>
    <t>Plazo (fecha)</t>
  </si>
  <si>
    <t>Tiempo necesario estimado (Horas)</t>
  </si>
  <si>
    <t xml:space="preserve">Status tarea </t>
  </si>
  <si>
    <t>Daniela Rojas</t>
  </si>
  <si>
    <t>Reclutamiento y selección</t>
  </si>
  <si>
    <t>Vigente</t>
  </si>
  <si>
    <t>Actividad</t>
  </si>
  <si>
    <t>Tiempo estimado (horas)</t>
  </si>
  <si>
    <t>Vicente Castro</t>
  </si>
  <si>
    <t>Inducción y bienvenida</t>
  </si>
  <si>
    <t>Fernanda Morales</t>
  </si>
  <si>
    <t>Administración de personal</t>
  </si>
  <si>
    <t>Matías Herrera</t>
  </si>
  <si>
    <t>Gestión de remuneraciones y beneficios</t>
  </si>
  <si>
    <t>Camila González</t>
  </si>
  <si>
    <t>Capacitación y desarrollo</t>
  </si>
  <si>
    <t>Terminado</t>
  </si>
  <si>
    <t>Felipe Ramírez</t>
  </si>
  <si>
    <t>Evaluación del desempeño</t>
  </si>
  <si>
    <t>Javiera Soto</t>
  </si>
  <si>
    <t>Gestión del clima laboral</t>
  </si>
  <si>
    <t>Gestión de conflictos y relaciones laborales</t>
  </si>
  <si>
    <t>Gestión de salud y seguridad ocupacional</t>
  </si>
  <si>
    <t>Cumplimiento legal y normativo</t>
  </si>
  <si>
    <t>Comunicación interna</t>
  </si>
  <si>
    <t>Monitoreo y gestión de carga laboral</t>
  </si>
  <si>
    <t>Selección</t>
  </si>
  <si>
    <t>Tiempo restante</t>
  </si>
  <si>
    <t>Días restantes</t>
  </si>
  <si>
    <t>Semanas restantes</t>
  </si>
  <si>
    <t>HH por día</t>
  </si>
  <si>
    <t>NUM SEM</t>
  </si>
  <si>
    <t>HH</t>
  </si>
  <si>
    <t>SEMANA2</t>
  </si>
  <si>
    <t>LUNES a DOMINGO</t>
  </si>
  <si>
    <t>SEMANA</t>
  </si>
  <si>
    <t>LUNES</t>
  </si>
  <si>
    <t>S-1</t>
  </si>
  <si>
    <t>S-2</t>
  </si>
  <si>
    <t>S-3</t>
  </si>
  <si>
    <t>S-4</t>
  </si>
  <si>
    <t>S-5</t>
  </si>
  <si>
    <t>S-6</t>
  </si>
  <si>
    <t>S-7</t>
  </si>
  <si>
    <t>S-8</t>
  </si>
  <si>
    <t>S-9</t>
  </si>
  <si>
    <t>S-10</t>
  </si>
  <si>
    <t>S-11</t>
  </si>
  <si>
    <t>S-12</t>
  </si>
  <si>
    <t>Mateo Parra</t>
  </si>
  <si>
    <t>Cocinar</t>
  </si>
  <si>
    <t>FILTRO</t>
  </si>
  <si>
    <t>ARRASTRAR</t>
  </si>
  <si>
    <t>Dashboard Carga laboral CIMENTA</t>
  </si>
  <si>
    <t>Etiquetas de fila</t>
  </si>
  <si>
    <t>Suma de HH</t>
  </si>
  <si>
    <t>Total general</t>
  </si>
  <si>
    <t>CARGA POR EMPLEADO DE LA SEMANA 1 A LA 4</t>
  </si>
  <si>
    <t>Etiquetas de columna</t>
  </si>
  <si>
    <t>Total S-1</t>
  </si>
  <si>
    <t>Total S-2</t>
  </si>
  <si>
    <t>Total S-3</t>
  </si>
  <si>
    <t>Total S-4</t>
  </si>
  <si>
    <t>30/06/2025 a 06/07/2025</t>
  </si>
  <si>
    <t>07/07/2025 a 13/07/2025</t>
  </si>
  <si>
    <t>14/07/2025 a 20/07/2025</t>
  </si>
  <si>
    <t>21/07/2025 a 27/07/2025</t>
  </si>
  <si>
    <t>CARGA POR EMPLEADO DE LA SEMANA 5 A LA 8</t>
  </si>
  <si>
    <t>Total S-5</t>
  </si>
  <si>
    <t>Total S-6</t>
  </si>
  <si>
    <t>Total S-7</t>
  </si>
  <si>
    <t>Total S-8</t>
  </si>
  <si>
    <t>28/07/2025 a 03/08/2025</t>
  </si>
  <si>
    <t>04/08/2025 a 10/08/2025</t>
  </si>
  <si>
    <t>11/08/2025 a 17/08/2025</t>
  </si>
  <si>
    <t>18/08/2025 a 24/08/2025</t>
  </si>
  <si>
    <t>CARGA POR EMPLEADO DE LA SEMANA 9 A LA 12</t>
  </si>
  <si>
    <t>Total S-9</t>
  </si>
  <si>
    <t>Total S-10</t>
  </si>
  <si>
    <t>Total S-11</t>
  </si>
  <si>
    <t>Total S-12</t>
  </si>
  <si>
    <t>25/08/2025 a 31/08/2025</t>
  </si>
  <si>
    <t>CARGA DE LA SEMANA 1 A LA 5 POR EMPLEADO</t>
  </si>
  <si>
    <t>CARGA DE LA SEMANA 6 A LA 10 POR 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</si>
</sst>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_ ;_ * \-#,##0_ ;_ * &quot;-&quot;_ ;_ @_ "/>
    <numFmt numFmtId="165"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0"/>
      <name val="Arial"/>
      <family val="2"/>
    </font>
    <font>
      <sz val="8"/>
      <name val="Aptos Narrow"/>
      <family val="2"/>
      <scheme val="minor"/>
    </font>
    <font>
      <b/>
      <sz val="11"/>
      <color theme="0"/>
      <name val="Aptos Narrow"/>
      <family val="2"/>
      <scheme val="minor"/>
    </font>
    <font>
      <b/>
      <sz val="11"/>
      <color rgb="FF000000"/>
      <name val="Aptos Narrow"/>
      <family val="2"/>
      <scheme val="minor"/>
    </font>
    <font>
      <sz val="11"/>
      <color rgb="FF000000"/>
      <name val="Aptos Narrow"/>
      <family val="2"/>
      <scheme val="minor"/>
    </font>
    <font>
      <b/>
      <sz val="48"/>
      <color theme="1"/>
      <name val="Aptos Display"/>
      <family val="2"/>
      <scheme val="major"/>
    </font>
  </fonts>
  <fills count="12">
    <fill>
      <patternFill patternType="none"/>
    </fill>
    <fill>
      <patternFill patternType="gray125"/>
    </fill>
    <fill>
      <patternFill patternType="solid">
        <fgColor rgb="FFFFFF00"/>
        <bgColor indexed="64"/>
      </patternFill>
    </fill>
    <fill>
      <patternFill patternType="solid">
        <fgColor rgb="FFFF5050"/>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FFC000"/>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6" tint="-0.249977111117893"/>
        <bgColor indexed="64"/>
      </patternFill>
    </fill>
    <fill>
      <patternFill patternType="solid">
        <fgColor theme="2" tint="-9.9978637043366805E-2"/>
        <bgColor indexed="64"/>
      </patternFill>
    </fill>
  </fills>
  <borders count="39">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theme="6" tint="0.79998168889431442"/>
      </left>
      <right/>
      <top style="medium">
        <color theme="6" tint="0.79998168889431442"/>
      </top>
      <bottom/>
      <diagonal/>
    </border>
    <border>
      <left/>
      <right/>
      <top style="medium">
        <color theme="6" tint="0.79998168889431442"/>
      </top>
      <bottom/>
      <diagonal/>
    </border>
    <border>
      <left/>
      <right style="medium">
        <color theme="6" tint="0.79998168889431442"/>
      </right>
      <top style="medium">
        <color theme="6" tint="0.79998168889431442"/>
      </top>
      <bottom/>
      <diagonal/>
    </border>
    <border>
      <left style="medium">
        <color theme="6" tint="0.79998168889431442"/>
      </left>
      <right/>
      <top/>
      <bottom/>
      <diagonal/>
    </border>
    <border>
      <left/>
      <right style="medium">
        <color theme="6" tint="0.79998168889431442"/>
      </right>
      <top/>
      <bottom/>
      <diagonal/>
    </border>
    <border>
      <left style="medium">
        <color theme="6" tint="0.79998168889431442"/>
      </left>
      <right/>
      <top/>
      <bottom style="medium">
        <color theme="6" tint="0.79998168889431442"/>
      </bottom>
      <diagonal/>
    </border>
    <border>
      <left/>
      <right/>
      <top/>
      <bottom style="medium">
        <color theme="6" tint="0.79998168889431442"/>
      </bottom>
      <diagonal/>
    </border>
    <border>
      <left/>
      <right style="medium">
        <color theme="6" tint="0.79998168889431442"/>
      </right>
      <top/>
      <bottom style="medium">
        <color theme="6" tint="0.79998168889431442"/>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cellStyleXfs>
  <cellXfs count="117">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4" borderId="0" xfId="0" applyFill="1"/>
    <xf numFmtId="14" fontId="0" fillId="0" borderId="0" xfId="0" applyNumberFormat="1" applyAlignment="1">
      <alignment horizontal="center" vertical="center"/>
    </xf>
    <xf numFmtId="0" fontId="0" fillId="0" borderId="0" xfId="0" applyAlignment="1">
      <alignment horizontal="center" vertical="center" wrapText="1"/>
    </xf>
    <xf numFmtId="1" fontId="0" fillId="0" borderId="0" xfId="0" applyNumberFormat="1" applyAlignment="1">
      <alignment horizontal="left"/>
    </xf>
    <xf numFmtId="0" fontId="0" fillId="0" borderId="0" xfId="0" applyAlignment="1">
      <alignment horizontal="left" indent="1"/>
    </xf>
    <xf numFmtId="16" fontId="2" fillId="0" borderId="7" xfId="0" applyNumberFormat="1" applyFont="1" applyBorder="1" applyAlignment="1">
      <alignment horizontal="right"/>
    </xf>
    <xf numFmtId="0" fontId="2" fillId="0" borderId="7" xfId="0" applyFont="1" applyBorder="1" applyAlignment="1">
      <alignment horizontal="right"/>
    </xf>
    <xf numFmtId="0" fontId="0" fillId="2" borderId="6" xfId="0" applyFill="1" applyBorder="1"/>
    <xf numFmtId="0" fontId="2" fillId="0" borderId="8" xfId="0" applyFont="1" applyBorder="1" applyAlignment="1">
      <alignment horizontal="right"/>
    </xf>
    <xf numFmtId="16" fontId="2" fillId="0" borderId="8" xfId="0" applyNumberFormat="1" applyFont="1" applyBorder="1" applyAlignment="1">
      <alignment horizontal="right"/>
    </xf>
    <xf numFmtId="0" fontId="0" fillId="0" borderId="0" xfId="0" applyAlignment="1">
      <alignment horizontal="center" vertical="center"/>
    </xf>
    <xf numFmtId="0" fontId="2" fillId="2" borderId="6" xfId="0" applyFont="1" applyFill="1" applyBorder="1" applyAlignment="1">
      <alignment horizontal="center" vertical="center" wrapText="1"/>
    </xf>
    <xf numFmtId="14" fontId="3" fillId="0" borderId="0" xfId="0" applyNumberFormat="1" applyFont="1" applyAlignment="1">
      <alignment horizontal="center" vertical="center"/>
    </xf>
    <xf numFmtId="0" fontId="0" fillId="0" borderId="16" xfId="0" applyBorder="1" applyAlignment="1">
      <alignment horizontal="center" vertical="center" wrapText="1"/>
    </xf>
    <xf numFmtId="14" fontId="0" fillId="0" borderId="16" xfId="0" applyNumberFormat="1" applyBorder="1" applyAlignment="1">
      <alignment horizontal="center" vertical="center"/>
    </xf>
    <xf numFmtId="0" fontId="0" fillId="0" borderId="16" xfId="0" applyBorder="1" applyAlignment="1">
      <alignment horizontal="center" vertical="center"/>
    </xf>
    <xf numFmtId="0" fontId="0" fillId="0" borderId="16" xfId="0" applyBorder="1"/>
    <xf numFmtId="165" fontId="0" fillId="4" borderId="0" xfId="0" applyNumberFormat="1" applyFill="1" applyAlignment="1">
      <alignment horizontal="center" vertical="center"/>
    </xf>
    <xf numFmtId="0" fontId="2" fillId="4" borderId="0" xfId="0" applyFont="1" applyFill="1" applyAlignment="1">
      <alignment horizontal="center" vertical="center"/>
    </xf>
    <xf numFmtId="0" fontId="0" fillId="4" borderId="0" xfId="0" applyFill="1" applyAlignment="1">
      <alignment vertical="center"/>
    </xf>
    <xf numFmtId="1" fontId="0" fillId="4" borderId="0" xfId="0" applyNumberFormat="1" applyFill="1"/>
    <xf numFmtId="0" fontId="0" fillId="0" borderId="17" xfId="0" applyBorder="1" applyAlignment="1">
      <alignment horizontal="center" vertical="center" wrapText="1"/>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6" fillId="8" borderId="6"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3" xfId="0" applyFont="1" applyFill="1" applyBorder="1" applyAlignment="1">
      <alignment horizontal="center" vertical="center"/>
    </xf>
    <xf numFmtId="0" fontId="2" fillId="9" borderId="16" xfId="0" applyFont="1" applyFill="1" applyBorder="1"/>
    <xf numFmtId="0" fontId="0" fillId="4" borderId="0" xfId="0" applyFill="1" applyAlignment="1">
      <alignment horizontal="center" vertical="center" wrapText="1"/>
    </xf>
    <xf numFmtId="14" fontId="0" fillId="0" borderId="16" xfId="0" applyNumberFormat="1" applyBorder="1" applyAlignment="1">
      <alignment horizontal="center" vertical="center" wrapText="1"/>
    </xf>
    <xf numFmtId="0" fontId="7" fillId="0" borderId="7" xfId="0" applyFont="1" applyBorder="1" applyAlignment="1">
      <alignment horizontal="left" vertical="center" wrapText="1"/>
    </xf>
    <xf numFmtId="0" fontId="8" fillId="0" borderId="28" xfId="0" applyFont="1" applyBorder="1" applyAlignment="1">
      <alignment horizontal="left" vertical="center" wrapText="1"/>
    </xf>
    <xf numFmtId="0" fontId="8" fillId="0" borderId="19" xfId="0" applyFont="1" applyBorder="1" applyAlignment="1">
      <alignment horizontal="left" vertical="center" wrapText="1"/>
    </xf>
    <xf numFmtId="0" fontId="0" fillId="4" borderId="0" xfId="0" applyFill="1" applyAlignment="1">
      <alignment wrapText="1"/>
    </xf>
    <xf numFmtId="16" fontId="2" fillId="5" borderId="18" xfId="0" applyNumberFormat="1" applyFont="1" applyFill="1" applyBorder="1" applyAlignment="1" applyProtection="1">
      <alignment horizontal="center" vertical="center" textRotation="90"/>
      <protection locked="0"/>
    </xf>
    <xf numFmtId="16" fontId="2" fillId="5" borderId="9" xfId="0" applyNumberFormat="1" applyFont="1" applyFill="1" applyBorder="1" applyAlignment="1" applyProtection="1">
      <alignment horizontal="center" vertical="center" textRotation="90"/>
      <protection locked="0"/>
    </xf>
    <xf numFmtId="16" fontId="2" fillId="5" borderId="11" xfId="0" applyNumberFormat="1" applyFont="1" applyFill="1" applyBorder="1" applyAlignment="1" applyProtection="1">
      <alignment horizontal="center" vertical="center" textRotation="90"/>
      <protection locked="0"/>
    </xf>
    <xf numFmtId="16" fontId="2" fillId="5" borderId="10" xfId="0" applyNumberFormat="1" applyFont="1" applyFill="1" applyBorder="1" applyAlignment="1" applyProtection="1">
      <alignment horizontal="center" vertical="center" textRotation="90"/>
      <protection locked="0"/>
    </xf>
    <xf numFmtId="0" fontId="2" fillId="7" borderId="5"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1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6" xfId="0" applyFont="1" applyFill="1" applyBorder="1" applyAlignment="1">
      <alignment horizontal="center" vertical="center"/>
    </xf>
    <xf numFmtId="0" fontId="2" fillId="0" borderId="20" xfId="0" applyFont="1" applyBorder="1"/>
    <xf numFmtId="0" fontId="0" fillId="0" borderId="21" xfId="0" applyBorder="1"/>
    <xf numFmtId="14" fontId="0" fillId="0" borderId="21" xfId="0" applyNumberFormat="1" applyBorder="1"/>
    <xf numFmtId="0" fontId="0" fillId="0" borderId="22" xfId="2" applyNumberFormat="1" applyFont="1" applyFill="1" applyBorder="1" applyProtection="1"/>
    <xf numFmtId="165" fontId="0" fillId="0" borderId="20" xfId="2" applyNumberFormat="1" applyFont="1" applyFill="1" applyBorder="1" applyProtection="1"/>
    <xf numFmtId="1" fontId="0" fillId="0" borderId="21" xfId="0" applyNumberFormat="1" applyBorder="1"/>
    <xf numFmtId="165" fontId="1" fillId="0" borderId="21" xfId="1" applyNumberFormat="1" applyFont="1" applyFill="1" applyBorder="1" applyProtection="1"/>
    <xf numFmtId="165" fontId="0" fillId="0" borderId="22" xfId="0" applyNumberFormat="1" applyBorder="1"/>
    <xf numFmtId="165" fontId="0" fillId="0" borderId="20" xfId="0" applyNumberFormat="1" applyBorder="1"/>
    <xf numFmtId="0" fontId="2" fillId="0" borderId="23" xfId="0" applyFont="1" applyBorder="1"/>
    <xf numFmtId="14" fontId="0" fillId="0" borderId="16" xfId="0" applyNumberFormat="1" applyBorder="1"/>
    <xf numFmtId="0" fontId="0" fillId="0" borderId="24" xfId="2" applyNumberFormat="1" applyFont="1" applyFill="1" applyBorder="1" applyProtection="1"/>
    <xf numFmtId="165" fontId="0" fillId="0" borderId="23" xfId="2" applyNumberFormat="1" applyFont="1" applyFill="1" applyBorder="1" applyProtection="1"/>
    <xf numFmtId="1" fontId="0" fillId="0" borderId="16" xfId="0" applyNumberFormat="1" applyBorder="1"/>
    <xf numFmtId="165" fontId="1" fillId="0" borderId="16" xfId="1" applyNumberFormat="1" applyFont="1" applyFill="1" applyBorder="1" applyProtection="1"/>
    <xf numFmtId="165" fontId="0" fillId="0" borderId="24" xfId="0" applyNumberFormat="1" applyBorder="1"/>
    <xf numFmtId="0" fontId="0" fillId="0" borderId="24" xfId="0" applyBorder="1"/>
    <xf numFmtId="0" fontId="0" fillId="0" borderId="23" xfId="0" applyBorder="1"/>
    <xf numFmtId="165" fontId="0" fillId="0" borderId="23" xfId="0" applyNumberFormat="1" applyBorder="1"/>
    <xf numFmtId="165" fontId="0" fillId="0" borderId="16" xfId="0" applyNumberFormat="1" applyBorder="1"/>
    <xf numFmtId="0" fontId="0" fillId="0" borderId="25" xfId="0" applyBorder="1"/>
    <xf numFmtId="0" fontId="0" fillId="0" borderId="26" xfId="0" applyBorder="1"/>
    <xf numFmtId="14" fontId="0" fillId="0" borderId="26" xfId="0" applyNumberFormat="1" applyBorder="1"/>
    <xf numFmtId="0" fontId="0" fillId="0" borderId="27" xfId="0" applyBorder="1"/>
    <xf numFmtId="165" fontId="0" fillId="0" borderId="25" xfId="0" applyNumberFormat="1" applyBorder="1"/>
    <xf numFmtId="1" fontId="0" fillId="0" borderId="26" xfId="0" applyNumberFormat="1" applyBorder="1"/>
    <xf numFmtId="165" fontId="0" fillId="0" borderId="26" xfId="0" applyNumberFormat="1" applyBorder="1"/>
    <xf numFmtId="165" fontId="0" fillId="0" borderId="27" xfId="0" applyNumberFormat="1" applyBorder="1"/>
    <xf numFmtId="14" fontId="0" fillId="0" borderId="0" xfId="0" applyNumberFormat="1"/>
    <xf numFmtId="0" fontId="0" fillId="10" borderId="5" xfId="0" applyFill="1" applyBorder="1"/>
    <xf numFmtId="0" fontId="0" fillId="10" borderId="4" xfId="0" applyFill="1" applyBorder="1"/>
    <xf numFmtId="0" fontId="0" fillId="10" borderId="12" xfId="0" applyFill="1" applyBorder="1"/>
    <xf numFmtId="0" fontId="0" fillId="10" borderId="29" xfId="0" applyFill="1" applyBorder="1"/>
    <xf numFmtId="0" fontId="0" fillId="10" borderId="0" xfId="0" applyFill="1"/>
    <xf numFmtId="0" fontId="0" fillId="10" borderId="30" xfId="0" applyFill="1" applyBorder="1"/>
    <xf numFmtId="0" fontId="0" fillId="10" borderId="13" xfId="0" applyFill="1" applyBorder="1"/>
    <xf numFmtId="0" fontId="0" fillId="10" borderId="14" xfId="0" applyFill="1" applyBorder="1"/>
    <xf numFmtId="0" fontId="0" fillId="10" borderId="15" xfId="0" applyFill="1" applyBorder="1"/>
    <xf numFmtId="14" fontId="0" fillId="0" borderId="16" xfId="2" applyNumberFormat="1" applyFont="1" applyBorder="1" applyAlignment="1">
      <alignment horizontal="center" vertical="center"/>
    </xf>
    <xf numFmtId="0" fontId="0" fillId="4" borderId="0" xfId="0" applyFill="1" applyProtection="1">
      <protection locked="0"/>
    </xf>
    <xf numFmtId="0" fontId="0" fillId="4" borderId="0" xfId="0" applyFill="1" applyAlignment="1" applyProtection="1">
      <alignment horizontal="center" vertical="center" wrapText="1"/>
      <protection locked="0"/>
    </xf>
    <xf numFmtId="16" fontId="2" fillId="4" borderId="0" xfId="0" applyNumberFormat="1" applyFont="1" applyFill="1" applyAlignment="1" applyProtection="1">
      <alignment horizontal="center" vertical="center" textRotation="90"/>
      <protection locked="0"/>
    </xf>
    <xf numFmtId="0" fontId="2" fillId="4" borderId="0" xfId="0" applyFont="1" applyFill="1" applyAlignment="1" applyProtection="1">
      <alignment horizontal="center" vertical="center"/>
      <protection locked="0"/>
    </xf>
    <xf numFmtId="165" fontId="0" fillId="4" borderId="0" xfId="0" applyNumberFormat="1" applyFill="1" applyProtection="1">
      <protection locked="0"/>
    </xf>
    <xf numFmtId="0" fontId="0" fillId="0" borderId="16" xfId="0" applyBorder="1" applyAlignment="1">
      <alignment horizontal="center"/>
    </xf>
    <xf numFmtId="16" fontId="0" fillId="0" borderId="16" xfId="0" applyNumberFormat="1" applyBorder="1" applyAlignment="1">
      <alignment horizontal="center" vertical="center"/>
    </xf>
    <xf numFmtId="0" fontId="2" fillId="11" borderId="17" xfId="0" applyFont="1" applyFill="1" applyBorder="1" applyAlignment="1">
      <alignment horizontal="center" vertical="center"/>
    </xf>
    <xf numFmtId="0" fontId="2" fillId="11" borderId="16"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9" fillId="4" borderId="31" xfId="0" applyFont="1" applyFill="1" applyBorder="1" applyAlignment="1">
      <alignment horizontal="center" vertical="center"/>
    </xf>
    <xf numFmtId="0" fontId="9" fillId="4" borderId="32" xfId="0" applyFont="1" applyFill="1" applyBorder="1" applyAlignment="1">
      <alignment horizontal="center" vertical="center"/>
    </xf>
    <xf numFmtId="0" fontId="9" fillId="4" borderId="33" xfId="0" applyFont="1" applyFill="1" applyBorder="1" applyAlignment="1">
      <alignment horizontal="center" vertical="center"/>
    </xf>
    <xf numFmtId="0" fontId="9" fillId="4" borderId="34" xfId="0" applyFont="1" applyFill="1" applyBorder="1" applyAlignment="1">
      <alignment horizontal="center" vertical="center"/>
    </xf>
    <xf numFmtId="0" fontId="9" fillId="4" borderId="0" xfId="0" applyFont="1" applyFill="1" applyAlignment="1">
      <alignment horizontal="center" vertical="center"/>
    </xf>
    <xf numFmtId="0" fontId="9" fillId="4" borderId="35"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2" fillId="2" borderId="3" xfId="0"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cellXfs>
  <cellStyles count="4">
    <cellStyle name="Millares [0]" xfId="1" builtinId="6"/>
    <cellStyle name="Normal" xfId="0" builtinId="0"/>
    <cellStyle name="Normal 2 2" xfId="3" xr:uid="{27E8E648-9BE5-4E64-A4F0-0DB3D6E7F2E7}"/>
    <cellStyle name="Porcentaje" xfId="2" builtinId="5"/>
  </cellStyles>
  <dxfs count="36">
    <dxf>
      <fill>
        <patternFill>
          <bgColor rgb="FFFF0000"/>
        </patternFill>
      </fill>
    </dxf>
    <dxf>
      <fill>
        <patternFill>
          <bgColor theme="9" tint="0.39994506668294322"/>
        </patternFill>
      </fill>
    </dxf>
    <dxf>
      <fill>
        <patternFill>
          <bgColor rgb="FFFF3F3F"/>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alignment horizontal="center" vertical="center" textRotation="0" wrapText="0" indent="0" justifyLastLine="0" shrinkToFit="0" readingOrder="0"/>
    </dxf>
    <dxf>
      <font>
        <color auto="1"/>
      </font>
      <numFmt numFmtId="19" formatCode="dd/mm/yyyy"/>
      <alignment horizontal="center" vertical="center" textRotation="0" wrapText="0" indent="0" justifyLastLine="0" shrinkToFit="0" readingOrder="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F3F3F"/>
      <color rgb="FFC04500"/>
      <color rgb="FFFF3300"/>
      <color rgb="FFFFFF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(2)!TablaDinámica4</c:name>
    <c:fmtId val="5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CARGA TOTAL POR</a:t>
            </a:r>
            <a:r>
              <a:rPr lang="en-US" sz="1600" b="1" baseline="0"/>
              <a:t> EMPLEADO PARA LOS PRÓXIMOS 3 MESES</a:t>
            </a:r>
            <a:endParaRPr lang="en-US" sz="1600" b="1"/>
          </a:p>
        </c:rich>
      </c:tx>
      <c:layout>
        <c:manualLayout>
          <c:xMode val="edge"/>
          <c:yMode val="edge"/>
          <c:x val="0.42095538076561534"/>
          <c:y val="3.182245256501985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2"/>
          </a:solidFill>
          <a:ln>
            <a:noFill/>
          </a:ln>
          <a:effectLst/>
        </c:spPr>
      </c:pivotFmt>
      <c:pivotFmt>
        <c:idx val="6"/>
        <c:spPr>
          <a:solidFill>
            <a:schemeClr val="accent3">
              <a:lumMod val="75000"/>
            </a:schemeClr>
          </a:solidFill>
          <a:ln>
            <a:noFill/>
          </a:ln>
          <a:effectLst/>
        </c:spPr>
      </c:pivotFmt>
      <c:pivotFmt>
        <c:idx val="7"/>
        <c:spPr>
          <a:solidFill>
            <a:schemeClr val="accent4"/>
          </a:solidFill>
          <a:ln>
            <a:noFill/>
          </a:ln>
          <a:effectLst/>
        </c:spPr>
      </c:pivotFmt>
      <c:pivotFmt>
        <c:idx val="8"/>
        <c:spPr>
          <a:solidFill>
            <a:schemeClr val="accent5"/>
          </a:solidFill>
          <a:ln>
            <a:noFill/>
          </a:ln>
          <a:effectLst/>
        </c:spPr>
      </c:pivotFmt>
      <c:pivotFmt>
        <c:idx val="9"/>
        <c:spPr>
          <a:solidFill>
            <a:schemeClr val="accent6"/>
          </a:solidFill>
          <a:ln>
            <a:noFill/>
          </a:ln>
          <a:effectLst/>
        </c:spPr>
      </c:pivotFmt>
      <c:pivotFmt>
        <c:idx val="10"/>
        <c:spPr>
          <a:solidFill>
            <a:schemeClr val="tx2">
              <a:lumMod val="10000"/>
              <a:lumOff val="90000"/>
            </a:schemeClr>
          </a:solidFill>
          <a:ln>
            <a:noFill/>
          </a:ln>
          <a:effectLst/>
        </c:spPr>
      </c:pivotFmt>
    </c:pivotFmts>
    <c:plotArea>
      <c:layout/>
      <c:barChart>
        <c:barDir val="col"/>
        <c:grouping val="clustered"/>
        <c:varyColors val="0"/>
        <c:ser>
          <c:idx val="0"/>
          <c:order val="0"/>
          <c:tx>
            <c:strRef>
              <c:f>'Gráficos HH (2)'!$K$10</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DB1-4408-9BF5-30A91D87D7C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CDB1-4408-9BF5-30A91D87D7C2}"/>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CDB1-4408-9BF5-30A91D87D7C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CDB1-4408-9BF5-30A91D87D7C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8-9FE1-4EF8-BB04-EC0B80BC695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9-9FE1-4EF8-BB04-EC0B80BC695B}"/>
              </c:ext>
            </c:extLst>
          </c:dPt>
          <c:dPt>
            <c:idx val="6"/>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A-9FE1-4EF8-BB04-EC0B80BC695B}"/>
              </c:ext>
            </c:extLst>
          </c:dPt>
          <c:cat>
            <c:strRef>
              <c:f>'Gráficos HH (2)'!$J$11:$J$18</c:f>
              <c:strCache>
                <c:ptCount val="7"/>
                <c:pt idx="0">
                  <c:v>Camila González</c:v>
                </c:pt>
                <c:pt idx="1">
                  <c:v>Daniela Rojas</c:v>
                </c:pt>
                <c:pt idx="2">
                  <c:v>Felipe Ramírez</c:v>
                </c:pt>
                <c:pt idx="3">
                  <c:v>Fernanda Morales</c:v>
                </c:pt>
                <c:pt idx="4">
                  <c:v>Javiera Soto</c:v>
                </c:pt>
                <c:pt idx="5">
                  <c:v>Matías Herrera</c:v>
                </c:pt>
                <c:pt idx="6">
                  <c:v>Vicente Castro</c:v>
                </c:pt>
              </c:strCache>
            </c:strRef>
          </c:cat>
          <c:val>
            <c:numRef>
              <c:f>'Gráficos HH (2)'!$K$11:$K$18</c:f>
              <c:numCache>
                <c:formatCode>0</c:formatCode>
                <c:ptCount val="7"/>
                <c:pt idx="0">
                  <c:v>45.5</c:v>
                </c:pt>
                <c:pt idx="1">
                  <c:v>81.028571428571439</c:v>
                </c:pt>
                <c:pt idx="2">
                  <c:v>60.30952380952381</c:v>
                </c:pt>
                <c:pt idx="3">
                  <c:v>59.3</c:v>
                </c:pt>
                <c:pt idx="4">
                  <c:v>45.642857142857139</c:v>
                </c:pt>
                <c:pt idx="5">
                  <c:v>34.5</c:v>
                </c:pt>
                <c:pt idx="6">
                  <c:v>47.68452380952381</c:v>
                </c:pt>
              </c:numCache>
            </c:numRef>
          </c:val>
          <c:extLst>
            <c:ext xmlns:c16="http://schemas.microsoft.com/office/drawing/2014/chart" uri="{C3380CC4-5D6E-409C-BE32-E72D297353CC}">
              <c16:uniqueId val="{00000000-CDB1-4408-9BF5-30A91D87D7C2}"/>
            </c:ext>
          </c:extLst>
        </c:ser>
        <c:dLbls>
          <c:showLegendKey val="0"/>
          <c:showVal val="0"/>
          <c:showCatName val="0"/>
          <c:showSerName val="0"/>
          <c:showPercent val="0"/>
          <c:showBubbleSize val="0"/>
        </c:dLbls>
        <c:gapWidth val="219"/>
        <c:overlap val="-27"/>
        <c:axId val="503070240"/>
        <c:axId val="503067840"/>
      </c:barChart>
      <c:catAx>
        <c:axId val="5030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L"/>
          </a:p>
        </c:txPr>
        <c:crossAx val="503067840"/>
        <c:crosses val="autoZero"/>
        <c:auto val="1"/>
        <c:lblAlgn val="ctr"/>
        <c:lblOffset val="100"/>
        <c:noMultiLvlLbl val="0"/>
      </c:catAx>
      <c:valAx>
        <c:axId val="503067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030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(2)!TablaDinámica13</c:name>
    <c:fmtId val="2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dISTRIBUCIÓN DE LA CARGA TOTAL para los</a:t>
            </a:r>
            <a:r>
              <a:rPr lang="en-US" baseline="0"/>
              <a:t> próximos 3 meses</a:t>
            </a:r>
            <a:endParaRPr lang="en-US"/>
          </a:p>
        </c:rich>
      </c:tx>
      <c:layout>
        <c:manualLayout>
          <c:xMode val="edge"/>
          <c:yMode val="edge"/>
          <c:x val="0.23670995368085396"/>
          <c:y val="4.1775970465076404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2"/>
          </a:solidFill>
          <a:ln>
            <a:noFill/>
          </a:ln>
          <a:effectLst>
            <a:outerShdw blurRad="63500" sx="102000" sy="102000" algn="ctr" rotWithShape="0">
              <a:prstClr val="black">
                <a:alpha val="20000"/>
              </a:prstClr>
            </a:outerShdw>
          </a:effectLst>
        </c:spPr>
      </c:pivotFmt>
      <c:pivotFmt>
        <c:idx val="11"/>
        <c:spPr>
          <a:solidFill>
            <a:schemeClr val="accent3"/>
          </a:solidFill>
          <a:ln>
            <a:noFill/>
          </a:ln>
          <a:effectLst>
            <a:outerShdw blurRad="63500" sx="102000" sy="102000" algn="ctr" rotWithShape="0">
              <a:prstClr val="black">
                <a:alpha val="20000"/>
              </a:prstClr>
            </a:outerShdw>
          </a:effectLst>
        </c:spPr>
      </c:pivotFmt>
      <c:pivotFmt>
        <c:idx val="12"/>
        <c:spPr>
          <a:solidFill>
            <a:schemeClr val="accent4"/>
          </a:solidFill>
          <a:ln>
            <a:noFill/>
          </a:ln>
          <a:effectLst>
            <a:outerShdw blurRad="63500" sx="102000" sy="102000" algn="ctr" rotWithShape="0">
              <a:prstClr val="black">
                <a:alpha val="20000"/>
              </a:prstClr>
            </a:outerShdw>
          </a:effectLst>
        </c:spPr>
      </c:pivotFmt>
      <c:pivotFmt>
        <c:idx val="13"/>
        <c:spPr>
          <a:solidFill>
            <a:schemeClr val="accent5"/>
          </a:solidFill>
          <a:ln>
            <a:noFill/>
          </a:ln>
          <a:effectLst>
            <a:outerShdw blurRad="63500" sx="102000" sy="102000" algn="ctr" rotWithShape="0">
              <a:prstClr val="black">
                <a:alpha val="20000"/>
              </a:prstClr>
            </a:outerShdw>
          </a:effectLst>
        </c:spPr>
      </c:pivotFmt>
      <c:pivotFmt>
        <c:idx val="14"/>
        <c:spPr>
          <a:solidFill>
            <a:schemeClr val="accent6"/>
          </a:solidFill>
          <a:ln>
            <a:noFill/>
          </a:ln>
          <a:effectLst>
            <a:outerShdw blurRad="63500" sx="102000" sy="102000" algn="ctr" rotWithShape="0">
              <a:prstClr val="black">
                <a:alpha val="20000"/>
              </a:prstClr>
            </a:outerShdw>
          </a:effectLst>
        </c:spPr>
      </c:pivotFmt>
      <c:pivotFmt>
        <c:idx val="15"/>
        <c:spPr>
          <a:solidFill>
            <a:schemeClr val="accent1">
              <a:lumMod val="60000"/>
            </a:schemeClr>
          </a:solidFill>
          <a:ln>
            <a:noFill/>
          </a:ln>
          <a:effectLst>
            <a:outerShdw blurRad="63500" sx="102000" sy="102000" algn="ctr" rotWithShape="0">
              <a:prstClr val="black">
                <a:alpha val="20000"/>
              </a:prstClr>
            </a:outerShdw>
          </a:effectLst>
        </c:spPr>
      </c:pivotFmt>
      <c:pivotFmt>
        <c:idx val="16"/>
        <c:spPr>
          <a:solidFill>
            <a:schemeClr val="accent2">
              <a:lumMod val="60000"/>
            </a:schemeClr>
          </a:solidFill>
          <a:ln>
            <a:noFill/>
          </a:ln>
          <a:effectLst>
            <a:outerShdw blurRad="63500" sx="102000" sy="102000" algn="ctr" rotWithShape="0">
              <a:prstClr val="black">
                <a:alpha val="20000"/>
              </a:prstClr>
            </a:outerShdw>
          </a:effectLst>
        </c:spPr>
      </c:pivotFmt>
      <c:pivotFmt>
        <c:idx val="17"/>
        <c:spPr>
          <a:solidFill>
            <a:schemeClr val="accent3">
              <a:lumMod val="60000"/>
            </a:schemeClr>
          </a:solidFill>
          <a:ln>
            <a:noFill/>
          </a:ln>
          <a:effectLst>
            <a:outerShdw blurRad="63500" sx="102000" sy="102000" algn="ctr" rotWithShape="0">
              <a:prstClr val="black">
                <a:alpha val="20000"/>
              </a:prstClr>
            </a:outerShdw>
          </a:effectLst>
        </c:spPr>
      </c:pivotFmt>
      <c:pivotFmt>
        <c:idx val="18"/>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2"/>
          </a:solidFill>
          <a:ln>
            <a:noFill/>
          </a:ln>
          <a:effectLst>
            <a:outerShdw blurRad="63500" sx="102000" sy="102000" algn="ctr" rotWithShape="0">
              <a:prstClr val="black">
                <a:alpha val="20000"/>
              </a:prstClr>
            </a:outerShdw>
          </a:effectLst>
        </c:spPr>
      </c:pivotFmt>
      <c:pivotFmt>
        <c:idx val="23"/>
        <c:spPr>
          <a:solidFill>
            <a:schemeClr val="accent3"/>
          </a:solidFill>
          <a:ln>
            <a:noFill/>
          </a:ln>
          <a:effectLst>
            <a:outerShdw blurRad="63500" sx="102000" sy="102000" algn="ctr" rotWithShape="0">
              <a:prstClr val="black">
                <a:alpha val="20000"/>
              </a:prstClr>
            </a:outerShdw>
          </a:effectLst>
        </c:spPr>
      </c:pivotFmt>
      <c:pivotFmt>
        <c:idx val="24"/>
        <c:spPr>
          <a:solidFill>
            <a:schemeClr val="accent4"/>
          </a:solidFill>
          <a:ln>
            <a:noFill/>
          </a:ln>
          <a:effectLst>
            <a:outerShdw blurRad="63500" sx="102000" sy="102000" algn="ctr" rotWithShape="0">
              <a:prstClr val="black">
                <a:alpha val="20000"/>
              </a:prstClr>
            </a:outerShdw>
          </a:effectLst>
        </c:spPr>
      </c:pivotFmt>
      <c:pivotFmt>
        <c:idx val="25"/>
        <c:spPr>
          <a:solidFill>
            <a:schemeClr val="accent5"/>
          </a:solidFill>
          <a:ln>
            <a:noFill/>
          </a:ln>
          <a:effectLst>
            <a:outerShdw blurRad="63500" sx="102000" sy="102000" algn="ctr" rotWithShape="0">
              <a:prstClr val="black">
                <a:alpha val="20000"/>
              </a:prstClr>
            </a:outerShdw>
          </a:effectLst>
        </c:spPr>
      </c:pivotFmt>
      <c:pivotFmt>
        <c:idx val="26"/>
        <c:spPr>
          <a:solidFill>
            <a:schemeClr val="accent6"/>
          </a:solidFill>
          <a:ln>
            <a:noFill/>
          </a:ln>
          <a:effectLst>
            <a:outerShdw blurRad="63500" sx="102000" sy="102000" algn="ctr" rotWithShape="0">
              <a:prstClr val="black">
                <a:alpha val="20000"/>
              </a:prstClr>
            </a:outerShdw>
          </a:effectLst>
        </c:spPr>
      </c:pivotFmt>
      <c:pivotFmt>
        <c:idx val="27"/>
        <c:spPr>
          <a:solidFill>
            <a:schemeClr val="accent2">
              <a:lumMod val="60000"/>
            </a:schemeClr>
          </a:solidFill>
          <a:ln>
            <a:noFill/>
          </a:ln>
          <a:effectLst>
            <a:outerShdw blurRad="63500" sx="102000" sy="102000" algn="ctr" rotWithShape="0">
              <a:prstClr val="black">
                <a:alpha val="20000"/>
              </a:prstClr>
            </a:outerShdw>
          </a:effectLst>
        </c:spPr>
      </c:pivotFmt>
      <c:pivotFmt>
        <c:idx val="28"/>
        <c:spPr>
          <a:solidFill>
            <a:schemeClr val="accent3">
              <a:lumMod val="60000"/>
            </a:schemeClr>
          </a:solidFill>
          <a:ln>
            <a:noFill/>
          </a:ln>
          <a:effectLst>
            <a:outerShdw blurRad="63500" sx="102000" sy="102000" algn="ctr" rotWithShape="0">
              <a:prstClr val="black">
                <a:alpha val="20000"/>
              </a:prstClr>
            </a:outerShdw>
          </a:effectLst>
        </c:spPr>
      </c:pivotFmt>
      <c:pivotFmt>
        <c:idx val="29"/>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pivotFmt>
      <c:pivotFmt>
        <c:idx val="32"/>
        <c:spPr>
          <a:solidFill>
            <a:schemeClr val="accent2"/>
          </a:solidFill>
          <a:ln>
            <a:noFill/>
          </a:ln>
          <a:effectLst>
            <a:outerShdw blurRad="63500" sx="102000" sy="102000" algn="ctr" rotWithShape="0">
              <a:prstClr val="black">
                <a:alpha val="20000"/>
              </a:prstClr>
            </a:outerShdw>
          </a:effectLst>
        </c:spPr>
      </c:pivotFmt>
      <c:pivotFmt>
        <c:idx val="33"/>
        <c:spPr>
          <a:solidFill>
            <a:schemeClr val="accent3"/>
          </a:solidFill>
          <a:ln>
            <a:noFill/>
          </a:ln>
          <a:effectLst>
            <a:outerShdw blurRad="63500" sx="102000" sy="102000" algn="ctr" rotWithShape="0">
              <a:prstClr val="black">
                <a:alpha val="20000"/>
              </a:prstClr>
            </a:outerShdw>
          </a:effectLst>
        </c:spPr>
      </c:pivotFmt>
      <c:pivotFmt>
        <c:idx val="34"/>
        <c:spPr>
          <a:solidFill>
            <a:schemeClr val="accent4"/>
          </a:solidFill>
          <a:ln>
            <a:noFill/>
          </a:ln>
          <a:effectLst>
            <a:outerShdw blurRad="63500" sx="102000" sy="102000" algn="ctr" rotWithShape="0">
              <a:prstClr val="black">
                <a:alpha val="20000"/>
              </a:prstClr>
            </a:outerShdw>
          </a:effectLst>
        </c:spPr>
      </c:pivotFmt>
      <c:pivotFmt>
        <c:idx val="35"/>
        <c:spPr>
          <a:solidFill>
            <a:schemeClr val="accent5"/>
          </a:solidFill>
          <a:ln>
            <a:noFill/>
          </a:ln>
          <a:effectLst>
            <a:outerShdw blurRad="63500" sx="102000" sy="102000" algn="ctr" rotWithShape="0">
              <a:prstClr val="black">
                <a:alpha val="20000"/>
              </a:prstClr>
            </a:outerShdw>
          </a:effectLst>
        </c:spPr>
      </c:pivotFmt>
      <c:pivotFmt>
        <c:idx val="36"/>
        <c:spPr>
          <a:solidFill>
            <a:schemeClr val="accent6"/>
          </a:solidFill>
          <a:ln>
            <a:noFill/>
          </a:ln>
          <a:effectLst>
            <a:outerShdw blurRad="63500" sx="102000" sy="102000" algn="ctr" rotWithShape="0">
              <a:prstClr val="black">
                <a:alpha val="20000"/>
              </a:prstClr>
            </a:outerShdw>
          </a:effectLst>
        </c:spPr>
      </c:pivotFmt>
      <c:pivotFmt>
        <c:idx val="37"/>
        <c:spPr>
          <a:solidFill>
            <a:schemeClr val="accent2">
              <a:lumMod val="60000"/>
            </a:schemeClr>
          </a:solidFill>
          <a:ln>
            <a:noFill/>
          </a:ln>
          <a:effectLst>
            <a:outerShdw blurRad="63500" sx="102000" sy="102000" algn="ctr" rotWithShape="0">
              <a:prstClr val="black">
                <a:alpha val="20000"/>
              </a:prstClr>
            </a:outerShdw>
          </a:effectLst>
        </c:spPr>
      </c:pivotFmt>
      <c:pivotFmt>
        <c:idx val="38"/>
        <c:spPr>
          <a:solidFill>
            <a:schemeClr val="accent3">
              <a:lumMod val="60000"/>
            </a:schemeClr>
          </a:solidFill>
          <a:ln>
            <a:noFill/>
          </a:ln>
          <a:effectLst>
            <a:outerShdw blurRad="63500" sx="102000" sy="102000" algn="ctr" rotWithShape="0">
              <a:prstClr val="black">
                <a:alpha val="20000"/>
              </a:prstClr>
            </a:outerShdw>
          </a:effectLst>
        </c:spPr>
      </c:pivotFmt>
      <c:pivotFmt>
        <c:idx val="39"/>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2"/>
          </a:solidFill>
        </c:spPr>
      </c:pivotFmt>
      <c:pivotFmt>
        <c:idx val="42"/>
        <c:spPr>
          <a:solidFill>
            <a:schemeClr val="accent1"/>
          </a:solidFill>
        </c:spPr>
      </c:pivotFmt>
      <c:pivotFmt>
        <c:idx val="43"/>
        <c:spPr>
          <a:solidFill>
            <a:schemeClr val="accent4"/>
          </a:solidFill>
        </c:spPr>
      </c:pivotFmt>
      <c:pivotFmt>
        <c:idx val="44"/>
        <c:spPr>
          <a:solidFill>
            <a:schemeClr val="accent5"/>
          </a:solidFill>
        </c:spPr>
      </c:pivotFmt>
      <c:pivotFmt>
        <c:idx val="45"/>
        <c:spPr>
          <a:solidFill>
            <a:schemeClr val="accent6"/>
          </a:solidFill>
        </c:spPr>
      </c:pivotFmt>
      <c:pivotFmt>
        <c:idx val="46"/>
        <c:spPr>
          <a:solidFill>
            <a:schemeClr val="tx2">
              <a:lumMod val="10000"/>
              <a:lumOff val="90000"/>
            </a:schemeClr>
          </a:solidFill>
        </c:spPr>
      </c:pivotFmt>
    </c:pivotFmts>
    <c:plotArea>
      <c:layout/>
      <c:pieChart>
        <c:varyColors val="1"/>
        <c:ser>
          <c:idx val="0"/>
          <c:order val="0"/>
          <c:tx>
            <c:strRef>
              <c:f>'Gráficos HH (2)'!$AN$10</c:f>
              <c:strCache>
                <c:ptCount val="1"/>
                <c:pt idx="0">
                  <c:v>Total</c:v>
                </c:pt>
              </c:strCache>
            </c:strRef>
          </c:tx>
          <c:explosion val="2"/>
          <c:dPt>
            <c:idx val="0"/>
            <c:bubble3D val="0"/>
            <c:spPr>
              <a:solidFill>
                <a:schemeClr val="accent1"/>
              </a:solidFill>
            </c:spPr>
            <c:extLst>
              <c:ext xmlns:c16="http://schemas.microsoft.com/office/drawing/2014/chart" uri="{C3380CC4-5D6E-409C-BE32-E72D297353CC}">
                <c16:uniqueId val="{00000000-A9D6-4DD7-BA92-C71D93163CBD}"/>
              </c:ext>
            </c:extLst>
          </c:dPt>
          <c:dPt>
            <c:idx val="1"/>
            <c:bubble3D val="0"/>
            <c:spPr>
              <a:solidFill>
                <a:schemeClr val="accent2"/>
              </a:solidFill>
            </c:spPr>
            <c:extLst>
              <c:ext xmlns:c16="http://schemas.microsoft.com/office/drawing/2014/chart" uri="{C3380CC4-5D6E-409C-BE32-E72D297353CC}">
                <c16:uniqueId val="{00000001-A9D6-4DD7-BA92-C71D93163CBD}"/>
              </c:ext>
            </c:extLst>
          </c:dPt>
          <c:dPt>
            <c:idx val="2"/>
            <c:bubble3D val="0"/>
            <c:extLst>
              <c:ext xmlns:c16="http://schemas.microsoft.com/office/drawing/2014/chart" uri="{C3380CC4-5D6E-409C-BE32-E72D297353CC}">
                <c16:uniqueId val="{00000002-A9D6-4DD7-BA92-C71D93163CBD}"/>
              </c:ext>
            </c:extLst>
          </c:dPt>
          <c:dPt>
            <c:idx val="3"/>
            <c:bubble3D val="0"/>
            <c:spPr>
              <a:solidFill>
                <a:schemeClr val="accent4"/>
              </a:solidFill>
            </c:spPr>
            <c:extLst>
              <c:ext xmlns:c16="http://schemas.microsoft.com/office/drawing/2014/chart" uri="{C3380CC4-5D6E-409C-BE32-E72D297353CC}">
                <c16:uniqueId val="{00000003-A9D6-4DD7-BA92-C71D93163CBD}"/>
              </c:ext>
            </c:extLst>
          </c:dPt>
          <c:dPt>
            <c:idx val="4"/>
            <c:bubble3D val="0"/>
            <c:spPr>
              <a:solidFill>
                <a:schemeClr val="accent5"/>
              </a:solidFill>
            </c:spPr>
            <c:extLst>
              <c:ext xmlns:c16="http://schemas.microsoft.com/office/drawing/2014/chart" uri="{C3380CC4-5D6E-409C-BE32-E72D297353CC}">
                <c16:uniqueId val="{00000004-A9D6-4DD7-BA92-C71D93163CBD}"/>
              </c:ext>
            </c:extLst>
          </c:dPt>
          <c:dPt>
            <c:idx val="5"/>
            <c:bubble3D val="0"/>
            <c:spPr>
              <a:solidFill>
                <a:schemeClr val="accent6"/>
              </a:solidFill>
            </c:spPr>
            <c:extLst>
              <c:ext xmlns:c16="http://schemas.microsoft.com/office/drawing/2014/chart" uri="{C3380CC4-5D6E-409C-BE32-E72D297353CC}">
                <c16:uniqueId val="{00000005-A9D6-4DD7-BA92-C71D93163CBD}"/>
              </c:ext>
            </c:extLst>
          </c:dPt>
          <c:dPt>
            <c:idx val="6"/>
            <c:bubble3D val="0"/>
            <c:spPr>
              <a:solidFill>
                <a:schemeClr val="tx2">
                  <a:lumMod val="10000"/>
                  <a:lumOff val="90000"/>
                </a:schemeClr>
              </a:solidFill>
            </c:spPr>
            <c:extLst>
              <c:ext xmlns:c16="http://schemas.microsoft.com/office/drawing/2014/chart" uri="{C3380CC4-5D6E-409C-BE32-E72D297353CC}">
                <c16:uniqueId val="{00000006-A9D6-4DD7-BA92-C71D93163CBD}"/>
              </c:ext>
            </c:extLst>
          </c:dPt>
          <c:dPt>
            <c:idx val="7"/>
            <c:bubble3D val="0"/>
            <c:extLst>
              <c:ext xmlns:c16="http://schemas.microsoft.com/office/drawing/2014/chart" uri="{C3380CC4-5D6E-409C-BE32-E72D297353CC}">
                <c16:uniqueId val="{00000007-A9D6-4DD7-BA92-C71D93163CBD}"/>
              </c:ext>
            </c:extLst>
          </c:dPt>
          <c:dPt>
            <c:idx val="8"/>
            <c:bubble3D val="0"/>
            <c:extLst>
              <c:ext xmlns:c16="http://schemas.microsoft.com/office/drawing/2014/chart" uri="{C3380CC4-5D6E-409C-BE32-E72D297353CC}">
                <c16:uniqueId val="{00000008-A9D6-4DD7-BA92-C71D93163CBD}"/>
              </c:ext>
            </c:extLst>
          </c:dPt>
          <c:dPt>
            <c:idx val="9"/>
            <c:bubble3D val="0"/>
            <c:extLst>
              <c:ext xmlns:c16="http://schemas.microsoft.com/office/drawing/2014/chart" uri="{C3380CC4-5D6E-409C-BE32-E72D297353CC}">
                <c16:uniqueId val="{00000009-A9D6-4DD7-BA92-C71D93163C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'Gráficos HH (2)'!$AM$11:$AM$18</c:f>
              <c:strCache>
                <c:ptCount val="7"/>
                <c:pt idx="0">
                  <c:v>Camila González</c:v>
                </c:pt>
                <c:pt idx="1">
                  <c:v>Daniela Rojas</c:v>
                </c:pt>
                <c:pt idx="2">
                  <c:v>Felipe Ramírez</c:v>
                </c:pt>
                <c:pt idx="3">
                  <c:v>Fernanda Morales</c:v>
                </c:pt>
                <c:pt idx="4">
                  <c:v>Javiera Soto</c:v>
                </c:pt>
                <c:pt idx="5">
                  <c:v>Matías Herrera</c:v>
                </c:pt>
                <c:pt idx="6">
                  <c:v>Vicente Castro</c:v>
                </c:pt>
              </c:strCache>
            </c:strRef>
          </c:cat>
          <c:val>
            <c:numRef>
              <c:f>'Gráficos HH (2)'!$AN$11:$AN$18</c:f>
              <c:numCache>
                <c:formatCode>0</c:formatCode>
                <c:ptCount val="7"/>
                <c:pt idx="0">
                  <c:v>45.5</c:v>
                </c:pt>
                <c:pt idx="1">
                  <c:v>81.028571428571439</c:v>
                </c:pt>
                <c:pt idx="2">
                  <c:v>60.30952380952381</c:v>
                </c:pt>
                <c:pt idx="3">
                  <c:v>59.3</c:v>
                </c:pt>
                <c:pt idx="4">
                  <c:v>45.642857142857139</c:v>
                </c:pt>
                <c:pt idx="5">
                  <c:v>34.5</c:v>
                </c:pt>
                <c:pt idx="6">
                  <c:v>47.68452380952381</c:v>
                </c:pt>
              </c:numCache>
            </c:numRef>
          </c:val>
          <c:extLst>
            <c:ext xmlns:c16="http://schemas.microsoft.com/office/drawing/2014/chart" uri="{C3380CC4-5D6E-409C-BE32-E72D297353CC}">
              <c16:uniqueId val="{0000000A-A9D6-4DD7-BA92-C71D93163CB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(2)!TablaDinámica7</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1  a la  4</a:t>
            </a:r>
          </a:p>
        </c:rich>
      </c:tx>
      <c:layout>
        <c:manualLayout>
          <c:xMode val="edge"/>
          <c:yMode val="edge"/>
          <c:x val="0.37780233649069128"/>
          <c:y val="5.6984672940028049E-2"/>
        </c:manualLayout>
      </c:layout>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marker>
          <c:symbol val="none"/>
        </c:marker>
      </c:pivotFmt>
      <c:pivotFmt>
        <c:idx val="9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marker>
          <c:symbol val="none"/>
        </c:marker>
      </c:pivotFmt>
      <c:pivotFmt>
        <c:idx val="10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 (2)'!$C$44:$C$46</c:f>
              <c:strCache>
                <c:ptCount val="1"/>
                <c:pt idx="0">
                  <c:v>S-1 - 30/06/2025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(2)'!$B$47:$B$54</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(2)'!$C$47:$C$54</c:f>
              <c:numCache>
                <c:formatCode>0</c:formatCode>
                <c:ptCount val="8"/>
                <c:pt idx="0">
                  <c:v>0</c:v>
                </c:pt>
                <c:pt idx="1">
                  <c:v>0</c:v>
                </c:pt>
                <c:pt idx="2">
                  <c:v>5.5511151231257827E-16</c:v>
                </c:pt>
                <c:pt idx="3">
                  <c:v>2.2204460492503131E-16</c:v>
                </c:pt>
                <c:pt idx="4">
                  <c:v>1.1102230246251565E-16</c:v>
                </c:pt>
                <c:pt idx="5">
                  <c:v>0</c:v>
                </c:pt>
                <c:pt idx="6">
                  <c:v>2.2204460492503131E-16</c:v>
                </c:pt>
                <c:pt idx="7">
                  <c:v>-3.5</c:v>
                </c:pt>
              </c:numCache>
            </c:numRef>
          </c:val>
          <c:extLst>
            <c:ext xmlns:c16="http://schemas.microsoft.com/office/drawing/2014/chart" uri="{C3380CC4-5D6E-409C-BE32-E72D297353CC}">
              <c16:uniqueId val="{00000000-672A-4D3B-BCD4-977FB753C2C7}"/>
            </c:ext>
          </c:extLst>
        </c:ser>
        <c:ser>
          <c:idx val="1"/>
          <c:order val="1"/>
          <c:tx>
            <c:strRef>
              <c:f>'Gráficos HH (2)'!$E$44:$E$46</c:f>
              <c:strCache>
                <c:ptCount val="1"/>
                <c:pt idx="0">
                  <c:v>S-2 - 07/07/2025 a 13/07/2025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(2)'!$B$47:$B$54</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(2)'!$E$47:$E$54</c:f>
              <c:numCache>
                <c:formatCode>0</c:formatCode>
                <c:ptCount val="8"/>
                <c:pt idx="0">
                  <c:v>9.8333333333333339</c:v>
                </c:pt>
                <c:pt idx="1">
                  <c:v>21.361904761904761</c:v>
                </c:pt>
                <c:pt idx="2">
                  <c:v>16.80952380952381</c:v>
                </c:pt>
                <c:pt idx="3">
                  <c:v>18.55</c:v>
                </c:pt>
                <c:pt idx="4">
                  <c:v>10.976190476190476</c:v>
                </c:pt>
                <c:pt idx="5">
                  <c:v>6.75</c:v>
                </c:pt>
                <c:pt idx="6">
                  <c:v>15.37202380952381</c:v>
                </c:pt>
                <c:pt idx="7">
                  <c:v>17.5</c:v>
                </c:pt>
              </c:numCache>
            </c:numRef>
          </c:val>
          <c:extLst>
            <c:ext xmlns:c16="http://schemas.microsoft.com/office/drawing/2014/chart" uri="{C3380CC4-5D6E-409C-BE32-E72D297353CC}">
              <c16:uniqueId val="{00000001-672A-4D3B-BCD4-977FB753C2C7}"/>
            </c:ext>
          </c:extLst>
        </c:ser>
        <c:ser>
          <c:idx val="2"/>
          <c:order val="2"/>
          <c:tx>
            <c:strRef>
              <c:f>'Gráficos HH (2)'!$G$44:$G$46</c:f>
              <c:strCache>
                <c:ptCount val="1"/>
                <c:pt idx="0">
                  <c:v>S-3 - 14/07/2025 a 20/07/2025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(2)'!$B$47:$B$54</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(2)'!$G$47:$G$54</c:f>
              <c:numCache>
                <c:formatCode>0</c:formatCode>
                <c:ptCount val="8"/>
                <c:pt idx="0">
                  <c:v>14.166666666666668</c:v>
                </c:pt>
                <c:pt idx="1">
                  <c:v>24.138095238095239</c:v>
                </c:pt>
                <c:pt idx="2">
                  <c:v>19.69047619047619</c:v>
                </c:pt>
                <c:pt idx="3">
                  <c:v>22.95</c:v>
                </c:pt>
                <c:pt idx="4">
                  <c:v>14.523809523809526</c:v>
                </c:pt>
                <c:pt idx="5">
                  <c:v>11.25</c:v>
                </c:pt>
                <c:pt idx="6">
                  <c:v>21.770833333333336</c:v>
                </c:pt>
                <c:pt idx="7">
                  <c:v>17.5</c:v>
                </c:pt>
              </c:numCache>
            </c:numRef>
          </c:val>
          <c:extLst>
            <c:ext xmlns:c16="http://schemas.microsoft.com/office/drawing/2014/chart" uri="{C3380CC4-5D6E-409C-BE32-E72D297353CC}">
              <c16:uniqueId val="{00000002-672A-4D3B-BCD4-977FB753C2C7}"/>
            </c:ext>
          </c:extLst>
        </c:ser>
        <c:ser>
          <c:idx val="3"/>
          <c:order val="3"/>
          <c:tx>
            <c:strRef>
              <c:f>'Gráficos HH (2)'!$I$44:$I$46</c:f>
              <c:strCache>
                <c:ptCount val="1"/>
                <c:pt idx="0">
                  <c:v>S-4 - 21/07/2025 a 27/07/2025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(2)'!$B$47:$B$54</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(2)'!$I$47:$I$54</c:f>
              <c:numCache>
                <c:formatCode>0</c:formatCode>
                <c:ptCount val="8"/>
                <c:pt idx="0">
                  <c:v>10.25</c:v>
                </c:pt>
                <c:pt idx="1">
                  <c:v>18.361904761904764</c:v>
                </c:pt>
                <c:pt idx="2">
                  <c:v>13.80952380952381</c:v>
                </c:pt>
                <c:pt idx="3">
                  <c:v>12.216666666666669</c:v>
                </c:pt>
                <c:pt idx="4">
                  <c:v>9.8095238095238084</c:v>
                </c:pt>
                <c:pt idx="5">
                  <c:v>6.75</c:v>
                </c:pt>
                <c:pt idx="6">
                  <c:v>5.5625</c:v>
                </c:pt>
                <c:pt idx="7">
                  <c:v>17.5</c:v>
                </c:pt>
              </c:numCache>
            </c:numRef>
          </c:val>
          <c:extLst>
            <c:ext xmlns:c16="http://schemas.microsoft.com/office/drawing/2014/chart" uri="{C3380CC4-5D6E-409C-BE32-E72D297353CC}">
              <c16:uniqueId val="{00000003-672A-4D3B-BCD4-977FB753C2C7}"/>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6.5638082862984115E-2"/>
          <c:h val="0.30707647176545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spPr>
    <a:ln>
      <a:solidFill>
        <a:schemeClr val="tx1"/>
      </a:solidFill>
    </a:ln>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5  a la  8</a:t>
            </a:r>
          </a:p>
        </c:rich>
      </c:tx>
      <c:layout>
        <c:manualLayout>
          <c:xMode val="edge"/>
          <c:yMode val="edge"/>
          <c:x val="0.38425732352008773"/>
          <c:y val="8.3823477076685679E-2"/>
        </c:manualLayout>
      </c:layout>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marker>
          <c:symbol val="none"/>
        </c:marker>
      </c:pivotFmt>
      <c:pivotFmt>
        <c:idx val="94"/>
        <c:marker>
          <c:symbol val="none"/>
        </c:marker>
      </c:pivotFmt>
      <c:pivotFmt>
        <c:idx val="9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 (2)'!$B$72:$B$74</c:f>
              <c:strCache>
                <c:ptCount val="1"/>
                <c:pt idx="0">
                  <c:v>S-5 - 28/07/2025 a 03/08/2025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(2)'!$A$75:$A$82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(2)'!$B$75:$B$82</c:f>
              <c:numCache>
                <c:formatCode>0</c:formatCode>
                <c:ptCount val="8"/>
                <c:pt idx="0">
                  <c:v>11.25</c:v>
                </c:pt>
                <c:pt idx="1">
                  <c:v>17.166666666666668</c:v>
                </c:pt>
                <c:pt idx="2">
                  <c:v>10</c:v>
                </c:pt>
                <c:pt idx="3">
                  <c:v>5.5833333333333339</c:v>
                </c:pt>
                <c:pt idx="4">
                  <c:v>10.333333333333332</c:v>
                </c:pt>
                <c:pt idx="5">
                  <c:v>9.75</c:v>
                </c:pt>
                <c:pt idx="6">
                  <c:v>4.9791666666666661</c:v>
                </c:pt>
                <c:pt idx="7">
                  <c:v>21</c:v>
                </c:pt>
              </c:numCache>
            </c:numRef>
          </c:val>
          <c:extLst>
            <c:ext xmlns:c16="http://schemas.microsoft.com/office/drawing/2014/chart" uri="{C3380CC4-5D6E-409C-BE32-E72D297353CC}">
              <c16:uniqueId val="{00000000-EF0D-4D87-A208-3033134546CC}"/>
            </c:ext>
          </c:extLst>
        </c:ser>
        <c:ser>
          <c:idx val="1"/>
          <c:order val="1"/>
          <c:tx>
            <c:strRef>
              <c:f>'Gráficos HH (2)'!$D$72:$D$74</c:f>
              <c:strCache>
                <c:ptCount val="1"/>
                <c:pt idx="0">
                  <c:v>S-6 - 04/08/2025 a 10/08/2025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(2)'!$A$75:$A$82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(2)'!$D$75:$D$82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F0D-4D87-A208-3033134546CC}"/>
            </c:ext>
          </c:extLst>
        </c:ser>
        <c:ser>
          <c:idx val="2"/>
          <c:order val="2"/>
          <c:tx>
            <c:strRef>
              <c:f>'Gráficos HH (2)'!$F$72:$F$74</c:f>
              <c:strCache>
                <c:ptCount val="1"/>
                <c:pt idx="0">
                  <c:v>S-7 - 11/08/2025 a 17/08/2025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(2)'!$A$75:$A$82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(2)'!$F$75:$F$82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EF0D-4D87-A208-3033134546CC}"/>
            </c:ext>
          </c:extLst>
        </c:ser>
        <c:ser>
          <c:idx val="3"/>
          <c:order val="3"/>
          <c:tx>
            <c:strRef>
              <c:f>'Gráficos HH (2)'!$H$72:$H$74</c:f>
              <c:strCache>
                <c:ptCount val="1"/>
                <c:pt idx="0">
                  <c:v>S-8 - 18/08/2025 a 24/08/2025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(2)'!$A$75:$A$82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(2)'!$H$75:$H$82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EF0D-4D87-A208-3033134546CC}"/>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6.9419713620169507E-2"/>
          <c:h val="0.62602193290195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spPr>
    <a:ln>
      <a:solidFill>
        <a:schemeClr val="tx1"/>
      </a:solidFill>
    </a:ln>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(2)!TablaDinámica5</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9 a la  12</a:t>
            </a:r>
          </a:p>
        </c:rich>
      </c:tx>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pivotFmt>
      <c:pivotFmt>
        <c:idx val="5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 (2)'!$B$93:$B$95</c:f>
              <c:strCache>
                <c:ptCount val="1"/>
                <c:pt idx="0">
                  <c:v>S-9 - 25/08/2025 a 31/08/2025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(2)'!$A$96:$A$103</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(2)'!$B$96:$B$103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5B4-4BC7-9FB9-983AD0376347}"/>
            </c:ext>
          </c:extLst>
        </c:ser>
        <c:ser>
          <c:idx val="1"/>
          <c:order val="1"/>
          <c:tx>
            <c:strRef>
              <c:f>'Gráficos HH (2)'!$D$93:$D$95</c:f>
              <c:strCache>
                <c:ptCount val="1"/>
                <c:pt idx="0">
                  <c:v>S-10 - 30/06/2025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(2)'!$A$96:$A$103</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(2)'!$D$96:$D$103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5B4-4BC7-9FB9-983AD0376347}"/>
            </c:ext>
          </c:extLst>
        </c:ser>
        <c:ser>
          <c:idx val="2"/>
          <c:order val="2"/>
          <c:tx>
            <c:strRef>
              <c:f>'Gráficos HH (2)'!$F$93:$F$95</c:f>
              <c:strCache>
                <c:ptCount val="1"/>
                <c:pt idx="0">
                  <c:v>S-11 - 30/06/2025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(2)'!$A$96:$A$103</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(2)'!$F$96:$F$103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15B4-4BC7-9FB9-983AD0376347}"/>
            </c:ext>
          </c:extLst>
        </c:ser>
        <c:ser>
          <c:idx val="3"/>
          <c:order val="3"/>
          <c:tx>
            <c:strRef>
              <c:f>'Gráficos HH (2)'!$H$93:$H$95</c:f>
              <c:strCache>
                <c:ptCount val="1"/>
                <c:pt idx="0">
                  <c:v>S-12 - 30/06/2025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 (2)'!$A$96:$A$103</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 (2)'!$H$96:$H$103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15B4-4BC7-9FB9-983AD0376347}"/>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7.1455533961584092E-2"/>
          <c:h val="0.34494869630149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spPr>
    <a:ln>
      <a:solidFill>
        <a:schemeClr val="tx1"/>
      </a:solidFill>
    </a:ln>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(2)!TablaDinámica9</c:name>
    <c:fmtId val="3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s-CL">
                <a:latin typeface="Calibri" panose="020F0502020204030204" pitchFamily="34" charset="0"/>
                <a:ea typeface="Calibri" panose="020F0502020204030204" pitchFamily="34" charset="0"/>
                <a:cs typeface="Calibri" panose="020F0502020204030204" pitchFamily="34" charset="0"/>
              </a:rPr>
              <a:t>CaRGA DE</a:t>
            </a:r>
            <a:r>
              <a:rPr lang="es-CL" baseline="0">
                <a:latin typeface="Calibri" panose="020F0502020204030204" pitchFamily="34" charset="0"/>
                <a:ea typeface="Calibri" panose="020F0502020204030204" pitchFamily="34" charset="0"/>
                <a:cs typeface="Calibri" panose="020F0502020204030204" pitchFamily="34" charset="0"/>
              </a:rPr>
              <a:t> LA SEMANA 1 A LA 5, PARA CADA </a:t>
            </a:r>
            <a:r>
              <a:rPr lang="es-CL" sz="1600" b="1">
                <a:latin typeface="Calibri" panose="020F0502020204030204" pitchFamily="34" charset="0"/>
                <a:ea typeface="Calibri" panose="020F0502020204030204" pitchFamily="34" charset="0"/>
                <a:cs typeface="Calibri" panose="020F0502020204030204" pitchFamily="34" charset="0"/>
              </a:rPr>
              <a:t>Empleado</a:t>
            </a:r>
            <a:endParaRPr lang="es-C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7290488101920027"/>
          <c:y val="2.781079079389508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L"/>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6649312869216E-3"/>
          <c:y val="0.12829707999197021"/>
          <c:w val="0.98589167397695199"/>
          <c:h val="0.63920161717052226"/>
        </c:manualLayout>
      </c:layout>
      <c:barChart>
        <c:barDir val="col"/>
        <c:grouping val="clustered"/>
        <c:varyColors val="0"/>
        <c:ser>
          <c:idx val="0"/>
          <c:order val="0"/>
          <c:tx>
            <c:strRef>
              <c:f>'Gráficos HH (2)'!$B$116:$B$117</c:f>
              <c:strCache>
                <c:ptCount val="1"/>
                <c:pt idx="0">
                  <c:v>Camila González</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(2)'!$B$118:$B$128</c:f>
              <c:numCache>
                <c:formatCode>0</c:formatCode>
                <c:ptCount val="5"/>
                <c:pt idx="0">
                  <c:v>0</c:v>
                </c:pt>
                <c:pt idx="1">
                  <c:v>9.8333333333333339</c:v>
                </c:pt>
                <c:pt idx="2">
                  <c:v>14.166666666666668</c:v>
                </c:pt>
                <c:pt idx="3">
                  <c:v>10.25</c:v>
                </c:pt>
                <c:pt idx="4">
                  <c:v>11.25</c:v>
                </c:pt>
              </c:numCache>
            </c:numRef>
          </c:val>
          <c:extLst>
            <c:ext xmlns:c16="http://schemas.microsoft.com/office/drawing/2014/chart" uri="{C3380CC4-5D6E-409C-BE32-E72D297353CC}">
              <c16:uniqueId val="{00000000-A764-481B-B6BA-DCB45497F12F}"/>
            </c:ext>
          </c:extLst>
        </c:ser>
        <c:ser>
          <c:idx val="1"/>
          <c:order val="1"/>
          <c:tx>
            <c:strRef>
              <c:f>'Gráficos HH (2)'!$C$116:$C$117</c:f>
              <c:strCache>
                <c:ptCount val="1"/>
                <c:pt idx="0">
                  <c:v>Daniela Rojas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(2)'!$C$118:$C$128</c:f>
              <c:numCache>
                <c:formatCode>0</c:formatCode>
                <c:ptCount val="5"/>
                <c:pt idx="0">
                  <c:v>0</c:v>
                </c:pt>
                <c:pt idx="1">
                  <c:v>21.361904761904761</c:v>
                </c:pt>
                <c:pt idx="2">
                  <c:v>24.138095238095239</c:v>
                </c:pt>
                <c:pt idx="3">
                  <c:v>18.361904761904764</c:v>
                </c:pt>
                <c:pt idx="4">
                  <c:v>17.166666666666668</c:v>
                </c:pt>
              </c:numCache>
            </c:numRef>
          </c:val>
          <c:extLst>
            <c:ext xmlns:c16="http://schemas.microsoft.com/office/drawing/2014/chart" uri="{C3380CC4-5D6E-409C-BE32-E72D297353CC}">
              <c16:uniqueId val="{00000001-A764-481B-B6BA-DCB45497F12F}"/>
            </c:ext>
          </c:extLst>
        </c:ser>
        <c:ser>
          <c:idx val="2"/>
          <c:order val="2"/>
          <c:tx>
            <c:strRef>
              <c:f>'Gráficos HH (2)'!$D$116:$D$117</c:f>
              <c:strCache>
                <c:ptCount val="1"/>
                <c:pt idx="0">
                  <c:v>Felipe Ramírez</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(2)'!$D$118:$D$128</c:f>
              <c:numCache>
                <c:formatCode>0</c:formatCode>
                <c:ptCount val="5"/>
                <c:pt idx="0">
                  <c:v>5.5511151231257827E-16</c:v>
                </c:pt>
                <c:pt idx="1">
                  <c:v>16.80952380952381</c:v>
                </c:pt>
                <c:pt idx="2">
                  <c:v>19.69047619047619</c:v>
                </c:pt>
                <c:pt idx="3">
                  <c:v>13.809523809523812</c:v>
                </c:pt>
                <c:pt idx="4">
                  <c:v>10</c:v>
                </c:pt>
              </c:numCache>
            </c:numRef>
          </c:val>
          <c:extLst>
            <c:ext xmlns:c16="http://schemas.microsoft.com/office/drawing/2014/chart" uri="{C3380CC4-5D6E-409C-BE32-E72D297353CC}">
              <c16:uniqueId val="{00000002-A764-481B-B6BA-DCB45497F12F}"/>
            </c:ext>
          </c:extLst>
        </c:ser>
        <c:ser>
          <c:idx val="3"/>
          <c:order val="3"/>
          <c:tx>
            <c:strRef>
              <c:f>'Gráficos HH (2)'!$E$116:$E$117</c:f>
              <c:strCache>
                <c:ptCount val="1"/>
                <c:pt idx="0">
                  <c:v>Fernanda Morales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(2)'!$E$118:$E$128</c:f>
              <c:numCache>
                <c:formatCode>0</c:formatCode>
                <c:ptCount val="5"/>
                <c:pt idx="0">
                  <c:v>2.2204460492503131E-16</c:v>
                </c:pt>
                <c:pt idx="1">
                  <c:v>18.55</c:v>
                </c:pt>
                <c:pt idx="2">
                  <c:v>22.95</c:v>
                </c:pt>
                <c:pt idx="3">
                  <c:v>12.216666666666669</c:v>
                </c:pt>
                <c:pt idx="4">
                  <c:v>5.5833333333333339</c:v>
                </c:pt>
              </c:numCache>
            </c:numRef>
          </c:val>
          <c:extLst>
            <c:ext xmlns:c16="http://schemas.microsoft.com/office/drawing/2014/chart" uri="{C3380CC4-5D6E-409C-BE32-E72D297353CC}">
              <c16:uniqueId val="{00000003-A764-481B-B6BA-DCB45497F12F}"/>
            </c:ext>
          </c:extLst>
        </c:ser>
        <c:ser>
          <c:idx val="4"/>
          <c:order val="4"/>
          <c:tx>
            <c:strRef>
              <c:f>'Gráficos HH (2)'!$F$116:$F$117</c:f>
              <c:strCache>
                <c:ptCount val="1"/>
                <c:pt idx="0">
                  <c:v>Javiera Soto</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(2)'!$F$118:$F$128</c:f>
              <c:numCache>
                <c:formatCode>0</c:formatCode>
                <c:ptCount val="5"/>
                <c:pt idx="0">
                  <c:v>1.1102230246251565E-16</c:v>
                </c:pt>
                <c:pt idx="1">
                  <c:v>10.976190476190476</c:v>
                </c:pt>
                <c:pt idx="2">
                  <c:v>14.523809523809526</c:v>
                </c:pt>
                <c:pt idx="3">
                  <c:v>9.8095238095238084</c:v>
                </c:pt>
                <c:pt idx="4">
                  <c:v>10.333333333333332</c:v>
                </c:pt>
              </c:numCache>
            </c:numRef>
          </c:val>
          <c:extLst>
            <c:ext xmlns:c16="http://schemas.microsoft.com/office/drawing/2014/chart" uri="{C3380CC4-5D6E-409C-BE32-E72D297353CC}">
              <c16:uniqueId val="{00000004-A764-481B-B6BA-DCB45497F12F}"/>
            </c:ext>
          </c:extLst>
        </c:ser>
        <c:ser>
          <c:idx val="5"/>
          <c:order val="5"/>
          <c:tx>
            <c:strRef>
              <c:f>'Gráficos HH (2)'!$G$116:$G$117</c:f>
              <c:strCache>
                <c:ptCount val="1"/>
                <c:pt idx="0">
                  <c:v>Matías Herrera</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(2)'!$G$118:$G$128</c:f>
              <c:numCache>
                <c:formatCode>0</c:formatCode>
                <c:ptCount val="5"/>
                <c:pt idx="0">
                  <c:v>0</c:v>
                </c:pt>
                <c:pt idx="1">
                  <c:v>6.75</c:v>
                </c:pt>
                <c:pt idx="2">
                  <c:v>11.25</c:v>
                </c:pt>
                <c:pt idx="3">
                  <c:v>6.75</c:v>
                </c:pt>
                <c:pt idx="4">
                  <c:v>9.75</c:v>
                </c:pt>
              </c:numCache>
            </c:numRef>
          </c:val>
          <c:extLst>
            <c:ext xmlns:c16="http://schemas.microsoft.com/office/drawing/2014/chart" uri="{C3380CC4-5D6E-409C-BE32-E72D297353CC}">
              <c16:uniqueId val="{00000005-A764-481B-B6BA-DCB45497F12F}"/>
            </c:ext>
          </c:extLst>
        </c:ser>
        <c:ser>
          <c:idx val="6"/>
          <c:order val="6"/>
          <c:tx>
            <c:strRef>
              <c:f>'Gráficos HH (2)'!$H$116:$H$117</c:f>
              <c:strCache>
                <c:ptCount val="1"/>
                <c:pt idx="0">
                  <c:v>Vicente Castro</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(2)'!$H$118:$H$128</c:f>
              <c:numCache>
                <c:formatCode>0</c:formatCode>
                <c:ptCount val="5"/>
                <c:pt idx="0">
                  <c:v>2.2204460492503131E-16</c:v>
                </c:pt>
                <c:pt idx="1">
                  <c:v>15.37202380952381</c:v>
                </c:pt>
                <c:pt idx="2">
                  <c:v>21.770833333333336</c:v>
                </c:pt>
                <c:pt idx="3">
                  <c:v>5.5625</c:v>
                </c:pt>
                <c:pt idx="4">
                  <c:v>4.9791666666666661</c:v>
                </c:pt>
              </c:numCache>
            </c:numRef>
          </c:val>
          <c:extLst>
            <c:ext xmlns:c16="http://schemas.microsoft.com/office/drawing/2014/chart" uri="{C3380CC4-5D6E-409C-BE32-E72D297353CC}">
              <c16:uniqueId val="{00000006-A764-481B-B6BA-DCB45497F12F}"/>
            </c:ext>
          </c:extLst>
        </c:ser>
        <c:ser>
          <c:idx val="7"/>
          <c:order val="7"/>
          <c:tx>
            <c:strRef>
              <c:f>'Gráficos HH (2)'!$I$116:$I$117</c:f>
              <c:strCache>
                <c:ptCount val="1"/>
                <c:pt idx="0">
                  <c:v>Mateo Parra</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(2)'!$A$118:$A$128</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(2)'!$I$118:$I$128</c:f>
              <c:numCache>
                <c:formatCode>0</c:formatCode>
                <c:ptCount val="5"/>
                <c:pt idx="0">
                  <c:v>-3.5</c:v>
                </c:pt>
                <c:pt idx="1">
                  <c:v>17.5</c:v>
                </c:pt>
                <c:pt idx="2">
                  <c:v>17.5</c:v>
                </c:pt>
                <c:pt idx="3">
                  <c:v>17.5</c:v>
                </c:pt>
                <c:pt idx="4">
                  <c:v>21</c:v>
                </c:pt>
              </c:numCache>
            </c:numRef>
          </c:val>
          <c:extLst>
            <c:ext xmlns:c16="http://schemas.microsoft.com/office/drawing/2014/chart" uri="{C3380CC4-5D6E-409C-BE32-E72D297353CC}">
              <c16:uniqueId val="{00000000-7ACA-4F9B-A9F3-5DC25967B940}"/>
            </c:ext>
          </c:extLst>
        </c:ser>
        <c:dLbls>
          <c:dLblPos val="outEnd"/>
          <c:showLegendKey val="0"/>
          <c:showVal val="1"/>
          <c:showCatName val="0"/>
          <c:showSerName val="0"/>
          <c:showPercent val="0"/>
          <c:showBubbleSize val="0"/>
        </c:dLbls>
        <c:gapWidth val="444"/>
        <c:overlap val="-90"/>
        <c:axId val="1347970368"/>
        <c:axId val="1347971328"/>
      </c:barChart>
      <c:catAx>
        <c:axId val="134797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s-CL"/>
          </a:p>
        </c:txPr>
        <c:crossAx val="1347971328"/>
        <c:crosses val="autoZero"/>
        <c:auto val="1"/>
        <c:lblAlgn val="ctr"/>
        <c:lblOffset val="100"/>
        <c:noMultiLvlLbl val="0"/>
      </c:catAx>
      <c:valAx>
        <c:axId val="1347971328"/>
        <c:scaling>
          <c:orientation val="minMax"/>
        </c:scaling>
        <c:delete val="1"/>
        <c:axPos val="l"/>
        <c:numFmt formatCode="0" sourceLinked="1"/>
        <c:majorTickMark val="none"/>
        <c:minorTickMark val="none"/>
        <c:tickLblPos val="nextTo"/>
        <c:crossAx val="1347970368"/>
        <c:crosses val="autoZero"/>
        <c:crossBetween val="between"/>
      </c:valAx>
      <c:spPr>
        <a:noFill/>
        <a:ln>
          <a:noFill/>
        </a:ln>
        <a:effectLst/>
      </c:spPr>
    </c:plotArea>
    <c:legend>
      <c:legendPos val="b"/>
      <c:layout>
        <c:manualLayout>
          <c:xMode val="edge"/>
          <c:yMode val="edge"/>
          <c:x val="5.3301023055544919E-2"/>
          <c:y val="0.86788902277425051"/>
          <c:w val="0.37260210154951662"/>
          <c:h val="0.112750393700787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(2)!TablaDinámica3</c:name>
    <c:fmtId val="3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s-CL">
                <a:latin typeface="Calibri" panose="020F0502020204030204" pitchFamily="34" charset="0"/>
                <a:ea typeface="Calibri" panose="020F0502020204030204" pitchFamily="34" charset="0"/>
                <a:cs typeface="Calibri" panose="020F0502020204030204" pitchFamily="34" charset="0"/>
              </a:rPr>
              <a:t>CaRGA DE LA SEMANA 6 A LA 10, PARA CADA </a:t>
            </a:r>
            <a:r>
              <a:rPr lang="es-CL" sz="1600" b="1">
                <a:latin typeface="Calibri" panose="020F0502020204030204" pitchFamily="34" charset="0"/>
                <a:ea typeface="Calibri" panose="020F0502020204030204" pitchFamily="34" charset="0"/>
                <a:cs typeface="Calibri" panose="020F0502020204030204" pitchFamily="34" charset="0"/>
              </a:rPr>
              <a:t>Empleado</a:t>
            </a:r>
            <a:endParaRPr lang="es-C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7290488101920027"/>
          <c:y val="2.7810790793895087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2">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3">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4">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marker>
          <c:symbol val="none"/>
        </c:marker>
      </c:pivotFmt>
      <c:pivotFmt>
        <c:idx val="12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6649312869216E-3"/>
          <c:y val="0.12829707999197021"/>
          <c:w val="0.98589167397695199"/>
          <c:h val="0.63920161717052226"/>
        </c:manualLayout>
      </c:layout>
      <c:barChart>
        <c:barDir val="col"/>
        <c:grouping val="clustered"/>
        <c:varyColors val="0"/>
        <c:ser>
          <c:idx val="0"/>
          <c:order val="0"/>
          <c:tx>
            <c:strRef>
              <c:f>'Gráficos HH (2)'!$C$142:$C$143</c:f>
              <c:strCache>
                <c:ptCount val="1"/>
                <c:pt idx="0">
                  <c:v>Camila González</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(2)'!$C$144:$C$154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49C4-478B-8509-ABBC3E92FEF4}"/>
            </c:ext>
          </c:extLst>
        </c:ser>
        <c:ser>
          <c:idx val="1"/>
          <c:order val="1"/>
          <c:tx>
            <c:strRef>
              <c:f>'Gráficos HH (2)'!$D$142:$D$143</c:f>
              <c:strCache>
                <c:ptCount val="1"/>
                <c:pt idx="0">
                  <c:v>Daniela Rojas</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(2)'!$D$144:$D$154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49C4-478B-8509-ABBC3E92FEF4}"/>
            </c:ext>
          </c:extLst>
        </c:ser>
        <c:ser>
          <c:idx val="2"/>
          <c:order val="2"/>
          <c:tx>
            <c:strRef>
              <c:f>'Gráficos HH (2)'!$E$142:$E$143</c:f>
              <c:strCache>
                <c:ptCount val="1"/>
                <c:pt idx="0">
                  <c:v>Felipe Ramírez</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(2)'!$E$144:$E$154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49C4-478B-8509-ABBC3E92FEF4}"/>
            </c:ext>
          </c:extLst>
        </c:ser>
        <c:ser>
          <c:idx val="3"/>
          <c:order val="3"/>
          <c:tx>
            <c:strRef>
              <c:f>'Gráficos HH (2)'!$F$142:$F$143</c:f>
              <c:strCache>
                <c:ptCount val="1"/>
                <c:pt idx="0">
                  <c:v>Fernanda Morales</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(2)'!$F$144:$F$154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49C4-478B-8509-ABBC3E92FEF4}"/>
            </c:ext>
          </c:extLst>
        </c:ser>
        <c:ser>
          <c:idx val="4"/>
          <c:order val="4"/>
          <c:tx>
            <c:strRef>
              <c:f>'Gráficos HH (2)'!$G$142:$G$143</c:f>
              <c:strCache>
                <c:ptCount val="1"/>
                <c:pt idx="0">
                  <c:v>Javiera Soto</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(2)'!$G$144:$G$154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49C4-478B-8509-ABBC3E92FEF4}"/>
            </c:ext>
          </c:extLst>
        </c:ser>
        <c:ser>
          <c:idx val="5"/>
          <c:order val="5"/>
          <c:tx>
            <c:strRef>
              <c:f>'Gráficos HH (2)'!$H$142:$H$143</c:f>
              <c:strCache>
                <c:ptCount val="1"/>
                <c:pt idx="0">
                  <c:v>Matías Herrera</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(2)'!$H$144:$H$154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49C4-478B-8509-ABBC3E92FEF4}"/>
            </c:ext>
          </c:extLst>
        </c:ser>
        <c:ser>
          <c:idx val="6"/>
          <c:order val="6"/>
          <c:tx>
            <c:strRef>
              <c:f>'Gráficos HH (2)'!$I$142:$I$143</c:f>
              <c:strCache>
                <c:ptCount val="1"/>
                <c:pt idx="0">
                  <c:v>Vicente Castro</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(2)'!$I$144:$I$154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49C4-478B-8509-ABBC3E92FEF4}"/>
            </c:ext>
          </c:extLst>
        </c:ser>
        <c:ser>
          <c:idx val="7"/>
          <c:order val="7"/>
          <c:tx>
            <c:strRef>
              <c:f>'Gráficos HH (2)'!$J$142:$J$143</c:f>
              <c:strCache>
                <c:ptCount val="1"/>
                <c:pt idx="0">
                  <c:v>Mateo Parra</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 (2)'!$B$144:$B$154</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 (2)'!$J$144:$J$154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5AEF-4C95-B8EF-8750A7771998}"/>
            </c:ext>
          </c:extLst>
        </c:ser>
        <c:dLbls>
          <c:dLblPos val="outEnd"/>
          <c:showLegendKey val="0"/>
          <c:showVal val="1"/>
          <c:showCatName val="0"/>
          <c:showSerName val="0"/>
          <c:showPercent val="0"/>
          <c:showBubbleSize val="0"/>
        </c:dLbls>
        <c:gapWidth val="444"/>
        <c:overlap val="-90"/>
        <c:axId val="1347970368"/>
        <c:axId val="1347971328"/>
      </c:barChart>
      <c:catAx>
        <c:axId val="134797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s-CL"/>
          </a:p>
        </c:txPr>
        <c:crossAx val="1347971328"/>
        <c:crosses val="autoZero"/>
        <c:auto val="1"/>
        <c:lblAlgn val="ctr"/>
        <c:lblOffset val="100"/>
        <c:noMultiLvlLbl val="0"/>
      </c:catAx>
      <c:valAx>
        <c:axId val="1347971328"/>
        <c:scaling>
          <c:orientation val="minMax"/>
        </c:scaling>
        <c:delete val="1"/>
        <c:axPos val="l"/>
        <c:numFmt formatCode="0" sourceLinked="1"/>
        <c:majorTickMark val="none"/>
        <c:minorTickMark val="none"/>
        <c:tickLblPos val="nextTo"/>
        <c:crossAx val="1347970368"/>
        <c:crosses val="autoZero"/>
        <c:crossBetween val="between"/>
      </c:valAx>
    </c:plotArea>
    <c:legend>
      <c:legendPos val="b"/>
      <c:layout>
        <c:manualLayout>
          <c:xMode val="edge"/>
          <c:yMode val="edge"/>
          <c:x val="5.3301023055544919E-2"/>
          <c:y val="0.86788902277425051"/>
          <c:w val="0.333938157056757"/>
          <c:h val="0.1051185394268850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spPr>
    <a:ln>
      <a:solidFill>
        <a:schemeClr val="tx1"/>
      </a:solidFill>
    </a:ln>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 (2)!TablaDinámica8</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u="none" strike="noStrike" kern="1200" spc="0" baseline="0">
                <a:solidFill>
                  <a:sysClr val="windowText" lastClr="000000">
                    <a:lumMod val="65000"/>
                    <a:lumOff val="35000"/>
                  </a:sysClr>
                </a:solidFill>
              </a:rPr>
              <a:t>TENDENCIA DE LA DISTRIBUCIÓN DE HH DE LA SEMANA 1 A LA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HH (2)'!$C$168:$C$169</c:f>
              <c:strCache>
                <c:ptCount val="1"/>
                <c:pt idx="0">
                  <c:v>Camila González</c:v>
                </c:pt>
              </c:strCache>
            </c:strRef>
          </c:tx>
          <c:spPr>
            <a:solidFill>
              <a:schemeClr val="accent1"/>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(2)'!$C$170:$C$180</c:f>
              <c:numCache>
                <c:formatCode>0</c:formatCode>
                <c:ptCount val="5"/>
                <c:pt idx="0">
                  <c:v>0</c:v>
                </c:pt>
                <c:pt idx="1">
                  <c:v>9.8333333333333339</c:v>
                </c:pt>
                <c:pt idx="2">
                  <c:v>14.166666666666668</c:v>
                </c:pt>
                <c:pt idx="3">
                  <c:v>10.25</c:v>
                </c:pt>
                <c:pt idx="4">
                  <c:v>11.25</c:v>
                </c:pt>
              </c:numCache>
            </c:numRef>
          </c:val>
          <c:extLst>
            <c:ext xmlns:c16="http://schemas.microsoft.com/office/drawing/2014/chart" uri="{C3380CC4-5D6E-409C-BE32-E72D297353CC}">
              <c16:uniqueId val="{00000000-D91E-49D9-B290-68540D319C53}"/>
            </c:ext>
          </c:extLst>
        </c:ser>
        <c:ser>
          <c:idx val="1"/>
          <c:order val="1"/>
          <c:tx>
            <c:strRef>
              <c:f>'Gráficos HH (2)'!$D$168:$D$169</c:f>
              <c:strCache>
                <c:ptCount val="1"/>
                <c:pt idx="0">
                  <c:v>Daniela Rojas</c:v>
                </c:pt>
              </c:strCache>
            </c:strRef>
          </c:tx>
          <c:spPr>
            <a:solidFill>
              <a:schemeClr val="accent2"/>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(2)'!$D$170:$D$180</c:f>
              <c:numCache>
                <c:formatCode>0</c:formatCode>
                <c:ptCount val="5"/>
                <c:pt idx="0">
                  <c:v>0</c:v>
                </c:pt>
                <c:pt idx="1">
                  <c:v>21.361904761904761</c:v>
                </c:pt>
                <c:pt idx="2">
                  <c:v>24.138095238095239</c:v>
                </c:pt>
                <c:pt idx="3">
                  <c:v>18.361904761904764</c:v>
                </c:pt>
                <c:pt idx="4">
                  <c:v>17.166666666666668</c:v>
                </c:pt>
              </c:numCache>
            </c:numRef>
          </c:val>
          <c:extLst>
            <c:ext xmlns:c16="http://schemas.microsoft.com/office/drawing/2014/chart" uri="{C3380CC4-5D6E-409C-BE32-E72D297353CC}">
              <c16:uniqueId val="{00000001-D91E-49D9-B290-68540D319C53}"/>
            </c:ext>
          </c:extLst>
        </c:ser>
        <c:ser>
          <c:idx val="2"/>
          <c:order val="2"/>
          <c:tx>
            <c:strRef>
              <c:f>'Gráficos HH (2)'!$E$168:$E$169</c:f>
              <c:strCache>
                <c:ptCount val="1"/>
                <c:pt idx="0">
                  <c:v>Felipe Ramírez</c:v>
                </c:pt>
              </c:strCache>
            </c:strRef>
          </c:tx>
          <c:spPr>
            <a:solidFill>
              <a:schemeClr val="accent3"/>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(2)'!$E$170:$E$180</c:f>
              <c:numCache>
                <c:formatCode>0</c:formatCode>
                <c:ptCount val="5"/>
                <c:pt idx="0">
                  <c:v>5.5511151231257827E-16</c:v>
                </c:pt>
                <c:pt idx="1">
                  <c:v>16.80952380952381</c:v>
                </c:pt>
                <c:pt idx="2">
                  <c:v>19.69047619047619</c:v>
                </c:pt>
                <c:pt idx="3">
                  <c:v>13.809523809523812</c:v>
                </c:pt>
                <c:pt idx="4">
                  <c:v>10</c:v>
                </c:pt>
              </c:numCache>
            </c:numRef>
          </c:val>
          <c:extLst>
            <c:ext xmlns:c16="http://schemas.microsoft.com/office/drawing/2014/chart" uri="{C3380CC4-5D6E-409C-BE32-E72D297353CC}">
              <c16:uniqueId val="{00000002-D91E-49D9-B290-68540D319C53}"/>
            </c:ext>
          </c:extLst>
        </c:ser>
        <c:ser>
          <c:idx val="3"/>
          <c:order val="3"/>
          <c:tx>
            <c:strRef>
              <c:f>'Gráficos HH (2)'!$F$168:$F$169</c:f>
              <c:strCache>
                <c:ptCount val="1"/>
                <c:pt idx="0">
                  <c:v>Fernanda Morales</c:v>
                </c:pt>
              </c:strCache>
            </c:strRef>
          </c:tx>
          <c:spPr>
            <a:solidFill>
              <a:schemeClr val="accent4"/>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(2)'!$F$170:$F$180</c:f>
              <c:numCache>
                <c:formatCode>0</c:formatCode>
                <c:ptCount val="5"/>
                <c:pt idx="0">
                  <c:v>2.2204460492503131E-16</c:v>
                </c:pt>
                <c:pt idx="1">
                  <c:v>18.55</c:v>
                </c:pt>
                <c:pt idx="2">
                  <c:v>22.95</c:v>
                </c:pt>
                <c:pt idx="3">
                  <c:v>12.216666666666669</c:v>
                </c:pt>
                <c:pt idx="4">
                  <c:v>5.5833333333333339</c:v>
                </c:pt>
              </c:numCache>
            </c:numRef>
          </c:val>
          <c:extLst>
            <c:ext xmlns:c16="http://schemas.microsoft.com/office/drawing/2014/chart" uri="{C3380CC4-5D6E-409C-BE32-E72D297353CC}">
              <c16:uniqueId val="{00000003-D91E-49D9-B290-68540D319C53}"/>
            </c:ext>
          </c:extLst>
        </c:ser>
        <c:ser>
          <c:idx val="4"/>
          <c:order val="4"/>
          <c:tx>
            <c:strRef>
              <c:f>'Gráficos HH (2)'!$G$168:$G$169</c:f>
              <c:strCache>
                <c:ptCount val="1"/>
                <c:pt idx="0">
                  <c:v>Javiera Soto</c:v>
                </c:pt>
              </c:strCache>
            </c:strRef>
          </c:tx>
          <c:spPr>
            <a:solidFill>
              <a:schemeClr val="accent5"/>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(2)'!$G$170:$G$180</c:f>
              <c:numCache>
                <c:formatCode>0</c:formatCode>
                <c:ptCount val="5"/>
                <c:pt idx="0">
                  <c:v>1.1102230246251565E-16</c:v>
                </c:pt>
                <c:pt idx="1">
                  <c:v>10.976190476190476</c:v>
                </c:pt>
                <c:pt idx="2">
                  <c:v>14.523809523809526</c:v>
                </c:pt>
                <c:pt idx="3">
                  <c:v>9.8095238095238084</c:v>
                </c:pt>
                <c:pt idx="4">
                  <c:v>10.333333333333332</c:v>
                </c:pt>
              </c:numCache>
            </c:numRef>
          </c:val>
          <c:extLst>
            <c:ext xmlns:c16="http://schemas.microsoft.com/office/drawing/2014/chart" uri="{C3380CC4-5D6E-409C-BE32-E72D297353CC}">
              <c16:uniqueId val="{00000004-D91E-49D9-B290-68540D319C53}"/>
            </c:ext>
          </c:extLst>
        </c:ser>
        <c:ser>
          <c:idx val="5"/>
          <c:order val="5"/>
          <c:tx>
            <c:strRef>
              <c:f>'Gráficos HH (2)'!$H$168:$H$169</c:f>
              <c:strCache>
                <c:ptCount val="1"/>
                <c:pt idx="0">
                  <c:v>Matías Herrera</c:v>
                </c:pt>
              </c:strCache>
            </c:strRef>
          </c:tx>
          <c:spPr>
            <a:solidFill>
              <a:schemeClr val="accent6"/>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(2)'!$H$170:$H$180</c:f>
              <c:numCache>
                <c:formatCode>0</c:formatCode>
                <c:ptCount val="5"/>
                <c:pt idx="0">
                  <c:v>0</c:v>
                </c:pt>
                <c:pt idx="1">
                  <c:v>6.75</c:v>
                </c:pt>
                <c:pt idx="2">
                  <c:v>11.25</c:v>
                </c:pt>
                <c:pt idx="3">
                  <c:v>6.75</c:v>
                </c:pt>
                <c:pt idx="4">
                  <c:v>9.75</c:v>
                </c:pt>
              </c:numCache>
            </c:numRef>
          </c:val>
          <c:extLst>
            <c:ext xmlns:c16="http://schemas.microsoft.com/office/drawing/2014/chart" uri="{C3380CC4-5D6E-409C-BE32-E72D297353CC}">
              <c16:uniqueId val="{00000005-D91E-49D9-B290-68540D319C53}"/>
            </c:ext>
          </c:extLst>
        </c:ser>
        <c:ser>
          <c:idx val="6"/>
          <c:order val="6"/>
          <c:tx>
            <c:strRef>
              <c:f>'Gráficos HH (2)'!$I$168:$I$169</c:f>
              <c:strCache>
                <c:ptCount val="1"/>
                <c:pt idx="0">
                  <c:v>Vicente Castro</c:v>
                </c:pt>
              </c:strCache>
            </c:strRef>
          </c:tx>
          <c:spPr>
            <a:solidFill>
              <a:schemeClr val="accent1">
                <a:lumMod val="60000"/>
              </a:schemeClr>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(2)'!$I$170:$I$180</c:f>
              <c:numCache>
                <c:formatCode>0</c:formatCode>
                <c:ptCount val="5"/>
                <c:pt idx="0">
                  <c:v>2.2204460492503131E-16</c:v>
                </c:pt>
                <c:pt idx="1">
                  <c:v>15.37202380952381</c:v>
                </c:pt>
                <c:pt idx="2">
                  <c:v>21.770833333333336</c:v>
                </c:pt>
                <c:pt idx="3">
                  <c:v>5.5625</c:v>
                </c:pt>
                <c:pt idx="4">
                  <c:v>4.9791666666666661</c:v>
                </c:pt>
              </c:numCache>
            </c:numRef>
          </c:val>
          <c:extLst>
            <c:ext xmlns:c16="http://schemas.microsoft.com/office/drawing/2014/chart" uri="{C3380CC4-5D6E-409C-BE32-E72D297353CC}">
              <c16:uniqueId val="{00000006-D91E-49D9-B290-68540D319C53}"/>
            </c:ext>
          </c:extLst>
        </c:ser>
        <c:ser>
          <c:idx val="7"/>
          <c:order val="7"/>
          <c:tx>
            <c:strRef>
              <c:f>'Gráficos HH (2)'!$J$168:$J$169</c:f>
              <c:strCache>
                <c:ptCount val="1"/>
                <c:pt idx="0">
                  <c:v>Mateo Parra</c:v>
                </c:pt>
              </c:strCache>
            </c:strRef>
          </c:tx>
          <c:spPr>
            <a:solidFill>
              <a:schemeClr val="accent2">
                <a:lumMod val="60000"/>
              </a:schemeClr>
            </a:solidFill>
            <a:ln>
              <a:noFill/>
            </a:ln>
            <a:effectLst/>
          </c:spPr>
          <c:invertIfNegative val="0"/>
          <c:cat>
            <c:multiLvlStrRef>
              <c:f>'Gráficos HH (2)'!$B$170:$B$180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 (2)'!$J$170:$J$180</c:f>
              <c:numCache>
                <c:formatCode>0</c:formatCode>
                <c:ptCount val="5"/>
                <c:pt idx="0">
                  <c:v>-3.5</c:v>
                </c:pt>
                <c:pt idx="1">
                  <c:v>17.5</c:v>
                </c:pt>
                <c:pt idx="2">
                  <c:v>17.5</c:v>
                </c:pt>
                <c:pt idx="3">
                  <c:v>17.5</c:v>
                </c:pt>
                <c:pt idx="4">
                  <c:v>21</c:v>
                </c:pt>
              </c:numCache>
            </c:numRef>
          </c:val>
          <c:extLst>
            <c:ext xmlns:c16="http://schemas.microsoft.com/office/drawing/2014/chart" uri="{C3380CC4-5D6E-409C-BE32-E72D297353CC}">
              <c16:uniqueId val="{00000000-59E7-4C77-89B0-201C776FA3F9}"/>
            </c:ext>
          </c:extLst>
        </c:ser>
        <c:dLbls>
          <c:showLegendKey val="0"/>
          <c:showVal val="0"/>
          <c:showCatName val="0"/>
          <c:showSerName val="0"/>
          <c:showPercent val="0"/>
          <c:showBubbleSize val="0"/>
        </c:dLbls>
        <c:gapWidth val="219"/>
        <c:axId val="250910848"/>
        <c:axId val="250907488"/>
      </c:barChart>
      <c:catAx>
        <c:axId val="2509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907488"/>
        <c:crosses val="autoZero"/>
        <c:auto val="1"/>
        <c:lblAlgn val="ctr"/>
        <c:lblOffset val="100"/>
        <c:noMultiLvlLbl val="0"/>
      </c:catAx>
      <c:valAx>
        <c:axId val="250907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910848"/>
        <c:crosses val="autoZero"/>
        <c:crossBetween val="between"/>
      </c:valAx>
      <c:spPr>
        <a:noFill/>
        <a:ln>
          <a:noFill/>
        </a:ln>
        <a:effectLst/>
      </c:spPr>
    </c:plotArea>
    <c:legend>
      <c:legendPos val="r"/>
      <c:layout>
        <c:manualLayout>
          <c:xMode val="edge"/>
          <c:yMode val="edge"/>
          <c:x val="0.92498349185200512"/>
          <c:y val="0.2144908301878943"/>
          <c:w val="5.3575233800286039E-2"/>
          <c:h val="0.395056938499190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HH!TablaDinámica4</c:name>
    <c:fmtId val="4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CARGA TOTAL POR</a:t>
            </a:r>
            <a:r>
              <a:rPr lang="en-US" sz="1600" b="1" baseline="0"/>
              <a:t> EMPLEADO PARA LOS PRÓXIMOS 3 MESES</a:t>
            </a:r>
            <a:endParaRPr lang="en-US" sz="1600" b="1"/>
          </a:p>
        </c:rich>
      </c:tx>
      <c:layout>
        <c:manualLayout>
          <c:xMode val="edge"/>
          <c:yMode val="edge"/>
          <c:x val="0.42095538076561534"/>
          <c:y val="3.182245256501985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HH'!$B$1</c:f>
              <c:strCache>
                <c:ptCount val="1"/>
                <c:pt idx="0">
                  <c:v>Total</c:v>
                </c:pt>
              </c:strCache>
            </c:strRef>
          </c:tx>
          <c:spPr>
            <a:solidFill>
              <a:schemeClr val="accent6">
                <a:lumMod val="75000"/>
              </a:schemeClr>
            </a:solidFill>
            <a:ln>
              <a:noFill/>
            </a:ln>
            <a:effectLst/>
          </c:spPr>
          <c:invertIfNegative val="0"/>
          <c:cat>
            <c:strRef>
              <c:f>'Gráficos HH'!$A$2:$A$9</c:f>
              <c:strCache>
                <c:ptCount val="7"/>
                <c:pt idx="0">
                  <c:v>Camila González</c:v>
                </c:pt>
                <c:pt idx="1">
                  <c:v>Daniela Rojas</c:v>
                </c:pt>
                <c:pt idx="2">
                  <c:v>Felipe Ramírez</c:v>
                </c:pt>
                <c:pt idx="3">
                  <c:v>Fernanda Morales</c:v>
                </c:pt>
                <c:pt idx="4">
                  <c:v>Javiera Soto</c:v>
                </c:pt>
                <c:pt idx="5">
                  <c:v>Matías Herrera</c:v>
                </c:pt>
                <c:pt idx="6">
                  <c:v>Vicente Castro</c:v>
                </c:pt>
              </c:strCache>
            </c:strRef>
          </c:cat>
          <c:val>
            <c:numRef>
              <c:f>'Gráficos HH'!$B$2:$B$9</c:f>
              <c:numCache>
                <c:formatCode>0</c:formatCode>
                <c:ptCount val="7"/>
                <c:pt idx="0">
                  <c:v>45.5</c:v>
                </c:pt>
                <c:pt idx="1">
                  <c:v>81.028571428571439</c:v>
                </c:pt>
                <c:pt idx="2">
                  <c:v>60.30952380952381</c:v>
                </c:pt>
                <c:pt idx="3">
                  <c:v>59.3</c:v>
                </c:pt>
                <c:pt idx="4">
                  <c:v>45.642857142857139</c:v>
                </c:pt>
                <c:pt idx="5">
                  <c:v>34.5</c:v>
                </c:pt>
                <c:pt idx="6">
                  <c:v>47.68452380952381</c:v>
                </c:pt>
              </c:numCache>
            </c:numRef>
          </c:val>
          <c:extLst>
            <c:ext xmlns:c16="http://schemas.microsoft.com/office/drawing/2014/chart" uri="{C3380CC4-5D6E-409C-BE32-E72D297353CC}">
              <c16:uniqueId val="{00000000-D809-4D71-AAD8-D48B7ECF2236}"/>
            </c:ext>
          </c:extLst>
        </c:ser>
        <c:dLbls>
          <c:showLegendKey val="0"/>
          <c:showVal val="0"/>
          <c:showCatName val="0"/>
          <c:showSerName val="0"/>
          <c:showPercent val="0"/>
          <c:showBubbleSize val="0"/>
        </c:dLbls>
        <c:gapWidth val="219"/>
        <c:overlap val="-27"/>
        <c:axId val="503070240"/>
        <c:axId val="503067840"/>
      </c:barChart>
      <c:catAx>
        <c:axId val="5030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L"/>
          </a:p>
        </c:txPr>
        <c:crossAx val="503067840"/>
        <c:crosses val="autoZero"/>
        <c:auto val="1"/>
        <c:lblAlgn val="ctr"/>
        <c:lblOffset val="100"/>
        <c:noMultiLvlLbl val="0"/>
      </c:catAx>
      <c:valAx>
        <c:axId val="503067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030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HH!TablaDinámica13</c:name>
    <c:fmtId val="2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dISTRIBUCIÓN DE LA CARGA TOTAL para los</a:t>
            </a:r>
            <a:r>
              <a:rPr lang="en-US" baseline="0"/>
              <a:t> próximos 3 meses</a:t>
            </a:r>
            <a:endParaRPr lang="en-US"/>
          </a:p>
        </c:rich>
      </c:tx>
      <c:layout>
        <c:manualLayout>
          <c:xMode val="edge"/>
          <c:yMode val="edge"/>
          <c:x val="0.23670995368085396"/>
          <c:y val="4.1775970465076404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2"/>
          </a:solidFill>
          <a:ln>
            <a:noFill/>
          </a:ln>
          <a:effectLst>
            <a:outerShdw blurRad="63500" sx="102000" sy="102000" algn="ctr" rotWithShape="0">
              <a:prstClr val="black">
                <a:alpha val="20000"/>
              </a:prstClr>
            </a:outerShdw>
          </a:effectLst>
        </c:spPr>
      </c:pivotFmt>
      <c:pivotFmt>
        <c:idx val="11"/>
        <c:spPr>
          <a:solidFill>
            <a:schemeClr val="accent3"/>
          </a:solidFill>
          <a:ln>
            <a:noFill/>
          </a:ln>
          <a:effectLst>
            <a:outerShdw blurRad="63500" sx="102000" sy="102000" algn="ctr" rotWithShape="0">
              <a:prstClr val="black">
                <a:alpha val="20000"/>
              </a:prstClr>
            </a:outerShdw>
          </a:effectLst>
        </c:spPr>
      </c:pivotFmt>
      <c:pivotFmt>
        <c:idx val="12"/>
        <c:spPr>
          <a:solidFill>
            <a:schemeClr val="accent4"/>
          </a:solidFill>
          <a:ln>
            <a:noFill/>
          </a:ln>
          <a:effectLst>
            <a:outerShdw blurRad="63500" sx="102000" sy="102000" algn="ctr" rotWithShape="0">
              <a:prstClr val="black">
                <a:alpha val="20000"/>
              </a:prstClr>
            </a:outerShdw>
          </a:effectLst>
        </c:spPr>
      </c:pivotFmt>
      <c:pivotFmt>
        <c:idx val="13"/>
        <c:spPr>
          <a:solidFill>
            <a:schemeClr val="accent5"/>
          </a:solidFill>
          <a:ln>
            <a:noFill/>
          </a:ln>
          <a:effectLst>
            <a:outerShdw blurRad="63500" sx="102000" sy="102000" algn="ctr" rotWithShape="0">
              <a:prstClr val="black">
                <a:alpha val="20000"/>
              </a:prstClr>
            </a:outerShdw>
          </a:effectLst>
        </c:spPr>
      </c:pivotFmt>
      <c:pivotFmt>
        <c:idx val="14"/>
        <c:spPr>
          <a:solidFill>
            <a:schemeClr val="accent6"/>
          </a:solidFill>
          <a:ln>
            <a:noFill/>
          </a:ln>
          <a:effectLst>
            <a:outerShdw blurRad="63500" sx="102000" sy="102000" algn="ctr" rotWithShape="0">
              <a:prstClr val="black">
                <a:alpha val="20000"/>
              </a:prstClr>
            </a:outerShdw>
          </a:effectLst>
        </c:spPr>
      </c:pivotFmt>
      <c:pivotFmt>
        <c:idx val="15"/>
        <c:spPr>
          <a:solidFill>
            <a:schemeClr val="accent1">
              <a:lumMod val="60000"/>
            </a:schemeClr>
          </a:solidFill>
          <a:ln>
            <a:noFill/>
          </a:ln>
          <a:effectLst>
            <a:outerShdw blurRad="63500" sx="102000" sy="102000" algn="ctr" rotWithShape="0">
              <a:prstClr val="black">
                <a:alpha val="20000"/>
              </a:prstClr>
            </a:outerShdw>
          </a:effectLst>
        </c:spPr>
      </c:pivotFmt>
      <c:pivotFmt>
        <c:idx val="16"/>
        <c:spPr>
          <a:solidFill>
            <a:schemeClr val="accent2">
              <a:lumMod val="60000"/>
            </a:schemeClr>
          </a:solidFill>
          <a:ln>
            <a:noFill/>
          </a:ln>
          <a:effectLst>
            <a:outerShdw blurRad="63500" sx="102000" sy="102000" algn="ctr" rotWithShape="0">
              <a:prstClr val="black">
                <a:alpha val="20000"/>
              </a:prstClr>
            </a:outerShdw>
          </a:effectLst>
        </c:spPr>
      </c:pivotFmt>
      <c:pivotFmt>
        <c:idx val="17"/>
        <c:spPr>
          <a:solidFill>
            <a:schemeClr val="accent3">
              <a:lumMod val="60000"/>
            </a:schemeClr>
          </a:solidFill>
          <a:ln>
            <a:noFill/>
          </a:ln>
          <a:effectLst>
            <a:outerShdw blurRad="63500" sx="102000" sy="102000" algn="ctr" rotWithShape="0">
              <a:prstClr val="black">
                <a:alpha val="20000"/>
              </a:prstClr>
            </a:outerShdw>
          </a:effectLst>
        </c:spPr>
      </c:pivotFmt>
      <c:pivotFmt>
        <c:idx val="18"/>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2"/>
          </a:solidFill>
          <a:ln>
            <a:noFill/>
          </a:ln>
          <a:effectLst>
            <a:outerShdw blurRad="63500" sx="102000" sy="102000" algn="ctr" rotWithShape="0">
              <a:prstClr val="black">
                <a:alpha val="20000"/>
              </a:prstClr>
            </a:outerShdw>
          </a:effectLst>
        </c:spPr>
      </c:pivotFmt>
      <c:pivotFmt>
        <c:idx val="23"/>
        <c:spPr>
          <a:solidFill>
            <a:schemeClr val="accent3"/>
          </a:solidFill>
          <a:ln>
            <a:noFill/>
          </a:ln>
          <a:effectLst>
            <a:outerShdw blurRad="63500" sx="102000" sy="102000" algn="ctr" rotWithShape="0">
              <a:prstClr val="black">
                <a:alpha val="20000"/>
              </a:prstClr>
            </a:outerShdw>
          </a:effectLst>
        </c:spPr>
      </c:pivotFmt>
      <c:pivotFmt>
        <c:idx val="24"/>
        <c:spPr>
          <a:solidFill>
            <a:schemeClr val="accent4"/>
          </a:solidFill>
          <a:ln>
            <a:noFill/>
          </a:ln>
          <a:effectLst>
            <a:outerShdw blurRad="63500" sx="102000" sy="102000" algn="ctr" rotWithShape="0">
              <a:prstClr val="black">
                <a:alpha val="20000"/>
              </a:prstClr>
            </a:outerShdw>
          </a:effectLst>
        </c:spPr>
      </c:pivotFmt>
      <c:pivotFmt>
        <c:idx val="25"/>
        <c:spPr>
          <a:solidFill>
            <a:schemeClr val="accent5"/>
          </a:solidFill>
          <a:ln>
            <a:noFill/>
          </a:ln>
          <a:effectLst>
            <a:outerShdw blurRad="63500" sx="102000" sy="102000" algn="ctr" rotWithShape="0">
              <a:prstClr val="black">
                <a:alpha val="20000"/>
              </a:prstClr>
            </a:outerShdw>
          </a:effectLst>
        </c:spPr>
      </c:pivotFmt>
      <c:pivotFmt>
        <c:idx val="26"/>
        <c:spPr>
          <a:solidFill>
            <a:schemeClr val="accent6"/>
          </a:solidFill>
          <a:ln>
            <a:noFill/>
          </a:ln>
          <a:effectLst>
            <a:outerShdw blurRad="63500" sx="102000" sy="102000" algn="ctr" rotWithShape="0">
              <a:prstClr val="black">
                <a:alpha val="20000"/>
              </a:prstClr>
            </a:outerShdw>
          </a:effectLst>
        </c:spPr>
      </c:pivotFmt>
      <c:pivotFmt>
        <c:idx val="27"/>
        <c:spPr>
          <a:solidFill>
            <a:schemeClr val="accent2">
              <a:lumMod val="60000"/>
            </a:schemeClr>
          </a:solidFill>
          <a:ln>
            <a:noFill/>
          </a:ln>
          <a:effectLst>
            <a:outerShdw blurRad="63500" sx="102000" sy="102000" algn="ctr" rotWithShape="0">
              <a:prstClr val="black">
                <a:alpha val="20000"/>
              </a:prstClr>
            </a:outerShdw>
          </a:effectLst>
        </c:spPr>
      </c:pivotFmt>
      <c:pivotFmt>
        <c:idx val="28"/>
        <c:spPr>
          <a:solidFill>
            <a:schemeClr val="accent3">
              <a:lumMod val="60000"/>
            </a:schemeClr>
          </a:solidFill>
          <a:ln>
            <a:noFill/>
          </a:ln>
          <a:effectLst>
            <a:outerShdw blurRad="63500" sx="102000" sy="102000" algn="ctr" rotWithShape="0">
              <a:prstClr val="black">
                <a:alpha val="20000"/>
              </a:prstClr>
            </a:outerShdw>
          </a:effectLst>
        </c:spPr>
      </c:pivotFmt>
      <c:pivotFmt>
        <c:idx val="29"/>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pivotFmt>
      <c:pivotFmt>
        <c:idx val="32"/>
        <c:spPr>
          <a:solidFill>
            <a:schemeClr val="accent2"/>
          </a:solidFill>
          <a:ln>
            <a:noFill/>
          </a:ln>
          <a:effectLst>
            <a:outerShdw blurRad="63500" sx="102000" sy="102000" algn="ctr" rotWithShape="0">
              <a:prstClr val="black">
                <a:alpha val="20000"/>
              </a:prstClr>
            </a:outerShdw>
          </a:effectLst>
        </c:spPr>
      </c:pivotFmt>
      <c:pivotFmt>
        <c:idx val="33"/>
        <c:spPr>
          <a:solidFill>
            <a:schemeClr val="accent3"/>
          </a:solidFill>
          <a:ln>
            <a:noFill/>
          </a:ln>
          <a:effectLst>
            <a:outerShdw blurRad="63500" sx="102000" sy="102000" algn="ctr" rotWithShape="0">
              <a:prstClr val="black">
                <a:alpha val="20000"/>
              </a:prstClr>
            </a:outerShdw>
          </a:effectLst>
        </c:spPr>
      </c:pivotFmt>
      <c:pivotFmt>
        <c:idx val="34"/>
        <c:spPr>
          <a:solidFill>
            <a:schemeClr val="accent4"/>
          </a:solidFill>
          <a:ln>
            <a:noFill/>
          </a:ln>
          <a:effectLst>
            <a:outerShdw blurRad="63500" sx="102000" sy="102000" algn="ctr" rotWithShape="0">
              <a:prstClr val="black">
                <a:alpha val="20000"/>
              </a:prstClr>
            </a:outerShdw>
          </a:effectLst>
        </c:spPr>
      </c:pivotFmt>
      <c:pivotFmt>
        <c:idx val="35"/>
        <c:spPr>
          <a:solidFill>
            <a:schemeClr val="accent5"/>
          </a:solidFill>
          <a:ln>
            <a:noFill/>
          </a:ln>
          <a:effectLst>
            <a:outerShdw blurRad="63500" sx="102000" sy="102000" algn="ctr" rotWithShape="0">
              <a:prstClr val="black">
                <a:alpha val="20000"/>
              </a:prstClr>
            </a:outerShdw>
          </a:effectLst>
        </c:spPr>
      </c:pivotFmt>
      <c:pivotFmt>
        <c:idx val="36"/>
        <c:spPr>
          <a:solidFill>
            <a:schemeClr val="accent6"/>
          </a:solidFill>
          <a:ln>
            <a:noFill/>
          </a:ln>
          <a:effectLst>
            <a:outerShdw blurRad="63500" sx="102000" sy="102000" algn="ctr" rotWithShape="0">
              <a:prstClr val="black">
                <a:alpha val="20000"/>
              </a:prstClr>
            </a:outerShdw>
          </a:effectLst>
        </c:spPr>
      </c:pivotFmt>
      <c:pivotFmt>
        <c:idx val="37"/>
        <c:spPr>
          <a:solidFill>
            <a:schemeClr val="accent2">
              <a:lumMod val="60000"/>
            </a:schemeClr>
          </a:solidFill>
          <a:ln>
            <a:noFill/>
          </a:ln>
          <a:effectLst>
            <a:outerShdw blurRad="63500" sx="102000" sy="102000" algn="ctr" rotWithShape="0">
              <a:prstClr val="black">
                <a:alpha val="20000"/>
              </a:prstClr>
            </a:outerShdw>
          </a:effectLst>
        </c:spPr>
      </c:pivotFmt>
      <c:pivotFmt>
        <c:idx val="38"/>
        <c:spPr>
          <a:solidFill>
            <a:schemeClr val="accent3">
              <a:lumMod val="60000"/>
            </a:schemeClr>
          </a:solidFill>
          <a:ln>
            <a:noFill/>
          </a:ln>
          <a:effectLst>
            <a:outerShdw blurRad="63500" sx="102000" sy="102000" algn="ctr" rotWithShape="0">
              <a:prstClr val="black">
                <a:alpha val="20000"/>
              </a:prstClr>
            </a:outerShdw>
          </a:effectLst>
        </c:spPr>
      </c:pivotFmt>
      <c:pivotFmt>
        <c:idx val="39"/>
        <c:spPr>
          <a:solidFill>
            <a:srgbClr val="FF505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5050"/>
                  </a:solidFill>
                  <a:latin typeface="+mn-lt"/>
                  <a:ea typeface="+mn-ea"/>
                  <a:cs typeface="+mn-cs"/>
                </a:defRPr>
              </a:pPr>
              <a:endParaRPr lang="es-CL"/>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'Gráficos HH'!$B$29</c:f>
              <c:strCache>
                <c:ptCount val="1"/>
                <c:pt idx="0">
                  <c:v>Total</c:v>
                </c:pt>
              </c:strCache>
            </c:strRef>
          </c:tx>
          <c:dPt>
            <c:idx val="0"/>
            <c:bubble3D val="0"/>
            <c:extLst>
              <c:ext xmlns:c16="http://schemas.microsoft.com/office/drawing/2014/chart" uri="{C3380CC4-5D6E-409C-BE32-E72D297353CC}">
                <c16:uniqueId val="{00000001-1093-4858-99AD-9E5CE0A7BBF7}"/>
              </c:ext>
            </c:extLst>
          </c:dPt>
          <c:dPt>
            <c:idx val="1"/>
            <c:bubble3D val="0"/>
            <c:extLst>
              <c:ext xmlns:c16="http://schemas.microsoft.com/office/drawing/2014/chart" uri="{C3380CC4-5D6E-409C-BE32-E72D297353CC}">
                <c16:uniqueId val="{00000003-1093-4858-99AD-9E5CE0A7BBF7}"/>
              </c:ext>
            </c:extLst>
          </c:dPt>
          <c:dPt>
            <c:idx val="2"/>
            <c:bubble3D val="0"/>
            <c:extLst>
              <c:ext xmlns:c16="http://schemas.microsoft.com/office/drawing/2014/chart" uri="{C3380CC4-5D6E-409C-BE32-E72D297353CC}">
                <c16:uniqueId val="{00000005-1093-4858-99AD-9E5CE0A7BBF7}"/>
              </c:ext>
            </c:extLst>
          </c:dPt>
          <c:dPt>
            <c:idx val="3"/>
            <c:bubble3D val="0"/>
            <c:extLst>
              <c:ext xmlns:c16="http://schemas.microsoft.com/office/drawing/2014/chart" uri="{C3380CC4-5D6E-409C-BE32-E72D297353CC}">
                <c16:uniqueId val="{00000007-1093-4858-99AD-9E5CE0A7BBF7}"/>
              </c:ext>
            </c:extLst>
          </c:dPt>
          <c:dPt>
            <c:idx val="4"/>
            <c:bubble3D val="0"/>
            <c:extLst>
              <c:ext xmlns:c16="http://schemas.microsoft.com/office/drawing/2014/chart" uri="{C3380CC4-5D6E-409C-BE32-E72D297353CC}">
                <c16:uniqueId val="{00000009-1093-4858-99AD-9E5CE0A7BBF7}"/>
              </c:ext>
            </c:extLst>
          </c:dPt>
          <c:dPt>
            <c:idx val="5"/>
            <c:bubble3D val="0"/>
            <c:extLst>
              <c:ext xmlns:c16="http://schemas.microsoft.com/office/drawing/2014/chart" uri="{C3380CC4-5D6E-409C-BE32-E72D297353CC}">
                <c16:uniqueId val="{0000000B-1093-4858-99AD-9E5CE0A7BBF7}"/>
              </c:ext>
            </c:extLst>
          </c:dPt>
          <c:dPt>
            <c:idx val="6"/>
            <c:bubble3D val="0"/>
            <c:extLst>
              <c:ext xmlns:c16="http://schemas.microsoft.com/office/drawing/2014/chart" uri="{C3380CC4-5D6E-409C-BE32-E72D297353CC}">
                <c16:uniqueId val="{0000000D-1093-4858-99AD-9E5CE0A7BBF7}"/>
              </c:ext>
            </c:extLst>
          </c:dPt>
          <c:dPt>
            <c:idx val="7"/>
            <c:bubble3D val="0"/>
            <c:extLst>
              <c:ext xmlns:c16="http://schemas.microsoft.com/office/drawing/2014/chart" uri="{C3380CC4-5D6E-409C-BE32-E72D297353CC}">
                <c16:uniqueId val="{0000000F-1093-4858-99AD-9E5CE0A7BBF7}"/>
              </c:ext>
            </c:extLst>
          </c:dPt>
          <c:dPt>
            <c:idx val="8"/>
            <c:bubble3D val="0"/>
            <c:extLst>
              <c:ext xmlns:c16="http://schemas.microsoft.com/office/drawing/2014/chart" uri="{C3380CC4-5D6E-409C-BE32-E72D297353CC}">
                <c16:uniqueId val="{00000011-1093-4858-99AD-9E5CE0A7BBF7}"/>
              </c:ext>
            </c:extLst>
          </c:dPt>
          <c:dPt>
            <c:idx val="9"/>
            <c:bubble3D val="0"/>
            <c:extLst>
              <c:ext xmlns:c16="http://schemas.microsoft.com/office/drawing/2014/chart" uri="{C3380CC4-5D6E-409C-BE32-E72D297353CC}">
                <c16:uniqueId val="{00000012-1093-4858-99AD-9E5CE0A7BB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L"/>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'Gráficos HH'!$A$30:$A$37</c:f>
              <c:strCache>
                <c:ptCount val="7"/>
                <c:pt idx="0">
                  <c:v>Camila González</c:v>
                </c:pt>
                <c:pt idx="1">
                  <c:v>Daniela Rojas</c:v>
                </c:pt>
                <c:pt idx="2">
                  <c:v>Felipe Ramírez</c:v>
                </c:pt>
                <c:pt idx="3">
                  <c:v>Fernanda Morales</c:v>
                </c:pt>
                <c:pt idx="4">
                  <c:v>Javiera Soto</c:v>
                </c:pt>
                <c:pt idx="5">
                  <c:v>Matías Herrera</c:v>
                </c:pt>
                <c:pt idx="6">
                  <c:v>Vicente Castro</c:v>
                </c:pt>
              </c:strCache>
            </c:strRef>
          </c:cat>
          <c:val>
            <c:numRef>
              <c:f>'Gráficos HH'!$B$30:$B$37</c:f>
              <c:numCache>
                <c:formatCode>0</c:formatCode>
                <c:ptCount val="7"/>
                <c:pt idx="0">
                  <c:v>45.5</c:v>
                </c:pt>
                <c:pt idx="1">
                  <c:v>81.028571428571439</c:v>
                </c:pt>
                <c:pt idx="2">
                  <c:v>60.30952380952381</c:v>
                </c:pt>
                <c:pt idx="3">
                  <c:v>59.3</c:v>
                </c:pt>
                <c:pt idx="4">
                  <c:v>45.642857142857139</c:v>
                </c:pt>
                <c:pt idx="5">
                  <c:v>34.5</c:v>
                </c:pt>
                <c:pt idx="6">
                  <c:v>47.68452380952381</c:v>
                </c:pt>
              </c:numCache>
            </c:numRef>
          </c:val>
          <c:extLst>
            <c:ext xmlns:c16="http://schemas.microsoft.com/office/drawing/2014/chart" uri="{C3380CC4-5D6E-409C-BE32-E72D297353CC}">
              <c16:uniqueId val="{00000013-1093-4858-99AD-9E5CE0A7BBF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1  a la  4</a:t>
            </a:r>
          </a:p>
        </c:rich>
      </c:tx>
      <c:layout>
        <c:manualLayout>
          <c:xMode val="edge"/>
          <c:yMode val="edge"/>
          <c:x val="0.37780233649069128"/>
          <c:y val="5.6984672940028049E-2"/>
        </c:manualLayout>
      </c:layout>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pivotFmt>
      <c:pivotFmt>
        <c:idx val="86"/>
        <c:marker>
          <c:symbol val="none"/>
        </c:marker>
      </c:pivotFmt>
      <c:pivotFmt>
        <c:idx val="87"/>
        <c:marker>
          <c:symbol val="none"/>
        </c:marker>
      </c:pivotFmt>
      <c:pivotFmt>
        <c:idx val="88"/>
        <c:marker>
          <c:symbol val="none"/>
        </c:marker>
      </c:pivotFmt>
      <c:pivotFmt>
        <c:idx val="8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marker>
          <c:symbol val="none"/>
        </c:marker>
      </c:pivotFmt>
      <c:pivotFmt>
        <c:idx val="9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marker>
          <c:symbol val="none"/>
        </c:marker>
      </c:pivotFmt>
      <c:pivotFmt>
        <c:idx val="10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HH'!$B$62:$B$64</c:f>
              <c:strCache>
                <c:ptCount val="1"/>
                <c:pt idx="0">
                  <c:v>S-1 - 30/06/2025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HH'!$A$65:$A$72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HH'!$B$65:$B$72</c:f>
              <c:numCache>
                <c:formatCode>0</c:formatCode>
                <c:ptCount val="8"/>
                <c:pt idx="0">
                  <c:v>0</c:v>
                </c:pt>
                <c:pt idx="1">
                  <c:v>0</c:v>
                </c:pt>
                <c:pt idx="2">
                  <c:v>5.5511151231257827E-16</c:v>
                </c:pt>
                <c:pt idx="3">
                  <c:v>2.2204460492503131E-16</c:v>
                </c:pt>
                <c:pt idx="4">
                  <c:v>1.1102230246251565E-16</c:v>
                </c:pt>
                <c:pt idx="5">
                  <c:v>0</c:v>
                </c:pt>
                <c:pt idx="6">
                  <c:v>2.2204460492503131E-16</c:v>
                </c:pt>
                <c:pt idx="7">
                  <c:v>-3.5</c:v>
                </c:pt>
              </c:numCache>
            </c:numRef>
          </c:val>
          <c:extLst>
            <c:ext xmlns:c16="http://schemas.microsoft.com/office/drawing/2014/chart" uri="{C3380CC4-5D6E-409C-BE32-E72D297353CC}">
              <c16:uniqueId val="{00000000-7665-48DD-8340-4DEB4877A964}"/>
            </c:ext>
          </c:extLst>
        </c:ser>
        <c:ser>
          <c:idx val="1"/>
          <c:order val="1"/>
          <c:tx>
            <c:strRef>
              <c:f>'Gráficos HH'!$D$62:$D$64</c:f>
              <c:strCache>
                <c:ptCount val="1"/>
                <c:pt idx="0">
                  <c:v>S-2 - 07/07/2025 a 13/07/2025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HH'!$A$65:$A$72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HH'!$D$65:$D$72</c:f>
              <c:numCache>
                <c:formatCode>0</c:formatCode>
                <c:ptCount val="8"/>
                <c:pt idx="0">
                  <c:v>9.8333333333333339</c:v>
                </c:pt>
                <c:pt idx="1">
                  <c:v>21.361904761904761</c:v>
                </c:pt>
                <c:pt idx="2">
                  <c:v>16.80952380952381</c:v>
                </c:pt>
                <c:pt idx="3">
                  <c:v>18.55</c:v>
                </c:pt>
                <c:pt idx="4">
                  <c:v>10.976190476190476</c:v>
                </c:pt>
                <c:pt idx="5">
                  <c:v>6.75</c:v>
                </c:pt>
                <c:pt idx="6">
                  <c:v>15.37202380952381</c:v>
                </c:pt>
                <c:pt idx="7">
                  <c:v>17.5</c:v>
                </c:pt>
              </c:numCache>
            </c:numRef>
          </c:val>
          <c:extLst>
            <c:ext xmlns:c16="http://schemas.microsoft.com/office/drawing/2014/chart" uri="{C3380CC4-5D6E-409C-BE32-E72D297353CC}">
              <c16:uniqueId val="{0000000D-46ED-4FCC-BA7D-AA7408839C4A}"/>
            </c:ext>
          </c:extLst>
        </c:ser>
        <c:ser>
          <c:idx val="2"/>
          <c:order val="2"/>
          <c:tx>
            <c:strRef>
              <c:f>'Gráficos HH'!$F$62:$F$64</c:f>
              <c:strCache>
                <c:ptCount val="1"/>
                <c:pt idx="0">
                  <c:v>S-3 - 14/07/2025 a 20/07/2025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HH'!$A$65:$A$72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HH'!$F$65:$F$72</c:f>
              <c:numCache>
                <c:formatCode>0</c:formatCode>
                <c:ptCount val="8"/>
                <c:pt idx="0">
                  <c:v>14.166666666666668</c:v>
                </c:pt>
                <c:pt idx="1">
                  <c:v>24.138095238095239</c:v>
                </c:pt>
                <c:pt idx="2">
                  <c:v>19.69047619047619</c:v>
                </c:pt>
                <c:pt idx="3">
                  <c:v>22.95</c:v>
                </c:pt>
                <c:pt idx="4">
                  <c:v>14.523809523809526</c:v>
                </c:pt>
                <c:pt idx="5">
                  <c:v>11.25</c:v>
                </c:pt>
                <c:pt idx="6">
                  <c:v>21.770833333333336</c:v>
                </c:pt>
                <c:pt idx="7">
                  <c:v>17.5</c:v>
                </c:pt>
              </c:numCache>
            </c:numRef>
          </c:val>
          <c:extLst>
            <c:ext xmlns:c16="http://schemas.microsoft.com/office/drawing/2014/chart" uri="{C3380CC4-5D6E-409C-BE32-E72D297353CC}">
              <c16:uniqueId val="{0000000E-46ED-4FCC-BA7D-AA7408839C4A}"/>
            </c:ext>
          </c:extLst>
        </c:ser>
        <c:ser>
          <c:idx val="3"/>
          <c:order val="3"/>
          <c:tx>
            <c:strRef>
              <c:f>'Gráficos HH'!$H$62:$H$64</c:f>
              <c:strCache>
                <c:ptCount val="1"/>
                <c:pt idx="0">
                  <c:v>S-4 - 21/07/2025 a 27/07/2025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HH'!$A$65:$A$72</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HH'!$H$65:$H$72</c:f>
              <c:numCache>
                <c:formatCode>0</c:formatCode>
                <c:ptCount val="8"/>
                <c:pt idx="0">
                  <c:v>10.25</c:v>
                </c:pt>
                <c:pt idx="1">
                  <c:v>18.361904761904764</c:v>
                </c:pt>
                <c:pt idx="2">
                  <c:v>13.80952380952381</c:v>
                </c:pt>
                <c:pt idx="3">
                  <c:v>12.216666666666669</c:v>
                </c:pt>
                <c:pt idx="4">
                  <c:v>9.8095238095238084</c:v>
                </c:pt>
                <c:pt idx="5">
                  <c:v>6.75</c:v>
                </c:pt>
                <c:pt idx="6">
                  <c:v>5.5625</c:v>
                </c:pt>
                <c:pt idx="7">
                  <c:v>17.5</c:v>
                </c:pt>
              </c:numCache>
            </c:numRef>
          </c:val>
          <c:extLst>
            <c:ext xmlns:c16="http://schemas.microsoft.com/office/drawing/2014/chart" uri="{C3380CC4-5D6E-409C-BE32-E72D297353CC}">
              <c16:uniqueId val="{0000000F-46ED-4FCC-BA7D-AA7408839C4A}"/>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6.5638082862984115E-2"/>
          <c:h val="0.30707647176545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HH!TablaDinámica6</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5  a la  8</a:t>
            </a:r>
          </a:p>
        </c:rich>
      </c:tx>
      <c:layout>
        <c:manualLayout>
          <c:xMode val="edge"/>
          <c:yMode val="edge"/>
          <c:x val="0.38425732352008773"/>
          <c:y val="8.3823477076685679E-2"/>
        </c:manualLayout>
      </c:layout>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marker>
          <c:symbol val="none"/>
        </c:marker>
      </c:pivotFmt>
      <c:pivotFmt>
        <c:idx val="94"/>
        <c:marker>
          <c:symbol val="none"/>
        </c:marker>
      </c:pivotFmt>
      <c:pivotFmt>
        <c:idx val="9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HH'!$B$89:$B$91</c:f>
              <c:strCache>
                <c:ptCount val="1"/>
                <c:pt idx="0">
                  <c:v>S-5 - 28/07/2025 a 03/08/2025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HH'!$A$92:$A$99</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HH'!$B$92:$B$99</c:f>
              <c:numCache>
                <c:formatCode>0</c:formatCode>
                <c:ptCount val="8"/>
                <c:pt idx="0">
                  <c:v>11.25</c:v>
                </c:pt>
                <c:pt idx="1">
                  <c:v>17.166666666666668</c:v>
                </c:pt>
                <c:pt idx="2">
                  <c:v>10</c:v>
                </c:pt>
                <c:pt idx="3">
                  <c:v>5.5833333333333339</c:v>
                </c:pt>
                <c:pt idx="4">
                  <c:v>10.333333333333332</c:v>
                </c:pt>
                <c:pt idx="5">
                  <c:v>9.75</c:v>
                </c:pt>
                <c:pt idx="6">
                  <c:v>4.9791666666666661</c:v>
                </c:pt>
                <c:pt idx="7">
                  <c:v>21</c:v>
                </c:pt>
              </c:numCache>
            </c:numRef>
          </c:val>
          <c:extLst>
            <c:ext xmlns:c16="http://schemas.microsoft.com/office/drawing/2014/chart" uri="{C3380CC4-5D6E-409C-BE32-E72D297353CC}">
              <c16:uniqueId val="{00000000-1AD8-443D-B939-A8E58E9E9CE3}"/>
            </c:ext>
          </c:extLst>
        </c:ser>
        <c:ser>
          <c:idx val="1"/>
          <c:order val="1"/>
          <c:tx>
            <c:strRef>
              <c:f>'Gráficos HH'!$D$89:$D$91</c:f>
              <c:strCache>
                <c:ptCount val="1"/>
                <c:pt idx="0">
                  <c:v>S-6 - 04/08/2025 a 10/08/2025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HH'!$A$92:$A$99</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HH'!$D$92:$D$99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AD8-443D-B939-A8E58E9E9CE3}"/>
            </c:ext>
          </c:extLst>
        </c:ser>
        <c:ser>
          <c:idx val="2"/>
          <c:order val="2"/>
          <c:tx>
            <c:strRef>
              <c:f>'Gráficos HH'!$F$89:$F$91</c:f>
              <c:strCache>
                <c:ptCount val="1"/>
                <c:pt idx="0">
                  <c:v>S-7 - 11/08/2025 a 17/08/2025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HH'!$A$92:$A$99</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HH'!$F$92:$F$99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1AD8-443D-B939-A8E58E9E9CE3}"/>
            </c:ext>
          </c:extLst>
        </c:ser>
        <c:ser>
          <c:idx val="3"/>
          <c:order val="3"/>
          <c:tx>
            <c:strRef>
              <c:f>'Gráficos HH'!$H$89:$H$91</c:f>
              <c:strCache>
                <c:ptCount val="1"/>
                <c:pt idx="0">
                  <c:v>S-8 - 18/08/2025 a 24/08/2025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HH'!$A$92:$A$99</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HH'!$H$92:$H$99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1AD8-443D-B939-A8E58E9E9CE3}"/>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6.9419713620169507E-2"/>
          <c:h val="0.62602193290195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HH!TablaDinámica5</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2000" b="1">
                <a:latin typeface="Calibri" panose="020F0502020204030204" pitchFamily="34" charset="0"/>
                <a:ea typeface="Calibri" panose="020F0502020204030204" pitchFamily="34" charset="0"/>
                <a:cs typeface="Calibri" panose="020F0502020204030204" pitchFamily="34" charset="0"/>
              </a:rPr>
              <a:t>Gráfico de carga por Empleado, de la semana 9 a la  12</a:t>
            </a:r>
          </a:p>
        </c:rich>
      </c:tx>
      <c:overlay val="0"/>
      <c:spPr>
        <a:noFill/>
        <a:ln>
          <a:noFill/>
        </a:ln>
        <a:effectLst/>
      </c:sp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pivotFmt>
      <c:pivotFmt>
        <c:idx val="5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marker>
          <c:symbol val="none"/>
        </c:marker>
      </c:pivotFmt>
      <c:pivotFmt>
        <c:idx val="71"/>
        <c:marker>
          <c:symbol val="none"/>
        </c:marker>
      </c:pivotFmt>
      <c:pivotFmt>
        <c:idx val="72"/>
        <c:marker>
          <c:symbol val="none"/>
        </c:marker>
      </c:pivotFmt>
      <c:pivotFmt>
        <c:idx val="73"/>
        <c:marker>
          <c:symbol val="none"/>
        </c:marker>
      </c:pivotFmt>
      <c:pivotFmt>
        <c:idx val="7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40583853290856E-2"/>
          <c:y val="0.21501401820960739"/>
          <c:w val="0.90890599930993743"/>
          <c:h val="0.66965168131445663"/>
        </c:manualLayout>
      </c:layout>
      <c:barChart>
        <c:barDir val="col"/>
        <c:grouping val="clustered"/>
        <c:varyColors val="0"/>
        <c:ser>
          <c:idx val="0"/>
          <c:order val="0"/>
          <c:tx>
            <c:strRef>
              <c:f>'Gráficos HH'!$B$118:$B$120</c:f>
              <c:strCache>
                <c:ptCount val="1"/>
                <c:pt idx="0">
                  <c:v>S-9 - 25/08/2025 a 31/08/2025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HH'!$A$121:$A$128</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HH'!$B$121:$B$128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E27-464C-8141-A8AA900F4DC9}"/>
            </c:ext>
          </c:extLst>
        </c:ser>
        <c:ser>
          <c:idx val="1"/>
          <c:order val="1"/>
          <c:tx>
            <c:strRef>
              <c:f>'Gráficos HH'!$D$118:$D$120</c:f>
              <c:strCache>
                <c:ptCount val="1"/>
                <c:pt idx="0">
                  <c:v>S-10 - 30/06/2025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HH'!$A$121:$A$128</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HH'!$D$121:$D$128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E27-464C-8141-A8AA900F4DC9}"/>
            </c:ext>
          </c:extLst>
        </c:ser>
        <c:ser>
          <c:idx val="2"/>
          <c:order val="2"/>
          <c:tx>
            <c:strRef>
              <c:f>'Gráficos HH'!$F$118:$F$120</c:f>
              <c:strCache>
                <c:ptCount val="1"/>
                <c:pt idx="0">
                  <c:v>S-11 - 30/06/2025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HH'!$A$121:$A$128</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HH'!$F$121:$F$128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1E27-464C-8141-A8AA900F4DC9}"/>
            </c:ext>
          </c:extLst>
        </c:ser>
        <c:ser>
          <c:idx val="3"/>
          <c:order val="3"/>
          <c:tx>
            <c:strRef>
              <c:f>'Gráficos HH'!$H$118:$H$120</c:f>
              <c:strCache>
                <c:ptCount val="1"/>
                <c:pt idx="0">
                  <c:v>S-12 - 30/06/2025 a 06/07/2025</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'Gráficos HH'!$A$121:$A$128</c:f>
              <c:strCache>
                <c:ptCount val="8"/>
                <c:pt idx="0">
                  <c:v>Camila González</c:v>
                </c:pt>
                <c:pt idx="1">
                  <c:v>Daniela Rojas</c:v>
                </c:pt>
                <c:pt idx="2">
                  <c:v>Felipe Ramírez</c:v>
                </c:pt>
                <c:pt idx="3">
                  <c:v>Fernanda Morales</c:v>
                </c:pt>
                <c:pt idx="4">
                  <c:v>Javiera Soto</c:v>
                </c:pt>
                <c:pt idx="5">
                  <c:v>Matías Herrera</c:v>
                </c:pt>
                <c:pt idx="6">
                  <c:v>Vicente Castro</c:v>
                </c:pt>
                <c:pt idx="7">
                  <c:v>Mateo Parra</c:v>
                </c:pt>
              </c:strCache>
            </c:strRef>
          </c:cat>
          <c:val>
            <c:numRef>
              <c:f>'Gráficos HH'!$H$121:$H$128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1E27-464C-8141-A8AA900F4DC9}"/>
            </c:ext>
          </c:extLst>
        </c:ser>
        <c:dLbls>
          <c:dLblPos val="outEnd"/>
          <c:showLegendKey val="0"/>
          <c:showVal val="1"/>
          <c:showCatName val="0"/>
          <c:showSerName val="0"/>
          <c:showPercent val="0"/>
          <c:showBubbleSize val="0"/>
        </c:dLbls>
        <c:gapWidth val="219"/>
        <c:overlap val="-27"/>
        <c:axId val="250718848"/>
        <c:axId val="250723648"/>
      </c:barChart>
      <c:catAx>
        <c:axId val="2507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crossAx val="250723648"/>
        <c:crosses val="autoZero"/>
        <c:auto val="1"/>
        <c:lblAlgn val="ctr"/>
        <c:lblOffset val="100"/>
        <c:noMultiLvlLbl val="0"/>
      </c:catAx>
      <c:valAx>
        <c:axId val="25072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718848"/>
        <c:crosses val="autoZero"/>
        <c:crossBetween val="between"/>
      </c:valAx>
    </c:plotArea>
    <c:legend>
      <c:legendPos val="r"/>
      <c:layout>
        <c:manualLayout>
          <c:xMode val="edge"/>
          <c:yMode val="edge"/>
          <c:x val="0.92738028651421367"/>
          <c:y val="0.15563576830123957"/>
          <c:w val="7.1455533961584092E-2"/>
          <c:h val="0.34494869630149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HH!TablaDinámica9</c:name>
    <c:fmtId val="3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s-CL">
                <a:latin typeface="Calibri" panose="020F0502020204030204" pitchFamily="34" charset="0"/>
                <a:ea typeface="Calibri" panose="020F0502020204030204" pitchFamily="34" charset="0"/>
                <a:cs typeface="Calibri" panose="020F0502020204030204" pitchFamily="34" charset="0"/>
              </a:rPr>
              <a:t>CaRGA DE</a:t>
            </a:r>
            <a:r>
              <a:rPr lang="es-CL" baseline="0">
                <a:latin typeface="Calibri" panose="020F0502020204030204" pitchFamily="34" charset="0"/>
                <a:ea typeface="Calibri" panose="020F0502020204030204" pitchFamily="34" charset="0"/>
                <a:cs typeface="Calibri" panose="020F0502020204030204" pitchFamily="34" charset="0"/>
              </a:rPr>
              <a:t> LA SEMANA 1 A LA 5, PARA CADA </a:t>
            </a:r>
            <a:r>
              <a:rPr lang="es-CL" sz="1600" b="1">
                <a:latin typeface="Calibri" panose="020F0502020204030204" pitchFamily="34" charset="0"/>
                <a:ea typeface="Calibri" panose="020F0502020204030204" pitchFamily="34" charset="0"/>
                <a:cs typeface="Calibri" panose="020F0502020204030204" pitchFamily="34" charset="0"/>
              </a:rPr>
              <a:t>Empleado</a:t>
            </a:r>
            <a:endParaRPr lang="es-C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7290488101920027"/>
          <c:y val="2.781079079389508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s-CL"/>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6649312869216E-3"/>
          <c:y val="0.12829707999197021"/>
          <c:w val="0.98589167397695199"/>
          <c:h val="0.63920161717052226"/>
        </c:manualLayout>
      </c:layout>
      <c:barChart>
        <c:barDir val="col"/>
        <c:grouping val="clustered"/>
        <c:varyColors val="0"/>
        <c:ser>
          <c:idx val="0"/>
          <c:order val="0"/>
          <c:tx>
            <c:strRef>
              <c:f>'Gráficos HH'!$B$144:$B$145</c:f>
              <c:strCache>
                <c:ptCount val="1"/>
                <c:pt idx="0">
                  <c:v>Camila González</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HH'!$B$146:$B$156</c:f>
              <c:numCache>
                <c:formatCode>0</c:formatCode>
                <c:ptCount val="5"/>
                <c:pt idx="0">
                  <c:v>0</c:v>
                </c:pt>
                <c:pt idx="1">
                  <c:v>9.8333333333333339</c:v>
                </c:pt>
                <c:pt idx="2">
                  <c:v>14.166666666666668</c:v>
                </c:pt>
                <c:pt idx="3">
                  <c:v>10.25</c:v>
                </c:pt>
                <c:pt idx="4">
                  <c:v>11.25</c:v>
                </c:pt>
              </c:numCache>
            </c:numRef>
          </c:val>
          <c:extLst>
            <c:ext xmlns:c16="http://schemas.microsoft.com/office/drawing/2014/chart" uri="{C3380CC4-5D6E-409C-BE32-E72D297353CC}">
              <c16:uniqueId val="{00000000-E514-4FA8-9AF2-49D9C468E83B}"/>
            </c:ext>
          </c:extLst>
        </c:ser>
        <c:ser>
          <c:idx val="1"/>
          <c:order val="1"/>
          <c:tx>
            <c:strRef>
              <c:f>'Gráficos HH'!$C$144:$C$145</c:f>
              <c:strCache>
                <c:ptCount val="1"/>
                <c:pt idx="0">
                  <c:v>Daniela Rojas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HH'!$C$146:$C$156</c:f>
              <c:numCache>
                <c:formatCode>0</c:formatCode>
                <c:ptCount val="5"/>
                <c:pt idx="0">
                  <c:v>0</c:v>
                </c:pt>
                <c:pt idx="1">
                  <c:v>21.361904761904761</c:v>
                </c:pt>
                <c:pt idx="2">
                  <c:v>24.138095238095239</c:v>
                </c:pt>
                <c:pt idx="3">
                  <c:v>18.361904761904764</c:v>
                </c:pt>
                <c:pt idx="4">
                  <c:v>17.166666666666668</c:v>
                </c:pt>
              </c:numCache>
            </c:numRef>
          </c:val>
          <c:extLst>
            <c:ext xmlns:c16="http://schemas.microsoft.com/office/drawing/2014/chart" uri="{C3380CC4-5D6E-409C-BE32-E72D297353CC}">
              <c16:uniqueId val="{00000000-B31C-4CF1-90CF-2221DC3A5819}"/>
            </c:ext>
          </c:extLst>
        </c:ser>
        <c:ser>
          <c:idx val="2"/>
          <c:order val="2"/>
          <c:tx>
            <c:strRef>
              <c:f>'Gráficos HH'!$D$144:$D$145</c:f>
              <c:strCache>
                <c:ptCount val="1"/>
                <c:pt idx="0">
                  <c:v>Felipe Ramírez</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HH'!$D$146:$D$156</c:f>
              <c:numCache>
                <c:formatCode>0</c:formatCode>
                <c:ptCount val="5"/>
                <c:pt idx="0">
                  <c:v>5.5511151231257827E-16</c:v>
                </c:pt>
                <c:pt idx="1">
                  <c:v>16.80952380952381</c:v>
                </c:pt>
                <c:pt idx="2">
                  <c:v>19.69047619047619</c:v>
                </c:pt>
                <c:pt idx="3">
                  <c:v>13.809523809523812</c:v>
                </c:pt>
                <c:pt idx="4">
                  <c:v>10</c:v>
                </c:pt>
              </c:numCache>
            </c:numRef>
          </c:val>
          <c:extLst>
            <c:ext xmlns:c16="http://schemas.microsoft.com/office/drawing/2014/chart" uri="{C3380CC4-5D6E-409C-BE32-E72D297353CC}">
              <c16:uniqueId val="{00000001-B31C-4CF1-90CF-2221DC3A5819}"/>
            </c:ext>
          </c:extLst>
        </c:ser>
        <c:ser>
          <c:idx val="3"/>
          <c:order val="3"/>
          <c:tx>
            <c:strRef>
              <c:f>'Gráficos HH'!$E$144:$E$145</c:f>
              <c:strCache>
                <c:ptCount val="1"/>
                <c:pt idx="0">
                  <c:v>Fernanda Morales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HH'!$E$146:$E$156</c:f>
              <c:numCache>
                <c:formatCode>0</c:formatCode>
                <c:ptCount val="5"/>
                <c:pt idx="0">
                  <c:v>2.2204460492503131E-16</c:v>
                </c:pt>
                <c:pt idx="1">
                  <c:v>18.55</c:v>
                </c:pt>
                <c:pt idx="2">
                  <c:v>22.95</c:v>
                </c:pt>
                <c:pt idx="3">
                  <c:v>12.216666666666669</c:v>
                </c:pt>
                <c:pt idx="4">
                  <c:v>5.5833333333333339</c:v>
                </c:pt>
              </c:numCache>
            </c:numRef>
          </c:val>
          <c:extLst>
            <c:ext xmlns:c16="http://schemas.microsoft.com/office/drawing/2014/chart" uri="{C3380CC4-5D6E-409C-BE32-E72D297353CC}">
              <c16:uniqueId val="{00000002-B31C-4CF1-90CF-2221DC3A5819}"/>
            </c:ext>
          </c:extLst>
        </c:ser>
        <c:ser>
          <c:idx val="4"/>
          <c:order val="4"/>
          <c:tx>
            <c:strRef>
              <c:f>'Gráficos HH'!$F$144:$F$145</c:f>
              <c:strCache>
                <c:ptCount val="1"/>
                <c:pt idx="0">
                  <c:v>Javiera Soto</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HH'!$F$146:$F$156</c:f>
              <c:numCache>
                <c:formatCode>0</c:formatCode>
                <c:ptCount val="5"/>
                <c:pt idx="0">
                  <c:v>1.1102230246251565E-16</c:v>
                </c:pt>
                <c:pt idx="1">
                  <c:v>10.976190476190476</c:v>
                </c:pt>
                <c:pt idx="2">
                  <c:v>14.523809523809526</c:v>
                </c:pt>
                <c:pt idx="3">
                  <c:v>9.8095238095238084</c:v>
                </c:pt>
                <c:pt idx="4">
                  <c:v>10.333333333333332</c:v>
                </c:pt>
              </c:numCache>
            </c:numRef>
          </c:val>
          <c:extLst>
            <c:ext xmlns:c16="http://schemas.microsoft.com/office/drawing/2014/chart" uri="{C3380CC4-5D6E-409C-BE32-E72D297353CC}">
              <c16:uniqueId val="{00000003-B31C-4CF1-90CF-2221DC3A5819}"/>
            </c:ext>
          </c:extLst>
        </c:ser>
        <c:ser>
          <c:idx val="5"/>
          <c:order val="5"/>
          <c:tx>
            <c:strRef>
              <c:f>'Gráficos HH'!$G$144:$G$145</c:f>
              <c:strCache>
                <c:ptCount val="1"/>
                <c:pt idx="0">
                  <c:v>Matías Herrera</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HH'!$G$146:$G$156</c:f>
              <c:numCache>
                <c:formatCode>0</c:formatCode>
                <c:ptCount val="5"/>
                <c:pt idx="0">
                  <c:v>0</c:v>
                </c:pt>
                <c:pt idx="1">
                  <c:v>6.75</c:v>
                </c:pt>
                <c:pt idx="2">
                  <c:v>11.25</c:v>
                </c:pt>
                <c:pt idx="3">
                  <c:v>6.75</c:v>
                </c:pt>
                <c:pt idx="4">
                  <c:v>9.75</c:v>
                </c:pt>
              </c:numCache>
            </c:numRef>
          </c:val>
          <c:extLst>
            <c:ext xmlns:c16="http://schemas.microsoft.com/office/drawing/2014/chart" uri="{C3380CC4-5D6E-409C-BE32-E72D297353CC}">
              <c16:uniqueId val="{00000004-B31C-4CF1-90CF-2221DC3A5819}"/>
            </c:ext>
          </c:extLst>
        </c:ser>
        <c:ser>
          <c:idx val="6"/>
          <c:order val="6"/>
          <c:tx>
            <c:strRef>
              <c:f>'Gráficos HH'!$H$144:$H$145</c:f>
              <c:strCache>
                <c:ptCount val="1"/>
                <c:pt idx="0">
                  <c:v>Vicente Castro</c:v>
                </c:pt>
              </c:strCache>
            </c:strRef>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HH'!$H$146:$H$156</c:f>
              <c:numCache>
                <c:formatCode>0</c:formatCode>
                <c:ptCount val="5"/>
                <c:pt idx="0">
                  <c:v>2.2204460492503131E-16</c:v>
                </c:pt>
                <c:pt idx="1">
                  <c:v>15.37202380952381</c:v>
                </c:pt>
                <c:pt idx="2">
                  <c:v>21.770833333333336</c:v>
                </c:pt>
                <c:pt idx="3">
                  <c:v>5.5625</c:v>
                </c:pt>
                <c:pt idx="4">
                  <c:v>4.9791666666666661</c:v>
                </c:pt>
              </c:numCache>
            </c:numRef>
          </c:val>
          <c:extLst>
            <c:ext xmlns:c16="http://schemas.microsoft.com/office/drawing/2014/chart" uri="{C3380CC4-5D6E-409C-BE32-E72D297353CC}">
              <c16:uniqueId val="{00000005-B31C-4CF1-90CF-2221DC3A5819}"/>
            </c:ext>
          </c:extLst>
        </c:ser>
        <c:ser>
          <c:idx val="7"/>
          <c:order val="7"/>
          <c:tx>
            <c:strRef>
              <c:f>'Gráficos HH'!$I$144:$I$145</c:f>
              <c:strCache>
                <c:ptCount val="1"/>
                <c:pt idx="0">
                  <c:v>Mateo Parra</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HH'!$A$146:$A$156</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HH'!$I$146:$I$156</c:f>
              <c:numCache>
                <c:formatCode>0</c:formatCode>
                <c:ptCount val="5"/>
                <c:pt idx="0">
                  <c:v>-3.5</c:v>
                </c:pt>
                <c:pt idx="1">
                  <c:v>17.5</c:v>
                </c:pt>
                <c:pt idx="2">
                  <c:v>17.5</c:v>
                </c:pt>
                <c:pt idx="3">
                  <c:v>17.5</c:v>
                </c:pt>
                <c:pt idx="4">
                  <c:v>21</c:v>
                </c:pt>
              </c:numCache>
            </c:numRef>
          </c:val>
          <c:extLst>
            <c:ext xmlns:c16="http://schemas.microsoft.com/office/drawing/2014/chart" uri="{C3380CC4-5D6E-409C-BE32-E72D297353CC}">
              <c16:uniqueId val="{00000000-AD23-420F-9FB3-61D37122443D}"/>
            </c:ext>
          </c:extLst>
        </c:ser>
        <c:dLbls>
          <c:dLblPos val="outEnd"/>
          <c:showLegendKey val="0"/>
          <c:showVal val="1"/>
          <c:showCatName val="0"/>
          <c:showSerName val="0"/>
          <c:showPercent val="0"/>
          <c:showBubbleSize val="0"/>
        </c:dLbls>
        <c:gapWidth val="444"/>
        <c:overlap val="-90"/>
        <c:axId val="1347970368"/>
        <c:axId val="1347971328"/>
      </c:barChart>
      <c:catAx>
        <c:axId val="134797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s-CL"/>
          </a:p>
        </c:txPr>
        <c:crossAx val="1347971328"/>
        <c:crosses val="autoZero"/>
        <c:auto val="1"/>
        <c:lblAlgn val="ctr"/>
        <c:lblOffset val="100"/>
        <c:noMultiLvlLbl val="0"/>
      </c:catAx>
      <c:valAx>
        <c:axId val="1347971328"/>
        <c:scaling>
          <c:orientation val="minMax"/>
        </c:scaling>
        <c:delete val="1"/>
        <c:axPos val="l"/>
        <c:numFmt formatCode="0" sourceLinked="1"/>
        <c:majorTickMark val="none"/>
        <c:minorTickMark val="none"/>
        <c:tickLblPos val="nextTo"/>
        <c:crossAx val="1347970368"/>
        <c:crosses val="autoZero"/>
        <c:crossBetween val="between"/>
      </c:valAx>
      <c:spPr>
        <a:noFill/>
        <a:ln>
          <a:noFill/>
        </a:ln>
        <a:effectLst/>
      </c:spPr>
    </c:plotArea>
    <c:legend>
      <c:legendPos val="b"/>
      <c:layout>
        <c:manualLayout>
          <c:xMode val="edge"/>
          <c:yMode val="edge"/>
          <c:x val="5.3301023055544919E-2"/>
          <c:y val="0.86788902277425051"/>
          <c:w val="0.33415612036692682"/>
          <c:h val="0.109546461598722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HH!TablaDinámica3</c:name>
    <c:fmtId val="3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s-CL">
                <a:latin typeface="Calibri" panose="020F0502020204030204" pitchFamily="34" charset="0"/>
                <a:ea typeface="Calibri" panose="020F0502020204030204" pitchFamily="34" charset="0"/>
                <a:cs typeface="Calibri" panose="020F0502020204030204" pitchFamily="34" charset="0"/>
              </a:rPr>
              <a:t>CaRGA DE LA SEMANA 6 A LA 10, PARA CADA </a:t>
            </a:r>
            <a:r>
              <a:rPr lang="es-CL" sz="1600" b="1">
                <a:latin typeface="Calibri" panose="020F0502020204030204" pitchFamily="34" charset="0"/>
                <a:ea typeface="Calibri" panose="020F0502020204030204" pitchFamily="34" charset="0"/>
                <a:cs typeface="Calibri" panose="020F0502020204030204" pitchFamily="34" charset="0"/>
              </a:rPr>
              <a:t>Empleado</a:t>
            </a:r>
            <a:endParaRPr lang="es-C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7290488101920027"/>
          <c:y val="2.7810790793895087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2">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3">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4">
              <a:lumMod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marker>
          <c:symbol val="none"/>
        </c:marker>
      </c:pivotFmt>
      <c:pivotFmt>
        <c:idx val="127"/>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marker>
          <c:symbol val="none"/>
        </c:marker>
        <c:dLbl>
          <c:idx val="0"/>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6649312869216E-3"/>
          <c:y val="0.12829707999197021"/>
          <c:w val="0.98589167397695199"/>
          <c:h val="0.63920161717052226"/>
        </c:manualLayout>
      </c:layout>
      <c:barChart>
        <c:barDir val="col"/>
        <c:grouping val="clustered"/>
        <c:varyColors val="0"/>
        <c:ser>
          <c:idx val="0"/>
          <c:order val="0"/>
          <c:tx>
            <c:strRef>
              <c:f>'Gráficos HH'!$B$171:$B$172</c:f>
              <c:strCache>
                <c:ptCount val="1"/>
                <c:pt idx="0">
                  <c:v>Camila González</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HH'!$B$173:$B$183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D083-4401-B9A9-7C6E7B1FFECA}"/>
            </c:ext>
          </c:extLst>
        </c:ser>
        <c:ser>
          <c:idx val="1"/>
          <c:order val="1"/>
          <c:tx>
            <c:strRef>
              <c:f>'Gráficos HH'!$C$171:$C$172</c:f>
              <c:strCache>
                <c:ptCount val="1"/>
                <c:pt idx="0">
                  <c:v>Daniela Rojas</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HH'!$C$173:$C$183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72F4-4571-85BC-CC0F97B868D5}"/>
            </c:ext>
          </c:extLst>
        </c:ser>
        <c:ser>
          <c:idx val="2"/>
          <c:order val="2"/>
          <c:tx>
            <c:strRef>
              <c:f>'Gráficos HH'!$D$171:$D$172</c:f>
              <c:strCache>
                <c:ptCount val="1"/>
                <c:pt idx="0">
                  <c:v>Felipe Ramírez</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HH'!$D$173:$D$183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72F4-4571-85BC-CC0F97B868D5}"/>
            </c:ext>
          </c:extLst>
        </c:ser>
        <c:ser>
          <c:idx val="3"/>
          <c:order val="3"/>
          <c:tx>
            <c:strRef>
              <c:f>'Gráficos HH'!$E$171:$E$172</c:f>
              <c:strCache>
                <c:ptCount val="1"/>
                <c:pt idx="0">
                  <c:v>Fernanda Morales</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HH'!$E$173:$E$183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72F4-4571-85BC-CC0F97B868D5}"/>
            </c:ext>
          </c:extLst>
        </c:ser>
        <c:ser>
          <c:idx val="4"/>
          <c:order val="4"/>
          <c:tx>
            <c:strRef>
              <c:f>'Gráficos HH'!$F$171:$F$172</c:f>
              <c:strCache>
                <c:ptCount val="1"/>
                <c:pt idx="0">
                  <c:v>Javiera Soto</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HH'!$F$173:$F$183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72F4-4571-85BC-CC0F97B868D5}"/>
            </c:ext>
          </c:extLst>
        </c:ser>
        <c:ser>
          <c:idx val="5"/>
          <c:order val="5"/>
          <c:tx>
            <c:strRef>
              <c:f>'Gráficos HH'!$G$171:$G$172</c:f>
              <c:strCache>
                <c:ptCount val="1"/>
                <c:pt idx="0">
                  <c:v>Matías Herrera</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HH'!$G$173:$G$183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72F4-4571-85BC-CC0F97B868D5}"/>
            </c:ext>
          </c:extLst>
        </c:ser>
        <c:ser>
          <c:idx val="6"/>
          <c:order val="6"/>
          <c:tx>
            <c:strRef>
              <c:f>'Gráficos HH'!$H$171:$H$172</c:f>
              <c:strCache>
                <c:ptCount val="1"/>
                <c:pt idx="0">
                  <c:v>Vicente Castro</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HH'!$H$173:$H$183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72F4-4571-85BC-CC0F97B868D5}"/>
            </c:ext>
          </c:extLst>
        </c:ser>
        <c:ser>
          <c:idx val="7"/>
          <c:order val="7"/>
          <c:tx>
            <c:strRef>
              <c:f>'Gráficos HH'!$I$171:$I$172</c:f>
              <c:strCache>
                <c:ptCount val="1"/>
                <c:pt idx="0">
                  <c:v>Mateo Parra</c:v>
                </c:pt>
              </c:strCache>
            </c:strRef>
          </c:tx>
          <c:invertIfNegative val="0"/>
          <c:dLbls>
            <c:spPr>
              <a:noFill/>
              <a:ln>
                <a:noFill/>
              </a:ln>
              <a:effectLst/>
            </c:spPr>
            <c:txPr>
              <a:bodyPr wrap="square" lIns="38100" tIns="19050" rIns="38100" bIns="19050" anchor="ctr">
                <a:spAutoFit/>
              </a:bodyPr>
              <a:lstStyle/>
              <a:p>
                <a:pPr>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'Gráficos HH'!$A$173:$A$183</c:f>
              <c:multiLvlStrCache>
                <c:ptCount val="5"/>
                <c:lvl>
                  <c:pt idx="0">
                    <c:v>04/08/2025 a 10/08/2025</c:v>
                  </c:pt>
                  <c:pt idx="1">
                    <c:v>11/08/2025 a 17/08/2025</c:v>
                  </c:pt>
                  <c:pt idx="2">
                    <c:v>18/08/2025 a 24/08/2025</c:v>
                  </c:pt>
                  <c:pt idx="3">
                    <c:v>25/08/2025 a 31/08/2025</c:v>
                  </c:pt>
                  <c:pt idx="4">
                    <c:v>30/06/2025 a 06/07/2025</c:v>
                  </c:pt>
                </c:lvl>
                <c:lvl>
                  <c:pt idx="0">
                    <c:v>S-6</c:v>
                  </c:pt>
                  <c:pt idx="1">
                    <c:v>S-7</c:v>
                  </c:pt>
                  <c:pt idx="2">
                    <c:v>S-8</c:v>
                  </c:pt>
                  <c:pt idx="3">
                    <c:v>S-9</c:v>
                  </c:pt>
                  <c:pt idx="4">
                    <c:v>S-10</c:v>
                  </c:pt>
                </c:lvl>
              </c:multiLvlStrCache>
            </c:multiLvlStrRef>
          </c:cat>
          <c:val>
            <c:numRef>
              <c:f>'Gráficos HH'!$I$173:$I$183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9F2D-491C-A36A-E000067D6FB2}"/>
            </c:ext>
          </c:extLst>
        </c:ser>
        <c:dLbls>
          <c:dLblPos val="outEnd"/>
          <c:showLegendKey val="0"/>
          <c:showVal val="1"/>
          <c:showCatName val="0"/>
          <c:showSerName val="0"/>
          <c:showPercent val="0"/>
          <c:showBubbleSize val="0"/>
        </c:dLbls>
        <c:gapWidth val="444"/>
        <c:overlap val="-90"/>
        <c:axId val="1347970368"/>
        <c:axId val="1347971328"/>
      </c:barChart>
      <c:catAx>
        <c:axId val="1347970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s-CL"/>
          </a:p>
        </c:txPr>
        <c:crossAx val="1347971328"/>
        <c:crosses val="autoZero"/>
        <c:auto val="1"/>
        <c:lblAlgn val="ctr"/>
        <c:lblOffset val="100"/>
        <c:noMultiLvlLbl val="0"/>
      </c:catAx>
      <c:valAx>
        <c:axId val="1347971328"/>
        <c:scaling>
          <c:orientation val="minMax"/>
        </c:scaling>
        <c:delete val="1"/>
        <c:axPos val="l"/>
        <c:numFmt formatCode="0" sourceLinked="1"/>
        <c:majorTickMark val="none"/>
        <c:minorTickMark val="none"/>
        <c:tickLblPos val="nextTo"/>
        <c:crossAx val="1347970368"/>
        <c:crosses val="autoZero"/>
        <c:crossBetween val="between"/>
      </c:valAx>
    </c:plotArea>
    <c:legend>
      <c:legendPos val="b"/>
      <c:layout>
        <c:manualLayout>
          <c:xMode val="edge"/>
          <c:yMode val="edge"/>
          <c:x val="5.3301023055544919E-2"/>
          <c:y val="0.86788902277425051"/>
          <c:w val="0.333938157056757"/>
          <c:h val="0.1051185394268850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chart>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[PROTO GP.xlsx]Gráficos HH!TablaDinámica8</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800" b="0" i="0" u="none" strike="noStrike" kern="1200" spc="0" baseline="0">
                <a:solidFill>
                  <a:sysClr val="windowText" lastClr="000000">
                    <a:lumMod val="65000"/>
                    <a:lumOff val="35000"/>
                  </a:sysClr>
                </a:solidFill>
              </a:rPr>
              <a:t>TENDENCIA DE LA DISTRIBUCIÓN DE HH DE LA SEMANA 1 A LA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HH'!$B$198:$B$199</c:f>
              <c:strCache>
                <c:ptCount val="1"/>
                <c:pt idx="0">
                  <c:v>Camila González</c:v>
                </c:pt>
              </c:strCache>
            </c:strRef>
          </c:tx>
          <c:spPr>
            <a:solidFill>
              <a:schemeClr val="accent1"/>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HH'!$B$200:$B$210</c:f>
              <c:numCache>
                <c:formatCode>0</c:formatCode>
                <c:ptCount val="5"/>
                <c:pt idx="0">
                  <c:v>0</c:v>
                </c:pt>
                <c:pt idx="1">
                  <c:v>9.8333333333333339</c:v>
                </c:pt>
                <c:pt idx="2">
                  <c:v>14.166666666666668</c:v>
                </c:pt>
                <c:pt idx="3">
                  <c:v>10.25</c:v>
                </c:pt>
                <c:pt idx="4">
                  <c:v>11.25</c:v>
                </c:pt>
              </c:numCache>
            </c:numRef>
          </c:val>
          <c:extLst>
            <c:ext xmlns:c16="http://schemas.microsoft.com/office/drawing/2014/chart" uri="{C3380CC4-5D6E-409C-BE32-E72D297353CC}">
              <c16:uniqueId val="{00000000-FBA5-425F-A370-0C32D006B5D6}"/>
            </c:ext>
          </c:extLst>
        </c:ser>
        <c:ser>
          <c:idx val="1"/>
          <c:order val="1"/>
          <c:tx>
            <c:strRef>
              <c:f>'Gráficos HH'!$C$198:$C$199</c:f>
              <c:strCache>
                <c:ptCount val="1"/>
                <c:pt idx="0">
                  <c:v>Daniela Rojas</c:v>
                </c:pt>
              </c:strCache>
            </c:strRef>
          </c:tx>
          <c:spPr>
            <a:solidFill>
              <a:schemeClr val="accent2"/>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HH'!$C$200:$C$210</c:f>
              <c:numCache>
                <c:formatCode>0</c:formatCode>
                <c:ptCount val="5"/>
                <c:pt idx="0">
                  <c:v>0</c:v>
                </c:pt>
                <c:pt idx="1">
                  <c:v>21.361904761904761</c:v>
                </c:pt>
                <c:pt idx="2">
                  <c:v>24.138095238095239</c:v>
                </c:pt>
                <c:pt idx="3">
                  <c:v>18.361904761904764</c:v>
                </c:pt>
                <c:pt idx="4">
                  <c:v>17.166666666666668</c:v>
                </c:pt>
              </c:numCache>
            </c:numRef>
          </c:val>
          <c:extLst>
            <c:ext xmlns:c16="http://schemas.microsoft.com/office/drawing/2014/chart" uri="{C3380CC4-5D6E-409C-BE32-E72D297353CC}">
              <c16:uniqueId val="{00000000-43EA-47F7-A0AF-0CFC395258F7}"/>
            </c:ext>
          </c:extLst>
        </c:ser>
        <c:ser>
          <c:idx val="2"/>
          <c:order val="2"/>
          <c:tx>
            <c:strRef>
              <c:f>'Gráficos HH'!$D$198:$D$199</c:f>
              <c:strCache>
                <c:ptCount val="1"/>
                <c:pt idx="0">
                  <c:v>Felipe Ramírez</c:v>
                </c:pt>
              </c:strCache>
            </c:strRef>
          </c:tx>
          <c:spPr>
            <a:solidFill>
              <a:schemeClr val="accent3"/>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HH'!$D$200:$D$210</c:f>
              <c:numCache>
                <c:formatCode>0</c:formatCode>
                <c:ptCount val="5"/>
                <c:pt idx="0">
                  <c:v>5.5511151231257827E-16</c:v>
                </c:pt>
                <c:pt idx="1">
                  <c:v>16.80952380952381</c:v>
                </c:pt>
                <c:pt idx="2">
                  <c:v>19.69047619047619</c:v>
                </c:pt>
                <c:pt idx="3">
                  <c:v>13.809523809523812</c:v>
                </c:pt>
                <c:pt idx="4">
                  <c:v>10</c:v>
                </c:pt>
              </c:numCache>
            </c:numRef>
          </c:val>
          <c:extLst>
            <c:ext xmlns:c16="http://schemas.microsoft.com/office/drawing/2014/chart" uri="{C3380CC4-5D6E-409C-BE32-E72D297353CC}">
              <c16:uniqueId val="{00000001-43EA-47F7-A0AF-0CFC395258F7}"/>
            </c:ext>
          </c:extLst>
        </c:ser>
        <c:ser>
          <c:idx val="3"/>
          <c:order val="3"/>
          <c:tx>
            <c:strRef>
              <c:f>'Gráficos HH'!$E$198:$E$199</c:f>
              <c:strCache>
                <c:ptCount val="1"/>
                <c:pt idx="0">
                  <c:v>Fernanda Morales</c:v>
                </c:pt>
              </c:strCache>
            </c:strRef>
          </c:tx>
          <c:spPr>
            <a:solidFill>
              <a:schemeClr val="accent4"/>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HH'!$E$200:$E$210</c:f>
              <c:numCache>
                <c:formatCode>0</c:formatCode>
                <c:ptCount val="5"/>
                <c:pt idx="0">
                  <c:v>2.2204460492503131E-16</c:v>
                </c:pt>
                <c:pt idx="1">
                  <c:v>18.55</c:v>
                </c:pt>
                <c:pt idx="2">
                  <c:v>22.95</c:v>
                </c:pt>
                <c:pt idx="3">
                  <c:v>12.216666666666669</c:v>
                </c:pt>
                <c:pt idx="4">
                  <c:v>5.5833333333333339</c:v>
                </c:pt>
              </c:numCache>
            </c:numRef>
          </c:val>
          <c:extLst>
            <c:ext xmlns:c16="http://schemas.microsoft.com/office/drawing/2014/chart" uri="{C3380CC4-5D6E-409C-BE32-E72D297353CC}">
              <c16:uniqueId val="{00000002-43EA-47F7-A0AF-0CFC395258F7}"/>
            </c:ext>
          </c:extLst>
        </c:ser>
        <c:ser>
          <c:idx val="4"/>
          <c:order val="4"/>
          <c:tx>
            <c:strRef>
              <c:f>'Gráficos HH'!$F$198:$F$199</c:f>
              <c:strCache>
                <c:ptCount val="1"/>
                <c:pt idx="0">
                  <c:v>Javiera Soto</c:v>
                </c:pt>
              </c:strCache>
            </c:strRef>
          </c:tx>
          <c:spPr>
            <a:solidFill>
              <a:schemeClr val="accent5"/>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HH'!$F$200:$F$210</c:f>
              <c:numCache>
                <c:formatCode>0</c:formatCode>
                <c:ptCount val="5"/>
                <c:pt idx="0">
                  <c:v>1.1102230246251565E-16</c:v>
                </c:pt>
                <c:pt idx="1">
                  <c:v>10.976190476190476</c:v>
                </c:pt>
                <c:pt idx="2">
                  <c:v>14.523809523809526</c:v>
                </c:pt>
                <c:pt idx="3">
                  <c:v>9.8095238095238084</c:v>
                </c:pt>
                <c:pt idx="4">
                  <c:v>10.333333333333332</c:v>
                </c:pt>
              </c:numCache>
            </c:numRef>
          </c:val>
          <c:extLst>
            <c:ext xmlns:c16="http://schemas.microsoft.com/office/drawing/2014/chart" uri="{C3380CC4-5D6E-409C-BE32-E72D297353CC}">
              <c16:uniqueId val="{00000003-43EA-47F7-A0AF-0CFC395258F7}"/>
            </c:ext>
          </c:extLst>
        </c:ser>
        <c:ser>
          <c:idx val="5"/>
          <c:order val="5"/>
          <c:tx>
            <c:strRef>
              <c:f>'Gráficos HH'!$G$198:$G$199</c:f>
              <c:strCache>
                <c:ptCount val="1"/>
                <c:pt idx="0">
                  <c:v>Matías Herrera</c:v>
                </c:pt>
              </c:strCache>
            </c:strRef>
          </c:tx>
          <c:spPr>
            <a:solidFill>
              <a:schemeClr val="accent6"/>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HH'!$G$200:$G$210</c:f>
              <c:numCache>
                <c:formatCode>0</c:formatCode>
                <c:ptCount val="5"/>
                <c:pt idx="0">
                  <c:v>0</c:v>
                </c:pt>
                <c:pt idx="1">
                  <c:v>6.75</c:v>
                </c:pt>
                <c:pt idx="2">
                  <c:v>11.25</c:v>
                </c:pt>
                <c:pt idx="3">
                  <c:v>6.75</c:v>
                </c:pt>
                <c:pt idx="4">
                  <c:v>9.75</c:v>
                </c:pt>
              </c:numCache>
            </c:numRef>
          </c:val>
          <c:extLst>
            <c:ext xmlns:c16="http://schemas.microsoft.com/office/drawing/2014/chart" uri="{C3380CC4-5D6E-409C-BE32-E72D297353CC}">
              <c16:uniqueId val="{00000004-43EA-47F7-A0AF-0CFC395258F7}"/>
            </c:ext>
          </c:extLst>
        </c:ser>
        <c:ser>
          <c:idx val="6"/>
          <c:order val="6"/>
          <c:tx>
            <c:strRef>
              <c:f>'Gráficos HH'!$H$198:$H$199</c:f>
              <c:strCache>
                <c:ptCount val="1"/>
                <c:pt idx="0">
                  <c:v>Vicente Castro</c:v>
                </c:pt>
              </c:strCache>
            </c:strRef>
          </c:tx>
          <c:spPr>
            <a:solidFill>
              <a:schemeClr val="accent1">
                <a:lumMod val="60000"/>
              </a:schemeClr>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HH'!$H$200:$H$210</c:f>
              <c:numCache>
                <c:formatCode>0</c:formatCode>
                <c:ptCount val="5"/>
                <c:pt idx="0">
                  <c:v>2.2204460492503131E-16</c:v>
                </c:pt>
                <c:pt idx="1">
                  <c:v>15.37202380952381</c:v>
                </c:pt>
                <c:pt idx="2">
                  <c:v>21.770833333333336</c:v>
                </c:pt>
                <c:pt idx="3">
                  <c:v>5.5625</c:v>
                </c:pt>
                <c:pt idx="4">
                  <c:v>4.9791666666666661</c:v>
                </c:pt>
              </c:numCache>
            </c:numRef>
          </c:val>
          <c:extLst>
            <c:ext xmlns:c16="http://schemas.microsoft.com/office/drawing/2014/chart" uri="{C3380CC4-5D6E-409C-BE32-E72D297353CC}">
              <c16:uniqueId val="{00000005-43EA-47F7-A0AF-0CFC395258F7}"/>
            </c:ext>
          </c:extLst>
        </c:ser>
        <c:ser>
          <c:idx val="7"/>
          <c:order val="7"/>
          <c:tx>
            <c:strRef>
              <c:f>'Gráficos HH'!$I$198:$I$199</c:f>
              <c:strCache>
                <c:ptCount val="1"/>
                <c:pt idx="0">
                  <c:v>Mateo Parra</c:v>
                </c:pt>
              </c:strCache>
            </c:strRef>
          </c:tx>
          <c:spPr>
            <a:solidFill>
              <a:schemeClr val="accent2">
                <a:lumMod val="60000"/>
              </a:schemeClr>
            </a:solidFill>
            <a:ln>
              <a:noFill/>
            </a:ln>
            <a:effectLst/>
          </c:spPr>
          <c:invertIfNegative val="0"/>
          <c:cat>
            <c:multiLvlStrRef>
              <c:f>'Gráficos HH'!$A$200:$A$210</c:f>
              <c:multiLvlStrCache>
                <c:ptCount val="5"/>
                <c:lvl>
                  <c:pt idx="0">
                    <c:v>30/06/2025 a 06/07/2025</c:v>
                  </c:pt>
                  <c:pt idx="1">
                    <c:v>07/07/2025 a 13/07/2025</c:v>
                  </c:pt>
                  <c:pt idx="2">
                    <c:v>14/07/2025 a 20/07/2025</c:v>
                  </c:pt>
                  <c:pt idx="3">
                    <c:v>21/07/2025 a 27/07/2025</c:v>
                  </c:pt>
                  <c:pt idx="4">
                    <c:v>28/07/2025 a 03/08/2025</c:v>
                  </c:pt>
                </c:lvl>
                <c:lvl>
                  <c:pt idx="0">
                    <c:v>S-1</c:v>
                  </c:pt>
                  <c:pt idx="1">
                    <c:v>S-2</c:v>
                  </c:pt>
                  <c:pt idx="2">
                    <c:v>S-3</c:v>
                  </c:pt>
                  <c:pt idx="3">
                    <c:v>S-4</c:v>
                  </c:pt>
                  <c:pt idx="4">
                    <c:v>S-5</c:v>
                  </c:pt>
                </c:lvl>
              </c:multiLvlStrCache>
            </c:multiLvlStrRef>
          </c:cat>
          <c:val>
            <c:numRef>
              <c:f>'Gráficos HH'!$I$200:$I$210</c:f>
              <c:numCache>
                <c:formatCode>0</c:formatCode>
                <c:ptCount val="5"/>
                <c:pt idx="0">
                  <c:v>-3.5</c:v>
                </c:pt>
                <c:pt idx="1">
                  <c:v>17.5</c:v>
                </c:pt>
                <c:pt idx="2">
                  <c:v>17.5</c:v>
                </c:pt>
                <c:pt idx="3">
                  <c:v>17.5</c:v>
                </c:pt>
                <c:pt idx="4">
                  <c:v>21</c:v>
                </c:pt>
              </c:numCache>
            </c:numRef>
          </c:val>
          <c:extLst>
            <c:ext xmlns:c16="http://schemas.microsoft.com/office/drawing/2014/chart" uri="{C3380CC4-5D6E-409C-BE32-E72D297353CC}">
              <c16:uniqueId val="{00000000-5C94-4055-B815-F9F46B8FA994}"/>
            </c:ext>
          </c:extLst>
        </c:ser>
        <c:dLbls>
          <c:showLegendKey val="0"/>
          <c:showVal val="0"/>
          <c:showCatName val="0"/>
          <c:showSerName val="0"/>
          <c:showPercent val="0"/>
          <c:showBubbleSize val="0"/>
        </c:dLbls>
        <c:gapWidth val="219"/>
        <c:axId val="250910848"/>
        <c:axId val="250907488"/>
      </c:barChart>
      <c:catAx>
        <c:axId val="2509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907488"/>
        <c:crosses val="autoZero"/>
        <c:auto val="1"/>
        <c:lblAlgn val="ctr"/>
        <c:lblOffset val="100"/>
        <c:noMultiLvlLbl val="0"/>
      </c:catAx>
      <c:valAx>
        <c:axId val="250907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0910848"/>
        <c:crosses val="autoZero"/>
        <c:crossBetween val="between"/>
      </c:valAx>
      <c:spPr>
        <a:noFill/>
        <a:ln>
          <a:noFill/>
        </a:ln>
        <a:effectLst/>
      </c:spPr>
    </c:plotArea>
    <c:legend>
      <c:legendPos val="r"/>
      <c:layout>
        <c:manualLayout>
          <c:xMode val="edge"/>
          <c:yMode val="edge"/>
          <c:x val="0.92498349185200512"/>
          <c:y val="0.2144908301878943"/>
          <c:w val="5.3575233800286039E-2"/>
          <c:h val="0.395056938499190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148356</xdr:colOff>
      <xdr:row>8</xdr:row>
      <xdr:rowOff>19050</xdr:rowOff>
    </xdr:from>
    <xdr:to>
      <xdr:col>25</xdr:col>
      <xdr:colOff>113865</xdr:colOff>
      <xdr:row>35</xdr:row>
      <xdr:rowOff>9877</xdr:rowOff>
    </xdr:to>
    <xdr:graphicFrame macro="">
      <xdr:nvGraphicFramePr>
        <xdr:cNvPr id="2" name="Gráfico 1">
          <a:extLst>
            <a:ext uri="{FF2B5EF4-FFF2-40B4-BE49-F238E27FC236}">
              <a16:creationId xmlns:a16="http://schemas.microsoft.com/office/drawing/2014/main" id="{0707CE7F-1AB7-45ED-9692-FBDEBAA0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469193</xdr:colOff>
      <xdr:row>8</xdr:row>
      <xdr:rowOff>54704</xdr:rowOff>
    </xdr:from>
    <xdr:to>
      <xdr:col>37</xdr:col>
      <xdr:colOff>508000</xdr:colOff>
      <xdr:row>35</xdr:row>
      <xdr:rowOff>23168</xdr:rowOff>
    </xdr:to>
    <xdr:graphicFrame macro="">
      <xdr:nvGraphicFramePr>
        <xdr:cNvPr id="3" name="Gráfico 2">
          <a:extLst>
            <a:ext uri="{FF2B5EF4-FFF2-40B4-BE49-F238E27FC236}">
              <a16:creationId xmlns:a16="http://schemas.microsoft.com/office/drawing/2014/main" id="{813657FE-BEA5-45EE-9CE1-010DECBB6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95250</xdr:colOff>
      <xdr:row>41</xdr:row>
      <xdr:rowOff>31750</xdr:rowOff>
    </xdr:from>
    <xdr:to>
      <xdr:col>37</xdr:col>
      <xdr:colOff>634999</xdr:colOff>
      <xdr:row>61</xdr:row>
      <xdr:rowOff>0</xdr:rowOff>
    </xdr:to>
    <xdr:graphicFrame macro="">
      <xdr:nvGraphicFramePr>
        <xdr:cNvPr id="4" name="Gráfico 3">
          <a:extLst>
            <a:ext uri="{FF2B5EF4-FFF2-40B4-BE49-F238E27FC236}">
              <a16:creationId xmlns:a16="http://schemas.microsoft.com/office/drawing/2014/main" id="{49FF5807-88F6-459B-9D19-FE1BD1EB0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172917</xdr:colOff>
      <xdr:row>64</xdr:row>
      <xdr:rowOff>38100</xdr:rowOff>
    </xdr:from>
    <xdr:to>
      <xdr:col>37</xdr:col>
      <xdr:colOff>586155</xdr:colOff>
      <xdr:row>84</xdr:row>
      <xdr:rowOff>0</xdr:rowOff>
    </xdr:to>
    <xdr:graphicFrame macro="">
      <xdr:nvGraphicFramePr>
        <xdr:cNvPr id="5" name="Gráfico 4">
          <a:extLst>
            <a:ext uri="{FF2B5EF4-FFF2-40B4-BE49-F238E27FC236}">
              <a16:creationId xmlns:a16="http://schemas.microsoft.com/office/drawing/2014/main" id="{639B2F7A-A810-4E50-A62C-F7ECBB953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57151</xdr:colOff>
      <xdr:row>88</xdr:row>
      <xdr:rowOff>76201</xdr:rowOff>
    </xdr:from>
    <xdr:to>
      <xdr:col>37</xdr:col>
      <xdr:colOff>547077</xdr:colOff>
      <xdr:row>107</xdr:row>
      <xdr:rowOff>1</xdr:rowOff>
    </xdr:to>
    <xdr:graphicFrame macro="">
      <xdr:nvGraphicFramePr>
        <xdr:cNvPr id="6" name="Gráfico 5">
          <a:extLst>
            <a:ext uri="{FF2B5EF4-FFF2-40B4-BE49-F238E27FC236}">
              <a16:creationId xmlns:a16="http://schemas.microsoft.com/office/drawing/2014/main" id="{C6381515-FA9A-4807-AEA3-F36B72F70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44775</xdr:colOff>
      <xdr:row>112</xdr:row>
      <xdr:rowOff>42334</xdr:rowOff>
    </xdr:from>
    <xdr:to>
      <xdr:col>37</xdr:col>
      <xdr:colOff>550333</xdr:colOff>
      <xdr:row>133</xdr:row>
      <xdr:rowOff>42334</xdr:rowOff>
    </xdr:to>
    <xdr:graphicFrame macro="">
      <xdr:nvGraphicFramePr>
        <xdr:cNvPr id="7" name="Gráfico 6">
          <a:extLst>
            <a:ext uri="{FF2B5EF4-FFF2-40B4-BE49-F238E27FC236}">
              <a16:creationId xmlns:a16="http://schemas.microsoft.com/office/drawing/2014/main" id="{FFC7AAE7-A83C-466E-B085-EB1ADE5C9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118859</xdr:colOff>
      <xdr:row>138</xdr:row>
      <xdr:rowOff>63500</xdr:rowOff>
    </xdr:from>
    <xdr:to>
      <xdr:col>37</xdr:col>
      <xdr:colOff>586154</xdr:colOff>
      <xdr:row>162</xdr:row>
      <xdr:rowOff>31751</xdr:rowOff>
    </xdr:to>
    <xdr:graphicFrame macro="">
      <xdr:nvGraphicFramePr>
        <xdr:cNvPr id="8" name="Gráfico 7">
          <a:extLst>
            <a:ext uri="{FF2B5EF4-FFF2-40B4-BE49-F238E27FC236}">
              <a16:creationId xmlns:a16="http://schemas.microsoft.com/office/drawing/2014/main" id="{31F920ED-19C9-46FB-992E-D75C3AC6D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108275</xdr:colOff>
      <xdr:row>165</xdr:row>
      <xdr:rowOff>74083</xdr:rowOff>
    </xdr:from>
    <xdr:to>
      <xdr:col>37</xdr:col>
      <xdr:colOff>566056</xdr:colOff>
      <xdr:row>192</xdr:row>
      <xdr:rowOff>0</xdr:rowOff>
    </xdr:to>
    <xdr:graphicFrame macro="">
      <xdr:nvGraphicFramePr>
        <xdr:cNvPr id="9" name="Gráfico 8">
          <a:extLst>
            <a:ext uri="{FF2B5EF4-FFF2-40B4-BE49-F238E27FC236}">
              <a16:creationId xmlns:a16="http://schemas.microsoft.com/office/drawing/2014/main" id="{E35B8435-8855-442D-A596-1465F1005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517746</xdr:colOff>
      <xdr:row>23</xdr:row>
      <xdr:rowOff>129137</xdr:rowOff>
    </xdr:to>
    <xdr:graphicFrame macro="">
      <xdr:nvGraphicFramePr>
        <xdr:cNvPr id="2" name="Gráfico 1">
          <a:extLst>
            <a:ext uri="{FF2B5EF4-FFF2-40B4-BE49-F238E27FC236}">
              <a16:creationId xmlns:a16="http://schemas.microsoft.com/office/drawing/2014/main" id="{108B51A2-EA1D-4747-BF17-5051FA140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28</xdr:row>
      <xdr:rowOff>0</xdr:rowOff>
    </xdr:from>
    <xdr:to>
      <xdr:col>11</xdr:col>
      <xdr:colOff>1768</xdr:colOff>
      <xdr:row>54</xdr:row>
      <xdr:rowOff>156612</xdr:rowOff>
    </xdr:to>
    <xdr:graphicFrame macro="">
      <xdr:nvGraphicFramePr>
        <xdr:cNvPr id="3" name="Gráfico 2">
          <a:extLst>
            <a:ext uri="{FF2B5EF4-FFF2-40B4-BE49-F238E27FC236}">
              <a16:creationId xmlns:a16="http://schemas.microsoft.com/office/drawing/2014/main" id="{EB48E78C-2F13-4741-BD9F-B2F5F4430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59</xdr:row>
      <xdr:rowOff>0</xdr:rowOff>
    </xdr:from>
    <xdr:to>
      <xdr:col>38</xdr:col>
      <xdr:colOff>20171</xdr:colOff>
      <xdr:row>79</xdr:row>
      <xdr:rowOff>152469</xdr:rowOff>
    </xdr:to>
    <xdr:graphicFrame macro="">
      <xdr:nvGraphicFramePr>
        <xdr:cNvPr id="4" name="Gráfico 3">
          <a:extLst>
            <a:ext uri="{FF2B5EF4-FFF2-40B4-BE49-F238E27FC236}">
              <a16:creationId xmlns:a16="http://schemas.microsoft.com/office/drawing/2014/main" id="{29873874-5237-4CE7-9E56-25F9AA81F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86</xdr:row>
      <xdr:rowOff>0</xdr:rowOff>
    </xdr:from>
    <xdr:to>
      <xdr:col>38</xdr:col>
      <xdr:colOff>20171</xdr:colOff>
      <xdr:row>107</xdr:row>
      <xdr:rowOff>174132</xdr:rowOff>
    </xdr:to>
    <xdr:graphicFrame macro="">
      <xdr:nvGraphicFramePr>
        <xdr:cNvPr id="5" name="Gráfico 4">
          <a:extLst>
            <a:ext uri="{FF2B5EF4-FFF2-40B4-BE49-F238E27FC236}">
              <a16:creationId xmlns:a16="http://schemas.microsoft.com/office/drawing/2014/main" id="{1F6F8B28-D0AC-41BF-A09E-E25B2055D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115</xdr:row>
      <xdr:rowOff>0</xdr:rowOff>
    </xdr:from>
    <xdr:to>
      <xdr:col>38</xdr:col>
      <xdr:colOff>143997</xdr:colOff>
      <xdr:row>134</xdr:row>
      <xdr:rowOff>138292</xdr:rowOff>
    </xdr:to>
    <xdr:graphicFrame macro="">
      <xdr:nvGraphicFramePr>
        <xdr:cNvPr id="6" name="Gráfico 5">
          <a:extLst>
            <a:ext uri="{FF2B5EF4-FFF2-40B4-BE49-F238E27FC236}">
              <a16:creationId xmlns:a16="http://schemas.microsoft.com/office/drawing/2014/main" id="{147FCD1C-B5B1-41D0-B1BB-4E9AD407D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97692</xdr:colOff>
      <xdr:row>141</xdr:row>
      <xdr:rowOff>0</xdr:rowOff>
    </xdr:from>
    <xdr:to>
      <xdr:col>37</xdr:col>
      <xdr:colOff>478302</xdr:colOff>
      <xdr:row>163</xdr:row>
      <xdr:rowOff>33278</xdr:rowOff>
    </xdr:to>
    <xdr:graphicFrame macro="">
      <xdr:nvGraphicFramePr>
        <xdr:cNvPr id="7" name="Gráfico 6">
          <a:extLst>
            <a:ext uri="{FF2B5EF4-FFF2-40B4-BE49-F238E27FC236}">
              <a16:creationId xmlns:a16="http://schemas.microsoft.com/office/drawing/2014/main" id="{002FB159-F031-4585-9AA2-D798833F1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97692</xdr:colOff>
      <xdr:row>168</xdr:row>
      <xdr:rowOff>0</xdr:rowOff>
    </xdr:from>
    <xdr:to>
      <xdr:col>37</xdr:col>
      <xdr:colOff>494466</xdr:colOff>
      <xdr:row>191</xdr:row>
      <xdr:rowOff>22615</xdr:rowOff>
    </xdr:to>
    <xdr:graphicFrame macro="">
      <xdr:nvGraphicFramePr>
        <xdr:cNvPr id="8" name="Gráfico 7">
          <a:extLst>
            <a:ext uri="{FF2B5EF4-FFF2-40B4-BE49-F238E27FC236}">
              <a16:creationId xmlns:a16="http://schemas.microsoft.com/office/drawing/2014/main" id="{1110431B-FB7A-4ACD-9CF8-D7310B4D9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97692</xdr:colOff>
      <xdr:row>197</xdr:row>
      <xdr:rowOff>0</xdr:rowOff>
    </xdr:from>
    <xdr:to>
      <xdr:col>33</xdr:col>
      <xdr:colOff>35736</xdr:colOff>
      <xdr:row>222</xdr:row>
      <xdr:rowOff>140144</xdr:rowOff>
    </xdr:to>
    <xdr:graphicFrame macro="">
      <xdr:nvGraphicFramePr>
        <xdr:cNvPr id="9" name="Gráfico 8">
          <a:extLst>
            <a:ext uri="{FF2B5EF4-FFF2-40B4-BE49-F238E27FC236}">
              <a16:creationId xmlns:a16="http://schemas.microsoft.com/office/drawing/2014/main" id="{E177935F-5F67-47FD-9E8D-D7A580D43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án Rosales C." refreshedDate="45844.84559675926" createdVersion="8" refreshedVersion="8" minRefreshableVersion="3" recordCount="1009" xr:uid="{1F748209-F544-4AB3-9FE9-7E9D733A4268}">
  <cacheSource type="worksheet">
    <worksheetSource ref="A1:M1048576" sheet="BD"/>
  </cacheSource>
  <cacheFields count="13">
    <cacheField name="Emplado " numFmtId="0">
      <sharedItems containsBlank="1" count="9">
        <s v="Camila González"/>
        <s v="Daniela Rojas"/>
        <s v="Felipe Ramírez"/>
        <s v="Fernanda Morales"/>
        <s v="Javiera Soto"/>
        <s v="Mateo Parra"/>
        <s v="Matías Herrera"/>
        <s v="Vicente Castro"/>
        <m/>
      </sharedItems>
    </cacheField>
    <cacheField name="Tarea/Actividad" numFmtId="0">
      <sharedItems containsBlank="1"/>
    </cacheField>
    <cacheField name="Fecha de inicio" numFmtId="0">
      <sharedItems containsString="0" containsBlank="1" containsNumber="1" containsInteger="1" minValue="45841" maxValue="45863"/>
    </cacheField>
    <cacheField name="Plazo (fecha)" numFmtId="0">
      <sharedItems containsString="0" containsBlank="1" containsNumber="1" containsInteger="1" minValue="45847" maxValue="45871"/>
    </cacheField>
    <cacheField name="Tiempo necesario estimado (Horas)" numFmtId="0">
      <sharedItems containsString="0" containsBlank="1" containsNumber="1" minValue="2.5" maxValue="70"/>
    </cacheField>
    <cacheField name="Tiempo restante" numFmtId="0">
      <sharedItems containsString="0" containsBlank="1" containsNumber="1" minValue="1.2000000000000002" maxValue="70"/>
    </cacheField>
    <cacheField name="Días restantes" numFmtId="0">
      <sharedItems containsString="0" containsBlank="1" containsNumber="1" containsInteger="1" minValue="4" maxValue="21"/>
    </cacheField>
    <cacheField name="Semanas restantes" numFmtId="0">
      <sharedItems containsString="0" containsBlank="1" containsNumber="1" minValue="0.8" maxValue="4.2"/>
    </cacheField>
    <cacheField name="HH por día" numFmtId="0">
      <sharedItems containsString="0" containsBlank="1" containsNumber="1" minValue="0.25" maxValue="3.5"/>
    </cacheField>
    <cacheField name="NUM SEM" numFmtId="0">
      <sharedItems containsBlank="1" count="13">
        <s v="S-1"/>
        <s v="S-2"/>
        <s v="S-3"/>
        <s v="S-4"/>
        <s v="S-5"/>
        <s v="S-6"/>
        <s v="S-7"/>
        <s v="S-8"/>
        <s v="S-9"/>
        <s v="S-10"/>
        <s v="S-11"/>
        <s v="S-12"/>
        <m/>
      </sharedItems>
    </cacheField>
    <cacheField name="HH" numFmtId="0">
      <sharedItems containsString="0" containsBlank="1" containsNumber="1" minValue="-3.5" maxValue="21"/>
    </cacheField>
    <cacheField name="SEMANA2" numFmtId="0">
      <sharedItems containsNonDate="0" containsDate="1" containsString="0" containsBlank="1" minDate="2025-06-30T00:00:00" maxDate="2025-08-26T00:00:00"/>
    </cacheField>
    <cacheField name="LUNES a DOMINGO" numFmtId="0">
      <sharedItems containsBlank="1" count="10">
        <s v="30/06/2025 a 06/07/2025"/>
        <s v="07/07/2025 a 13/07/2025"/>
        <s v="14/07/2025 a 20/07/2025"/>
        <s v="21/07/2025 a 27/07/2025"/>
        <s v="28/07/2025 a 03/08/2025"/>
        <s v="04/08/2025 a 10/08/2025"/>
        <s v="11/08/2025 a 17/08/2025"/>
        <s v="18/08/2025 a 24/08/2025"/>
        <s v="25/08/2025 a 31/08/202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9">
  <r>
    <x v="0"/>
    <s v="Reclutamiento y selección"/>
    <n v="45841"/>
    <n v="45848"/>
    <n v="6"/>
    <n v="3"/>
    <n v="5"/>
    <n v="1"/>
    <n v="1"/>
    <x v="0"/>
    <n v="0"/>
    <d v="2025-06-30T00:00:00"/>
    <x v="0"/>
  </r>
  <r>
    <x v="0"/>
    <s v="Reclutamiento y selección"/>
    <n v="45841"/>
    <n v="45848"/>
    <n v="6"/>
    <n v="3"/>
    <n v="5"/>
    <n v="1"/>
    <n v="1"/>
    <x v="1"/>
    <n v="4"/>
    <d v="2025-07-07T00:00:00"/>
    <x v="1"/>
  </r>
  <r>
    <x v="0"/>
    <s v="Reclutamiento y selección"/>
    <n v="45841"/>
    <n v="45848"/>
    <n v="6"/>
    <n v="3"/>
    <n v="5"/>
    <n v="1"/>
    <n v="1"/>
    <x v="2"/>
    <n v="0"/>
    <d v="2025-07-14T00:00:00"/>
    <x v="2"/>
  </r>
  <r>
    <x v="0"/>
    <s v="Reclutamiento y selección"/>
    <n v="45841"/>
    <n v="45848"/>
    <n v="6"/>
    <n v="3"/>
    <n v="5"/>
    <n v="1"/>
    <n v="1"/>
    <x v="3"/>
    <n v="0"/>
    <d v="2025-07-21T00:00:00"/>
    <x v="3"/>
  </r>
  <r>
    <x v="0"/>
    <s v="Reclutamiento y selección"/>
    <n v="45841"/>
    <n v="45848"/>
    <n v="6"/>
    <n v="3"/>
    <n v="5"/>
    <n v="1"/>
    <n v="1"/>
    <x v="4"/>
    <n v="0"/>
    <d v="2025-07-28T00:00:00"/>
    <x v="4"/>
  </r>
  <r>
    <x v="0"/>
    <s v="Reclutamiento y selección"/>
    <n v="45841"/>
    <n v="45848"/>
    <n v="6"/>
    <n v="3"/>
    <n v="5"/>
    <n v="1"/>
    <n v="1"/>
    <x v="5"/>
    <n v="0"/>
    <d v="2025-08-04T00:00:00"/>
    <x v="5"/>
  </r>
  <r>
    <x v="0"/>
    <s v="Reclutamiento y selección"/>
    <n v="45841"/>
    <n v="45848"/>
    <n v="6"/>
    <n v="3"/>
    <n v="5"/>
    <n v="1"/>
    <n v="1"/>
    <x v="6"/>
    <n v="0"/>
    <d v="2025-08-11T00:00:00"/>
    <x v="6"/>
  </r>
  <r>
    <x v="0"/>
    <s v="Reclutamiento y selección"/>
    <n v="45841"/>
    <n v="45848"/>
    <n v="6"/>
    <n v="3"/>
    <n v="5"/>
    <n v="1"/>
    <n v="1"/>
    <x v="7"/>
    <n v="0"/>
    <d v="2025-08-18T00:00:00"/>
    <x v="7"/>
  </r>
  <r>
    <x v="0"/>
    <s v="Reclutamiento y selección"/>
    <n v="45841"/>
    <n v="45848"/>
    <n v="6"/>
    <n v="3"/>
    <n v="5"/>
    <n v="1"/>
    <n v="1"/>
    <x v="8"/>
    <n v="0"/>
    <d v="2025-08-25T00:00:00"/>
    <x v="8"/>
  </r>
  <r>
    <x v="0"/>
    <s v="Reclutamiento y selección"/>
    <n v="45841"/>
    <n v="45848"/>
    <n v="6"/>
    <n v="3"/>
    <n v="5"/>
    <n v="1"/>
    <n v="1"/>
    <x v="9"/>
    <n v="0"/>
    <d v="2025-06-30T00:00:00"/>
    <x v="0"/>
  </r>
  <r>
    <x v="0"/>
    <s v="Reclutamiento y selección"/>
    <n v="45841"/>
    <n v="45848"/>
    <n v="6"/>
    <n v="3"/>
    <n v="5"/>
    <n v="1"/>
    <n v="1"/>
    <x v="10"/>
    <n v="0"/>
    <d v="2025-06-30T00:00:00"/>
    <x v="0"/>
  </r>
  <r>
    <x v="0"/>
    <s v="Reclutamiento y selección"/>
    <n v="45841"/>
    <n v="45848"/>
    <n v="6"/>
    <n v="3"/>
    <n v="5"/>
    <n v="1"/>
    <n v="1"/>
    <x v="11"/>
    <n v="0"/>
    <d v="2025-06-30T00:00:00"/>
    <x v="0"/>
  </r>
  <r>
    <x v="0"/>
    <s v="Capacitación y desarrollo"/>
    <n v="45855"/>
    <n v="45870"/>
    <n v="3"/>
    <n v="3"/>
    <n v="21"/>
    <n v="4.2"/>
    <n v="0.25"/>
    <x v="0"/>
    <n v="0"/>
    <d v="2025-06-30T00:00:00"/>
    <x v="0"/>
  </r>
  <r>
    <x v="0"/>
    <s v="Capacitación y desarrollo"/>
    <n v="45855"/>
    <n v="45870"/>
    <n v="3"/>
    <n v="3"/>
    <n v="21"/>
    <n v="4.2"/>
    <n v="0.25"/>
    <x v="1"/>
    <n v="0"/>
    <d v="2025-07-07T00:00:00"/>
    <x v="1"/>
  </r>
  <r>
    <x v="0"/>
    <s v="Capacitación y desarrollo"/>
    <n v="45855"/>
    <n v="45870"/>
    <n v="3"/>
    <n v="3"/>
    <n v="21"/>
    <n v="4.2"/>
    <n v="0.25"/>
    <x v="2"/>
    <n v="0.5"/>
    <d v="2025-07-14T00:00:00"/>
    <x v="2"/>
  </r>
  <r>
    <x v="0"/>
    <s v="Capacitación y desarrollo"/>
    <n v="45855"/>
    <n v="45870"/>
    <n v="3"/>
    <n v="3"/>
    <n v="21"/>
    <n v="4.2"/>
    <n v="0.25"/>
    <x v="3"/>
    <n v="1.25"/>
    <d v="2025-07-21T00:00:00"/>
    <x v="3"/>
  </r>
  <r>
    <x v="0"/>
    <s v="Capacitación y desarrollo"/>
    <n v="45855"/>
    <n v="45870"/>
    <n v="3"/>
    <n v="3"/>
    <n v="21"/>
    <n v="4.2"/>
    <n v="0.25"/>
    <x v="4"/>
    <n v="1.25"/>
    <d v="2025-07-28T00:00:00"/>
    <x v="4"/>
  </r>
  <r>
    <x v="0"/>
    <s v="Capacitación y desarrollo"/>
    <n v="45855"/>
    <n v="45870"/>
    <n v="3"/>
    <n v="3"/>
    <n v="21"/>
    <n v="4.2"/>
    <n v="0.25"/>
    <x v="5"/>
    <n v="0"/>
    <d v="2025-08-04T00:00:00"/>
    <x v="5"/>
  </r>
  <r>
    <x v="0"/>
    <s v="Capacitación y desarrollo"/>
    <n v="45855"/>
    <n v="45870"/>
    <n v="3"/>
    <n v="3"/>
    <n v="21"/>
    <n v="4.2"/>
    <n v="0.25"/>
    <x v="6"/>
    <n v="0"/>
    <d v="2025-08-11T00:00:00"/>
    <x v="6"/>
  </r>
  <r>
    <x v="0"/>
    <s v="Capacitación y desarrollo"/>
    <n v="45855"/>
    <n v="45870"/>
    <n v="3"/>
    <n v="3"/>
    <n v="21"/>
    <n v="4.2"/>
    <n v="0.25"/>
    <x v="7"/>
    <n v="0"/>
    <d v="2025-08-18T00:00:00"/>
    <x v="7"/>
  </r>
  <r>
    <x v="0"/>
    <s v="Capacitación y desarrollo"/>
    <n v="45855"/>
    <n v="45870"/>
    <n v="3"/>
    <n v="3"/>
    <n v="21"/>
    <n v="4.2"/>
    <n v="0.25"/>
    <x v="8"/>
    <n v="0"/>
    <d v="2025-08-25T00:00:00"/>
    <x v="8"/>
  </r>
  <r>
    <x v="0"/>
    <s v="Capacitación y desarrollo"/>
    <n v="45855"/>
    <n v="45870"/>
    <n v="3"/>
    <n v="3"/>
    <n v="21"/>
    <n v="4.2"/>
    <n v="0.25"/>
    <x v="9"/>
    <n v="0"/>
    <d v="2025-06-30T00:00:00"/>
    <x v="0"/>
  </r>
  <r>
    <x v="0"/>
    <s v="Capacitación y desarrollo"/>
    <n v="45855"/>
    <n v="45870"/>
    <n v="3"/>
    <n v="3"/>
    <n v="21"/>
    <n v="4.2"/>
    <n v="0.25"/>
    <x v="10"/>
    <n v="0"/>
    <d v="2025-06-30T00:00:00"/>
    <x v="0"/>
  </r>
  <r>
    <x v="0"/>
    <s v="Capacitación y desarrollo"/>
    <n v="45855"/>
    <n v="45870"/>
    <n v="3"/>
    <n v="3"/>
    <n v="21"/>
    <n v="4.2"/>
    <n v="0.25"/>
    <x v="11"/>
    <n v="0"/>
    <d v="2025-06-30T00:00:00"/>
    <x v="0"/>
  </r>
  <r>
    <x v="0"/>
    <s v="Reclutamiento y selección"/>
    <n v="45855"/>
    <n v="45862"/>
    <n v="6"/>
    <n v="6"/>
    <n v="15"/>
    <n v="3"/>
    <n v="1"/>
    <x v="0"/>
    <n v="0"/>
    <d v="2025-06-30T00:00:00"/>
    <x v="0"/>
  </r>
  <r>
    <x v="0"/>
    <s v="Reclutamiento y selección"/>
    <n v="45855"/>
    <n v="45862"/>
    <n v="6"/>
    <n v="6"/>
    <n v="15"/>
    <n v="3"/>
    <n v="1"/>
    <x v="1"/>
    <n v="0"/>
    <d v="2025-07-07T00:00:00"/>
    <x v="1"/>
  </r>
  <r>
    <x v="0"/>
    <s v="Reclutamiento y selección"/>
    <n v="45855"/>
    <n v="45862"/>
    <n v="6"/>
    <n v="6"/>
    <n v="15"/>
    <n v="3"/>
    <n v="1"/>
    <x v="2"/>
    <n v="2"/>
    <d v="2025-07-14T00:00:00"/>
    <x v="2"/>
  </r>
  <r>
    <x v="0"/>
    <s v="Reclutamiento y selección"/>
    <n v="45855"/>
    <n v="45862"/>
    <n v="6"/>
    <n v="6"/>
    <n v="15"/>
    <n v="3"/>
    <n v="1"/>
    <x v="3"/>
    <n v="4"/>
    <d v="2025-07-21T00:00:00"/>
    <x v="3"/>
  </r>
  <r>
    <x v="0"/>
    <s v="Reclutamiento y selección"/>
    <n v="45855"/>
    <n v="45862"/>
    <n v="6"/>
    <n v="6"/>
    <n v="15"/>
    <n v="3"/>
    <n v="1"/>
    <x v="4"/>
    <n v="0"/>
    <d v="2025-07-28T00:00:00"/>
    <x v="4"/>
  </r>
  <r>
    <x v="0"/>
    <s v="Reclutamiento y selección"/>
    <n v="45855"/>
    <n v="45862"/>
    <n v="6"/>
    <n v="6"/>
    <n v="15"/>
    <n v="3"/>
    <n v="1"/>
    <x v="5"/>
    <n v="0"/>
    <d v="2025-08-04T00:00:00"/>
    <x v="5"/>
  </r>
  <r>
    <x v="0"/>
    <s v="Reclutamiento y selección"/>
    <n v="45855"/>
    <n v="45862"/>
    <n v="6"/>
    <n v="6"/>
    <n v="15"/>
    <n v="3"/>
    <n v="1"/>
    <x v="6"/>
    <n v="0"/>
    <d v="2025-08-11T00:00:00"/>
    <x v="6"/>
  </r>
  <r>
    <x v="0"/>
    <s v="Reclutamiento y selección"/>
    <n v="45855"/>
    <n v="45862"/>
    <n v="6"/>
    <n v="6"/>
    <n v="15"/>
    <n v="3"/>
    <n v="1"/>
    <x v="7"/>
    <n v="0"/>
    <d v="2025-08-18T00:00:00"/>
    <x v="7"/>
  </r>
  <r>
    <x v="0"/>
    <s v="Reclutamiento y selección"/>
    <n v="45855"/>
    <n v="45862"/>
    <n v="6"/>
    <n v="6"/>
    <n v="15"/>
    <n v="3"/>
    <n v="1"/>
    <x v="8"/>
    <n v="0"/>
    <d v="2025-08-25T00:00:00"/>
    <x v="8"/>
  </r>
  <r>
    <x v="0"/>
    <s v="Reclutamiento y selección"/>
    <n v="45855"/>
    <n v="45862"/>
    <n v="6"/>
    <n v="6"/>
    <n v="15"/>
    <n v="3"/>
    <n v="1"/>
    <x v="9"/>
    <n v="0"/>
    <d v="2025-06-30T00:00:00"/>
    <x v="0"/>
  </r>
  <r>
    <x v="0"/>
    <s v="Reclutamiento y selección"/>
    <n v="45855"/>
    <n v="45862"/>
    <n v="6"/>
    <n v="6"/>
    <n v="15"/>
    <n v="3"/>
    <n v="1"/>
    <x v="10"/>
    <n v="0"/>
    <d v="2025-06-30T00:00:00"/>
    <x v="0"/>
  </r>
  <r>
    <x v="0"/>
    <s v="Reclutamiento y selección"/>
    <n v="45855"/>
    <n v="45862"/>
    <n v="6"/>
    <n v="6"/>
    <n v="15"/>
    <n v="3"/>
    <n v="1"/>
    <x v="11"/>
    <n v="0"/>
    <d v="2025-06-30T00:00:00"/>
    <x v="0"/>
  </r>
  <r>
    <x v="0"/>
    <s v="Cumplimiento legal y normativo"/>
    <n v="45848"/>
    <n v="45855"/>
    <n v="3"/>
    <n v="3"/>
    <n v="10"/>
    <n v="2"/>
    <n v="0.5"/>
    <x v="0"/>
    <n v="0"/>
    <d v="2025-06-30T00:00:00"/>
    <x v="0"/>
  </r>
  <r>
    <x v="0"/>
    <s v="Cumplimiento legal y normativo"/>
    <n v="45848"/>
    <n v="45855"/>
    <n v="3"/>
    <n v="3"/>
    <n v="10"/>
    <n v="2"/>
    <n v="0.5"/>
    <x v="1"/>
    <n v="1"/>
    <d v="2025-07-07T00:00:00"/>
    <x v="1"/>
  </r>
  <r>
    <x v="0"/>
    <s v="Cumplimiento legal y normativo"/>
    <n v="45848"/>
    <n v="45855"/>
    <n v="3"/>
    <n v="3"/>
    <n v="10"/>
    <n v="2"/>
    <n v="0.5"/>
    <x v="2"/>
    <n v="2"/>
    <d v="2025-07-14T00:00:00"/>
    <x v="2"/>
  </r>
  <r>
    <x v="0"/>
    <s v="Cumplimiento legal y normativo"/>
    <n v="45848"/>
    <n v="45855"/>
    <n v="3"/>
    <n v="3"/>
    <n v="10"/>
    <n v="2"/>
    <n v="0.5"/>
    <x v="3"/>
    <n v="0"/>
    <d v="2025-07-21T00:00:00"/>
    <x v="3"/>
  </r>
  <r>
    <x v="0"/>
    <s v="Cumplimiento legal y normativo"/>
    <n v="45848"/>
    <n v="45855"/>
    <n v="3"/>
    <n v="3"/>
    <n v="10"/>
    <n v="2"/>
    <n v="0.5"/>
    <x v="4"/>
    <n v="0"/>
    <d v="2025-07-28T00:00:00"/>
    <x v="4"/>
  </r>
  <r>
    <x v="0"/>
    <s v="Cumplimiento legal y normativo"/>
    <n v="45848"/>
    <n v="45855"/>
    <n v="3"/>
    <n v="3"/>
    <n v="10"/>
    <n v="2"/>
    <n v="0.5"/>
    <x v="5"/>
    <n v="0"/>
    <d v="2025-08-04T00:00:00"/>
    <x v="5"/>
  </r>
  <r>
    <x v="0"/>
    <s v="Cumplimiento legal y normativo"/>
    <n v="45848"/>
    <n v="45855"/>
    <n v="3"/>
    <n v="3"/>
    <n v="10"/>
    <n v="2"/>
    <n v="0.5"/>
    <x v="6"/>
    <n v="0"/>
    <d v="2025-08-11T00:00:00"/>
    <x v="6"/>
  </r>
  <r>
    <x v="0"/>
    <s v="Cumplimiento legal y normativo"/>
    <n v="45848"/>
    <n v="45855"/>
    <n v="3"/>
    <n v="3"/>
    <n v="10"/>
    <n v="2"/>
    <n v="0.5"/>
    <x v="7"/>
    <n v="0"/>
    <d v="2025-08-18T00:00:00"/>
    <x v="7"/>
  </r>
  <r>
    <x v="0"/>
    <s v="Cumplimiento legal y normativo"/>
    <n v="45848"/>
    <n v="45855"/>
    <n v="3"/>
    <n v="3"/>
    <n v="10"/>
    <n v="2"/>
    <n v="0.5"/>
    <x v="8"/>
    <n v="0"/>
    <d v="2025-08-25T00:00:00"/>
    <x v="8"/>
  </r>
  <r>
    <x v="0"/>
    <s v="Cumplimiento legal y normativo"/>
    <n v="45848"/>
    <n v="45855"/>
    <n v="3"/>
    <n v="3"/>
    <n v="10"/>
    <n v="2"/>
    <n v="0.5"/>
    <x v="9"/>
    <n v="0"/>
    <d v="2025-06-30T00:00:00"/>
    <x v="0"/>
  </r>
  <r>
    <x v="0"/>
    <s v="Cumplimiento legal y normativo"/>
    <n v="45848"/>
    <n v="45855"/>
    <n v="3"/>
    <n v="3"/>
    <n v="10"/>
    <n v="2"/>
    <n v="0.5"/>
    <x v="10"/>
    <n v="0"/>
    <d v="2025-06-30T00:00:00"/>
    <x v="0"/>
  </r>
  <r>
    <x v="0"/>
    <s v="Cumplimiento legal y normativo"/>
    <n v="45848"/>
    <n v="45855"/>
    <n v="3"/>
    <n v="3"/>
    <n v="10"/>
    <n v="2"/>
    <n v="0.5"/>
    <x v="11"/>
    <n v="0"/>
    <d v="2025-06-30T00:00:00"/>
    <x v="0"/>
  </r>
  <r>
    <x v="0"/>
    <s v="Gestión de salud y seguridad ocupacional"/>
    <n v="45848"/>
    <n v="45855"/>
    <n v="2.5"/>
    <n v="2.5"/>
    <n v="10"/>
    <n v="2"/>
    <n v="0.41666666666666669"/>
    <x v="0"/>
    <n v="0"/>
    <d v="2025-06-30T00:00:00"/>
    <x v="0"/>
  </r>
  <r>
    <x v="0"/>
    <s v="Gestión de salud y seguridad ocupacional"/>
    <n v="45848"/>
    <n v="45855"/>
    <n v="2.5"/>
    <n v="2.5"/>
    <n v="10"/>
    <n v="2"/>
    <n v="0.41666666666666669"/>
    <x v="1"/>
    <n v="0.83333333333333348"/>
    <d v="2025-07-07T00:00:00"/>
    <x v="1"/>
  </r>
  <r>
    <x v="0"/>
    <s v="Gestión de salud y seguridad ocupacional"/>
    <n v="45848"/>
    <n v="45855"/>
    <n v="2.5"/>
    <n v="2.5"/>
    <n v="10"/>
    <n v="2"/>
    <n v="0.41666666666666669"/>
    <x v="2"/>
    <n v="1.6666666666666667"/>
    <d v="2025-07-14T00:00:00"/>
    <x v="2"/>
  </r>
  <r>
    <x v="0"/>
    <s v="Gestión de salud y seguridad ocupacional"/>
    <n v="45848"/>
    <n v="45855"/>
    <n v="2.5"/>
    <n v="2.5"/>
    <n v="10"/>
    <n v="2"/>
    <n v="0.41666666666666669"/>
    <x v="3"/>
    <n v="0"/>
    <d v="2025-07-21T00:00:00"/>
    <x v="3"/>
  </r>
  <r>
    <x v="0"/>
    <s v="Gestión de salud y seguridad ocupacional"/>
    <n v="45848"/>
    <n v="45855"/>
    <n v="2.5"/>
    <n v="2.5"/>
    <n v="10"/>
    <n v="2"/>
    <n v="0.41666666666666669"/>
    <x v="4"/>
    <n v="0"/>
    <d v="2025-07-28T00:00:00"/>
    <x v="4"/>
  </r>
  <r>
    <x v="0"/>
    <s v="Gestión de salud y seguridad ocupacional"/>
    <n v="45848"/>
    <n v="45855"/>
    <n v="2.5"/>
    <n v="2.5"/>
    <n v="10"/>
    <n v="2"/>
    <n v="0.41666666666666669"/>
    <x v="5"/>
    <n v="0"/>
    <d v="2025-08-04T00:00:00"/>
    <x v="5"/>
  </r>
  <r>
    <x v="0"/>
    <s v="Gestión de salud y seguridad ocupacional"/>
    <n v="45848"/>
    <n v="45855"/>
    <n v="2.5"/>
    <n v="2.5"/>
    <n v="10"/>
    <n v="2"/>
    <n v="0.41666666666666669"/>
    <x v="6"/>
    <n v="0"/>
    <d v="2025-08-11T00:00:00"/>
    <x v="6"/>
  </r>
  <r>
    <x v="0"/>
    <s v="Gestión de salud y seguridad ocupacional"/>
    <n v="45848"/>
    <n v="45855"/>
    <n v="2.5"/>
    <n v="2.5"/>
    <n v="10"/>
    <n v="2"/>
    <n v="0.41666666666666669"/>
    <x v="7"/>
    <n v="0"/>
    <d v="2025-08-18T00:00:00"/>
    <x v="7"/>
  </r>
  <r>
    <x v="0"/>
    <s v="Gestión de salud y seguridad ocupacional"/>
    <n v="45848"/>
    <n v="45855"/>
    <n v="2.5"/>
    <n v="2.5"/>
    <n v="10"/>
    <n v="2"/>
    <n v="0.41666666666666669"/>
    <x v="8"/>
    <n v="0"/>
    <d v="2025-08-25T00:00:00"/>
    <x v="8"/>
  </r>
  <r>
    <x v="0"/>
    <s v="Gestión de salud y seguridad ocupacional"/>
    <n v="45848"/>
    <n v="45855"/>
    <n v="2.5"/>
    <n v="2.5"/>
    <n v="10"/>
    <n v="2"/>
    <n v="0.41666666666666669"/>
    <x v="9"/>
    <n v="0"/>
    <d v="2025-06-30T00:00:00"/>
    <x v="0"/>
  </r>
  <r>
    <x v="0"/>
    <s v="Gestión de salud y seguridad ocupacional"/>
    <n v="45848"/>
    <n v="45855"/>
    <n v="2.5"/>
    <n v="2.5"/>
    <n v="10"/>
    <n v="2"/>
    <n v="0.41666666666666669"/>
    <x v="10"/>
    <n v="0"/>
    <d v="2025-06-30T00:00:00"/>
    <x v="0"/>
  </r>
  <r>
    <x v="0"/>
    <s v="Gestión de salud y seguridad ocupacional"/>
    <n v="45848"/>
    <n v="45855"/>
    <n v="2.5"/>
    <n v="2.5"/>
    <n v="10"/>
    <n v="2"/>
    <n v="0.41666666666666669"/>
    <x v="11"/>
    <n v="0"/>
    <d v="2025-06-30T00:00:00"/>
    <x v="0"/>
  </r>
  <r>
    <x v="0"/>
    <s v="Cumplimiento legal y normativo"/>
    <n v="45862"/>
    <n v="45869"/>
    <n v="3"/>
    <n v="3"/>
    <n v="20"/>
    <n v="4"/>
    <n v="0.5"/>
    <x v="0"/>
    <n v="0"/>
    <d v="2025-06-30T00:00:00"/>
    <x v="0"/>
  </r>
  <r>
    <x v="0"/>
    <s v="Cumplimiento legal y normativo"/>
    <n v="45862"/>
    <n v="45869"/>
    <n v="3"/>
    <n v="3"/>
    <n v="20"/>
    <n v="4"/>
    <n v="0.5"/>
    <x v="1"/>
    <n v="0"/>
    <d v="2025-07-07T00:00:00"/>
    <x v="1"/>
  </r>
  <r>
    <x v="0"/>
    <s v="Cumplimiento legal y normativo"/>
    <n v="45862"/>
    <n v="45869"/>
    <n v="3"/>
    <n v="3"/>
    <n v="20"/>
    <n v="4"/>
    <n v="0.5"/>
    <x v="2"/>
    <n v="0"/>
    <d v="2025-07-14T00:00:00"/>
    <x v="2"/>
  </r>
  <r>
    <x v="0"/>
    <s v="Cumplimiento legal y normativo"/>
    <n v="45862"/>
    <n v="45869"/>
    <n v="3"/>
    <n v="3"/>
    <n v="20"/>
    <n v="4"/>
    <n v="0.5"/>
    <x v="3"/>
    <n v="1"/>
    <d v="2025-07-21T00:00:00"/>
    <x v="3"/>
  </r>
  <r>
    <x v="0"/>
    <s v="Cumplimiento legal y normativo"/>
    <n v="45862"/>
    <n v="45869"/>
    <n v="3"/>
    <n v="3"/>
    <n v="20"/>
    <n v="4"/>
    <n v="0.5"/>
    <x v="4"/>
    <n v="2"/>
    <d v="2025-07-28T00:00:00"/>
    <x v="4"/>
  </r>
  <r>
    <x v="0"/>
    <s v="Cumplimiento legal y normativo"/>
    <n v="45862"/>
    <n v="45869"/>
    <n v="3"/>
    <n v="3"/>
    <n v="20"/>
    <n v="4"/>
    <n v="0.5"/>
    <x v="5"/>
    <n v="0"/>
    <d v="2025-08-04T00:00:00"/>
    <x v="5"/>
  </r>
  <r>
    <x v="0"/>
    <s v="Cumplimiento legal y normativo"/>
    <n v="45862"/>
    <n v="45869"/>
    <n v="3"/>
    <n v="3"/>
    <n v="20"/>
    <n v="4"/>
    <n v="0.5"/>
    <x v="6"/>
    <n v="0"/>
    <d v="2025-08-11T00:00:00"/>
    <x v="6"/>
  </r>
  <r>
    <x v="0"/>
    <s v="Cumplimiento legal y normativo"/>
    <n v="45862"/>
    <n v="45869"/>
    <n v="3"/>
    <n v="3"/>
    <n v="20"/>
    <n v="4"/>
    <n v="0.5"/>
    <x v="7"/>
    <n v="0"/>
    <d v="2025-08-18T00:00:00"/>
    <x v="7"/>
  </r>
  <r>
    <x v="0"/>
    <s v="Cumplimiento legal y normativo"/>
    <n v="45862"/>
    <n v="45869"/>
    <n v="3"/>
    <n v="3"/>
    <n v="20"/>
    <n v="4"/>
    <n v="0.5"/>
    <x v="8"/>
    <n v="0"/>
    <d v="2025-08-25T00:00:00"/>
    <x v="8"/>
  </r>
  <r>
    <x v="0"/>
    <s v="Cumplimiento legal y normativo"/>
    <n v="45862"/>
    <n v="45869"/>
    <n v="3"/>
    <n v="3"/>
    <n v="20"/>
    <n v="4"/>
    <n v="0.5"/>
    <x v="9"/>
    <n v="0"/>
    <d v="2025-06-30T00:00:00"/>
    <x v="0"/>
  </r>
  <r>
    <x v="0"/>
    <s v="Cumplimiento legal y normativo"/>
    <n v="45862"/>
    <n v="45869"/>
    <n v="3"/>
    <n v="3"/>
    <n v="20"/>
    <n v="4"/>
    <n v="0.5"/>
    <x v="10"/>
    <n v="0"/>
    <d v="2025-06-30T00:00:00"/>
    <x v="0"/>
  </r>
  <r>
    <x v="0"/>
    <s v="Cumplimiento legal y normativo"/>
    <n v="45862"/>
    <n v="45869"/>
    <n v="3"/>
    <n v="3"/>
    <n v="20"/>
    <n v="4"/>
    <n v="0.5"/>
    <x v="11"/>
    <n v="0"/>
    <d v="2025-06-30T00:00:00"/>
    <x v="0"/>
  </r>
  <r>
    <x v="0"/>
    <s v="Capacitación y desarrollo"/>
    <n v="45862"/>
    <n v="45869"/>
    <n v="3"/>
    <n v="3"/>
    <n v="20"/>
    <n v="4"/>
    <n v="0.5"/>
    <x v="0"/>
    <n v="0"/>
    <d v="2025-06-30T00:00:00"/>
    <x v="0"/>
  </r>
  <r>
    <x v="0"/>
    <s v="Capacitación y desarrollo"/>
    <n v="45862"/>
    <n v="45869"/>
    <n v="3"/>
    <n v="3"/>
    <n v="20"/>
    <n v="4"/>
    <n v="0.5"/>
    <x v="1"/>
    <n v="0"/>
    <d v="2025-07-07T00:00:00"/>
    <x v="1"/>
  </r>
  <r>
    <x v="0"/>
    <s v="Capacitación y desarrollo"/>
    <n v="45862"/>
    <n v="45869"/>
    <n v="3"/>
    <n v="3"/>
    <n v="20"/>
    <n v="4"/>
    <n v="0.5"/>
    <x v="2"/>
    <n v="0"/>
    <d v="2025-07-14T00:00:00"/>
    <x v="2"/>
  </r>
  <r>
    <x v="0"/>
    <s v="Capacitación y desarrollo"/>
    <n v="45862"/>
    <n v="45869"/>
    <n v="3"/>
    <n v="3"/>
    <n v="20"/>
    <n v="4"/>
    <n v="0.5"/>
    <x v="3"/>
    <n v="1"/>
    <d v="2025-07-21T00:00:00"/>
    <x v="3"/>
  </r>
  <r>
    <x v="0"/>
    <s v="Capacitación y desarrollo"/>
    <n v="45862"/>
    <n v="45869"/>
    <n v="3"/>
    <n v="3"/>
    <n v="20"/>
    <n v="4"/>
    <n v="0.5"/>
    <x v="4"/>
    <n v="2"/>
    <d v="2025-07-28T00:00:00"/>
    <x v="4"/>
  </r>
  <r>
    <x v="0"/>
    <s v="Capacitación y desarrollo"/>
    <n v="45862"/>
    <n v="45869"/>
    <n v="3"/>
    <n v="3"/>
    <n v="20"/>
    <n v="4"/>
    <n v="0.5"/>
    <x v="5"/>
    <n v="0"/>
    <d v="2025-08-04T00:00:00"/>
    <x v="5"/>
  </r>
  <r>
    <x v="0"/>
    <s v="Capacitación y desarrollo"/>
    <n v="45862"/>
    <n v="45869"/>
    <n v="3"/>
    <n v="3"/>
    <n v="20"/>
    <n v="4"/>
    <n v="0.5"/>
    <x v="6"/>
    <n v="0"/>
    <d v="2025-08-11T00:00:00"/>
    <x v="6"/>
  </r>
  <r>
    <x v="0"/>
    <s v="Capacitación y desarrollo"/>
    <n v="45862"/>
    <n v="45869"/>
    <n v="3"/>
    <n v="3"/>
    <n v="20"/>
    <n v="4"/>
    <n v="0.5"/>
    <x v="7"/>
    <n v="0"/>
    <d v="2025-08-18T00:00:00"/>
    <x v="7"/>
  </r>
  <r>
    <x v="0"/>
    <s v="Capacitación y desarrollo"/>
    <n v="45862"/>
    <n v="45869"/>
    <n v="3"/>
    <n v="3"/>
    <n v="20"/>
    <n v="4"/>
    <n v="0.5"/>
    <x v="8"/>
    <n v="0"/>
    <d v="2025-08-25T00:00:00"/>
    <x v="8"/>
  </r>
  <r>
    <x v="0"/>
    <s v="Capacitación y desarrollo"/>
    <n v="45862"/>
    <n v="45869"/>
    <n v="3"/>
    <n v="3"/>
    <n v="20"/>
    <n v="4"/>
    <n v="0.5"/>
    <x v="9"/>
    <n v="0"/>
    <d v="2025-06-30T00:00:00"/>
    <x v="0"/>
  </r>
  <r>
    <x v="0"/>
    <s v="Capacitación y desarrollo"/>
    <n v="45862"/>
    <n v="45869"/>
    <n v="3"/>
    <n v="3"/>
    <n v="20"/>
    <n v="4"/>
    <n v="0.5"/>
    <x v="10"/>
    <n v="0"/>
    <d v="2025-06-30T00:00:00"/>
    <x v="0"/>
  </r>
  <r>
    <x v="0"/>
    <s v="Capacitación y desarrollo"/>
    <n v="45862"/>
    <n v="45869"/>
    <n v="3"/>
    <n v="3"/>
    <n v="20"/>
    <n v="4"/>
    <n v="0.5"/>
    <x v="11"/>
    <n v="0"/>
    <d v="2025-06-30T00:00:00"/>
    <x v="0"/>
  </r>
  <r>
    <x v="0"/>
    <s v="Administración de personal"/>
    <n v="45848"/>
    <n v="45855"/>
    <n v="3"/>
    <n v="3"/>
    <n v="10"/>
    <n v="2"/>
    <n v="0.5"/>
    <x v="0"/>
    <n v="0"/>
    <d v="2025-06-30T00:00:00"/>
    <x v="0"/>
  </r>
  <r>
    <x v="0"/>
    <s v="Administración de personal"/>
    <n v="45848"/>
    <n v="45855"/>
    <n v="3"/>
    <n v="3"/>
    <n v="10"/>
    <n v="2"/>
    <n v="0.5"/>
    <x v="1"/>
    <n v="1"/>
    <d v="2025-07-07T00:00:00"/>
    <x v="1"/>
  </r>
  <r>
    <x v="0"/>
    <s v="Administración de personal"/>
    <n v="45848"/>
    <n v="45855"/>
    <n v="3"/>
    <n v="3"/>
    <n v="10"/>
    <n v="2"/>
    <n v="0.5"/>
    <x v="2"/>
    <n v="2"/>
    <d v="2025-07-14T00:00:00"/>
    <x v="2"/>
  </r>
  <r>
    <x v="0"/>
    <s v="Administración de personal"/>
    <n v="45848"/>
    <n v="45855"/>
    <n v="3"/>
    <n v="3"/>
    <n v="10"/>
    <n v="2"/>
    <n v="0.5"/>
    <x v="3"/>
    <n v="0"/>
    <d v="2025-07-21T00:00:00"/>
    <x v="3"/>
  </r>
  <r>
    <x v="0"/>
    <s v="Administración de personal"/>
    <n v="45848"/>
    <n v="45855"/>
    <n v="3"/>
    <n v="3"/>
    <n v="10"/>
    <n v="2"/>
    <n v="0.5"/>
    <x v="4"/>
    <n v="0"/>
    <d v="2025-07-28T00:00:00"/>
    <x v="4"/>
  </r>
  <r>
    <x v="0"/>
    <s v="Administración de personal"/>
    <n v="45848"/>
    <n v="45855"/>
    <n v="3"/>
    <n v="3"/>
    <n v="10"/>
    <n v="2"/>
    <n v="0.5"/>
    <x v="5"/>
    <n v="0"/>
    <d v="2025-08-04T00:00:00"/>
    <x v="5"/>
  </r>
  <r>
    <x v="0"/>
    <s v="Administración de personal"/>
    <n v="45848"/>
    <n v="45855"/>
    <n v="3"/>
    <n v="3"/>
    <n v="10"/>
    <n v="2"/>
    <n v="0.5"/>
    <x v="6"/>
    <n v="0"/>
    <d v="2025-08-11T00:00:00"/>
    <x v="6"/>
  </r>
  <r>
    <x v="0"/>
    <s v="Administración de personal"/>
    <n v="45848"/>
    <n v="45855"/>
    <n v="3"/>
    <n v="3"/>
    <n v="10"/>
    <n v="2"/>
    <n v="0.5"/>
    <x v="7"/>
    <n v="0"/>
    <d v="2025-08-18T00:00:00"/>
    <x v="7"/>
  </r>
  <r>
    <x v="0"/>
    <s v="Administración de personal"/>
    <n v="45848"/>
    <n v="45855"/>
    <n v="3"/>
    <n v="3"/>
    <n v="10"/>
    <n v="2"/>
    <n v="0.5"/>
    <x v="8"/>
    <n v="0"/>
    <d v="2025-08-25T00:00:00"/>
    <x v="8"/>
  </r>
  <r>
    <x v="0"/>
    <s v="Administración de personal"/>
    <n v="45848"/>
    <n v="45855"/>
    <n v="3"/>
    <n v="3"/>
    <n v="10"/>
    <n v="2"/>
    <n v="0.5"/>
    <x v="9"/>
    <n v="0"/>
    <d v="2025-06-30T00:00:00"/>
    <x v="0"/>
  </r>
  <r>
    <x v="0"/>
    <s v="Administración de personal"/>
    <n v="45848"/>
    <n v="45855"/>
    <n v="3"/>
    <n v="3"/>
    <n v="10"/>
    <n v="2"/>
    <n v="0.5"/>
    <x v="10"/>
    <n v="0"/>
    <d v="2025-06-30T00:00:00"/>
    <x v="0"/>
  </r>
  <r>
    <x v="0"/>
    <s v="Administración de personal"/>
    <n v="45848"/>
    <n v="45855"/>
    <n v="3"/>
    <n v="3"/>
    <n v="10"/>
    <n v="2"/>
    <n v="0.5"/>
    <x v="11"/>
    <n v="0"/>
    <d v="2025-06-30T00:00:00"/>
    <x v="0"/>
  </r>
  <r>
    <x v="0"/>
    <s v="Gestión de remuneraciones y beneficios"/>
    <n v="45848"/>
    <n v="45855"/>
    <n v="9"/>
    <n v="9"/>
    <n v="10"/>
    <n v="2"/>
    <n v="1.5"/>
    <x v="0"/>
    <n v="0"/>
    <d v="2025-06-30T00:00:00"/>
    <x v="0"/>
  </r>
  <r>
    <x v="0"/>
    <s v="Gestión de remuneraciones y beneficios"/>
    <n v="45848"/>
    <n v="45855"/>
    <n v="9"/>
    <n v="9"/>
    <n v="10"/>
    <n v="2"/>
    <n v="1.5"/>
    <x v="1"/>
    <n v="3"/>
    <d v="2025-07-07T00:00:00"/>
    <x v="1"/>
  </r>
  <r>
    <x v="0"/>
    <s v="Gestión de remuneraciones y beneficios"/>
    <n v="45848"/>
    <n v="45855"/>
    <n v="9"/>
    <n v="9"/>
    <n v="10"/>
    <n v="2"/>
    <n v="1.5"/>
    <x v="2"/>
    <n v="6"/>
    <d v="2025-07-14T00:00:00"/>
    <x v="2"/>
  </r>
  <r>
    <x v="0"/>
    <s v="Gestión de remuneraciones y beneficios"/>
    <n v="45848"/>
    <n v="45855"/>
    <n v="9"/>
    <n v="9"/>
    <n v="10"/>
    <n v="2"/>
    <n v="1.5"/>
    <x v="3"/>
    <n v="0"/>
    <d v="2025-07-21T00:00:00"/>
    <x v="3"/>
  </r>
  <r>
    <x v="0"/>
    <s v="Gestión de remuneraciones y beneficios"/>
    <n v="45848"/>
    <n v="45855"/>
    <n v="9"/>
    <n v="9"/>
    <n v="10"/>
    <n v="2"/>
    <n v="1.5"/>
    <x v="4"/>
    <n v="0"/>
    <d v="2025-07-28T00:00:00"/>
    <x v="4"/>
  </r>
  <r>
    <x v="0"/>
    <s v="Gestión de remuneraciones y beneficios"/>
    <n v="45848"/>
    <n v="45855"/>
    <n v="9"/>
    <n v="9"/>
    <n v="10"/>
    <n v="2"/>
    <n v="1.5"/>
    <x v="5"/>
    <n v="0"/>
    <d v="2025-08-04T00:00:00"/>
    <x v="5"/>
  </r>
  <r>
    <x v="0"/>
    <s v="Gestión de remuneraciones y beneficios"/>
    <n v="45848"/>
    <n v="45855"/>
    <n v="9"/>
    <n v="9"/>
    <n v="10"/>
    <n v="2"/>
    <n v="1.5"/>
    <x v="6"/>
    <n v="0"/>
    <d v="2025-08-11T00:00:00"/>
    <x v="6"/>
  </r>
  <r>
    <x v="0"/>
    <s v="Gestión de remuneraciones y beneficios"/>
    <n v="45848"/>
    <n v="45855"/>
    <n v="9"/>
    <n v="9"/>
    <n v="10"/>
    <n v="2"/>
    <n v="1.5"/>
    <x v="7"/>
    <n v="0"/>
    <d v="2025-08-18T00:00:00"/>
    <x v="7"/>
  </r>
  <r>
    <x v="0"/>
    <s v="Gestión de remuneraciones y beneficios"/>
    <n v="45848"/>
    <n v="45855"/>
    <n v="9"/>
    <n v="9"/>
    <n v="10"/>
    <n v="2"/>
    <n v="1.5"/>
    <x v="8"/>
    <n v="0"/>
    <d v="2025-08-25T00:00:00"/>
    <x v="8"/>
  </r>
  <r>
    <x v="0"/>
    <s v="Gestión de remuneraciones y beneficios"/>
    <n v="45848"/>
    <n v="45855"/>
    <n v="9"/>
    <n v="9"/>
    <n v="10"/>
    <n v="2"/>
    <n v="1.5"/>
    <x v="9"/>
    <n v="0"/>
    <d v="2025-06-30T00:00:00"/>
    <x v="0"/>
  </r>
  <r>
    <x v="0"/>
    <s v="Gestión de remuneraciones y beneficios"/>
    <n v="45848"/>
    <n v="45855"/>
    <n v="9"/>
    <n v="9"/>
    <n v="10"/>
    <n v="2"/>
    <n v="1.5"/>
    <x v="10"/>
    <n v="0"/>
    <d v="2025-06-30T00:00:00"/>
    <x v="0"/>
  </r>
  <r>
    <x v="0"/>
    <s v="Gestión de remuneraciones y beneficios"/>
    <n v="45848"/>
    <n v="45855"/>
    <n v="9"/>
    <n v="9"/>
    <n v="10"/>
    <n v="2"/>
    <n v="1.5"/>
    <x v="11"/>
    <n v="0"/>
    <d v="2025-06-30T00:00:00"/>
    <x v="0"/>
  </r>
  <r>
    <x v="0"/>
    <s v="Administración de personal"/>
    <n v="45862"/>
    <n v="45869"/>
    <n v="3"/>
    <n v="3"/>
    <n v="20"/>
    <n v="4"/>
    <n v="0.5"/>
    <x v="0"/>
    <n v="0"/>
    <d v="2025-06-30T00:00:00"/>
    <x v="0"/>
  </r>
  <r>
    <x v="0"/>
    <s v="Administración de personal"/>
    <n v="45862"/>
    <n v="45869"/>
    <n v="3"/>
    <n v="3"/>
    <n v="20"/>
    <n v="4"/>
    <n v="0.5"/>
    <x v="1"/>
    <n v="0"/>
    <d v="2025-07-07T00:00:00"/>
    <x v="1"/>
  </r>
  <r>
    <x v="0"/>
    <s v="Administración de personal"/>
    <n v="45862"/>
    <n v="45869"/>
    <n v="3"/>
    <n v="3"/>
    <n v="20"/>
    <n v="4"/>
    <n v="0.5"/>
    <x v="2"/>
    <n v="0"/>
    <d v="2025-07-14T00:00:00"/>
    <x v="2"/>
  </r>
  <r>
    <x v="0"/>
    <s v="Administración de personal"/>
    <n v="45862"/>
    <n v="45869"/>
    <n v="3"/>
    <n v="3"/>
    <n v="20"/>
    <n v="4"/>
    <n v="0.5"/>
    <x v="3"/>
    <n v="1"/>
    <d v="2025-07-21T00:00:00"/>
    <x v="3"/>
  </r>
  <r>
    <x v="0"/>
    <s v="Administración de personal"/>
    <n v="45862"/>
    <n v="45869"/>
    <n v="3"/>
    <n v="3"/>
    <n v="20"/>
    <n v="4"/>
    <n v="0.5"/>
    <x v="4"/>
    <n v="2"/>
    <d v="2025-07-28T00:00:00"/>
    <x v="4"/>
  </r>
  <r>
    <x v="0"/>
    <s v="Administración de personal"/>
    <n v="45862"/>
    <n v="45869"/>
    <n v="3"/>
    <n v="3"/>
    <n v="20"/>
    <n v="4"/>
    <n v="0.5"/>
    <x v="5"/>
    <n v="0"/>
    <d v="2025-08-04T00:00:00"/>
    <x v="5"/>
  </r>
  <r>
    <x v="0"/>
    <s v="Administración de personal"/>
    <n v="45862"/>
    <n v="45869"/>
    <n v="3"/>
    <n v="3"/>
    <n v="20"/>
    <n v="4"/>
    <n v="0.5"/>
    <x v="6"/>
    <n v="0"/>
    <d v="2025-08-11T00:00:00"/>
    <x v="6"/>
  </r>
  <r>
    <x v="0"/>
    <s v="Administración de personal"/>
    <n v="45862"/>
    <n v="45869"/>
    <n v="3"/>
    <n v="3"/>
    <n v="20"/>
    <n v="4"/>
    <n v="0.5"/>
    <x v="7"/>
    <n v="0"/>
    <d v="2025-08-18T00:00:00"/>
    <x v="7"/>
  </r>
  <r>
    <x v="0"/>
    <s v="Administración de personal"/>
    <n v="45862"/>
    <n v="45869"/>
    <n v="3"/>
    <n v="3"/>
    <n v="20"/>
    <n v="4"/>
    <n v="0.5"/>
    <x v="8"/>
    <n v="0"/>
    <d v="2025-08-25T00:00:00"/>
    <x v="8"/>
  </r>
  <r>
    <x v="0"/>
    <s v="Administración de personal"/>
    <n v="45862"/>
    <n v="45869"/>
    <n v="3"/>
    <n v="3"/>
    <n v="20"/>
    <n v="4"/>
    <n v="0.5"/>
    <x v="9"/>
    <n v="0"/>
    <d v="2025-06-30T00:00:00"/>
    <x v="0"/>
  </r>
  <r>
    <x v="0"/>
    <s v="Administración de personal"/>
    <n v="45862"/>
    <n v="45869"/>
    <n v="3"/>
    <n v="3"/>
    <n v="20"/>
    <n v="4"/>
    <n v="0.5"/>
    <x v="10"/>
    <n v="0"/>
    <d v="2025-06-30T00:00:00"/>
    <x v="0"/>
  </r>
  <r>
    <x v="0"/>
    <s v="Administración de personal"/>
    <n v="45862"/>
    <n v="45869"/>
    <n v="3"/>
    <n v="3"/>
    <n v="20"/>
    <n v="4"/>
    <n v="0.5"/>
    <x v="11"/>
    <n v="0"/>
    <d v="2025-06-30T00:00:00"/>
    <x v="0"/>
  </r>
  <r>
    <x v="0"/>
    <s v="Reclutamiento y selección"/>
    <n v="45862"/>
    <n v="45869"/>
    <n v="6"/>
    <n v="6"/>
    <n v="20"/>
    <n v="4"/>
    <n v="1"/>
    <x v="0"/>
    <n v="0"/>
    <d v="2025-06-30T00:00:00"/>
    <x v="0"/>
  </r>
  <r>
    <x v="0"/>
    <s v="Reclutamiento y selección"/>
    <n v="45862"/>
    <n v="45869"/>
    <n v="6"/>
    <n v="6"/>
    <n v="20"/>
    <n v="4"/>
    <n v="1"/>
    <x v="1"/>
    <n v="0"/>
    <d v="2025-07-07T00:00:00"/>
    <x v="1"/>
  </r>
  <r>
    <x v="0"/>
    <s v="Reclutamiento y selección"/>
    <n v="45862"/>
    <n v="45869"/>
    <n v="6"/>
    <n v="6"/>
    <n v="20"/>
    <n v="4"/>
    <n v="1"/>
    <x v="2"/>
    <n v="0"/>
    <d v="2025-07-14T00:00:00"/>
    <x v="2"/>
  </r>
  <r>
    <x v="0"/>
    <s v="Reclutamiento y selección"/>
    <n v="45862"/>
    <n v="45869"/>
    <n v="6"/>
    <n v="6"/>
    <n v="20"/>
    <n v="4"/>
    <n v="1"/>
    <x v="3"/>
    <n v="2"/>
    <d v="2025-07-21T00:00:00"/>
    <x v="3"/>
  </r>
  <r>
    <x v="0"/>
    <s v="Reclutamiento y selección"/>
    <n v="45862"/>
    <n v="45869"/>
    <n v="6"/>
    <n v="6"/>
    <n v="20"/>
    <n v="4"/>
    <n v="1"/>
    <x v="4"/>
    <n v="4"/>
    <d v="2025-07-28T00:00:00"/>
    <x v="4"/>
  </r>
  <r>
    <x v="0"/>
    <s v="Reclutamiento y selección"/>
    <n v="45862"/>
    <n v="45869"/>
    <n v="6"/>
    <n v="6"/>
    <n v="20"/>
    <n v="4"/>
    <n v="1"/>
    <x v="5"/>
    <n v="0"/>
    <d v="2025-08-04T00:00:00"/>
    <x v="5"/>
  </r>
  <r>
    <x v="0"/>
    <s v="Reclutamiento y selección"/>
    <n v="45862"/>
    <n v="45869"/>
    <n v="6"/>
    <n v="6"/>
    <n v="20"/>
    <n v="4"/>
    <n v="1"/>
    <x v="6"/>
    <n v="0"/>
    <d v="2025-08-11T00:00:00"/>
    <x v="6"/>
  </r>
  <r>
    <x v="0"/>
    <s v="Reclutamiento y selección"/>
    <n v="45862"/>
    <n v="45869"/>
    <n v="6"/>
    <n v="6"/>
    <n v="20"/>
    <n v="4"/>
    <n v="1"/>
    <x v="7"/>
    <n v="0"/>
    <d v="2025-08-18T00:00:00"/>
    <x v="7"/>
  </r>
  <r>
    <x v="0"/>
    <s v="Reclutamiento y selección"/>
    <n v="45862"/>
    <n v="45869"/>
    <n v="6"/>
    <n v="6"/>
    <n v="20"/>
    <n v="4"/>
    <n v="1"/>
    <x v="8"/>
    <n v="0"/>
    <d v="2025-08-25T00:00:00"/>
    <x v="8"/>
  </r>
  <r>
    <x v="0"/>
    <s v="Reclutamiento y selección"/>
    <n v="45862"/>
    <n v="45869"/>
    <n v="6"/>
    <n v="6"/>
    <n v="20"/>
    <n v="4"/>
    <n v="1"/>
    <x v="9"/>
    <n v="0"/>
    <d v="2025-06-30T00:00:00"/>
    <x v="0"/>
  </r>
  <r>
    <x v="0"/>
    <s v="Reclutamiento y selección"/>
    <n v="45862"/>
    <n v="45869"/>
    <n v="6"/>
    <n v="6"/>
    <n v="20"/>
    <n v="4"/>
    <n v="1"/>
    <x v="10"/>
    <n v="0"/>
    <d v="2025-06-30T00:00:00"/>
    <x v="0"/>
  </r>
  <r>
    <x v="0"/>
    <s v="Reclutamiento y selección"/>
    <n v="45862"/>
    <n v="45869"/>
    <n v="6"/>
    <n v="6"/>
    <n v="20"/>
    <n v="4"/>
    <n v="1"/>
    <x v="11"/>
    <n v="0"/>
    <d v="2025-06-30T00:00:00"/>
    <x v="0"/>
  </r>
  <r>
    <x v="1"/>
    <s v="Reclutamiento y selección"/>
    <n v="45841"/>
    <n v="45847"/>
    <n v="6"/>
    <n v="2.4000000000000004"/>
    <n v="4"/>
    <n v="0.8"/>
    <n v="1.2"/>
    <x v="0"/>
    <n v="4.4408920985006262E-16"/>
    <d v="2025-06-30T00:00:00"/>
    <x v="0"/>
  </r>
  <r>
    <x v="1"/>
    <s v="Reclutamiento y selección"/>
    <n v="45841"/>
    <n v="45847"/>
    <n v="6"/>
    <n v="2.4000000000000004"/>
    <n v="4"/>
    <n v="0.8"/>
    <n v="1.2"/>
    <x v="1"/>
    <n v="3.6"/>
    <d v="2025-07-07T00:00:00"/>
    <x v="1"/>
  </r>
  <r>
    <x v="1"/>
    <s v="Reclutamiento y selección"/>
    <n v="45841"/>
    <n v="45847"/>
    <n v="6"/>
    <n v="2.4000000000000004"/>
    <n v="4"/>
    <n v="0.8"/>
    <n v="1.2"/>
    <x v="2"/>
    <n v="0"/>
    <d v="2025-07-14T00:00:00"/>
    <x v="2"/>
  </r>
  <r>
    <x v="1"/>
    <s v="Reclutamiento y selección"/>
    <n v="45841"/>
    <n v="45847"/>
    <n v="6"/>
    <n v="2.4000000000000004"/>
    <n v="4"/>
    <n v="0.8"/>
    <n v="1.2"/>
    <x v="3"/>
    <n v="0"/>
    <d v="2025-07-21T00:00:00"/>
    <x v="3"/>
  </r>
  <r>
    <x v="1"/>
    <s v="Reclutamiento y selección"/>
    <n v="45841"/>
    <n v="45847"/>
    <n v="6"/>
    <n v="2.4000000000000004"/>
    <n v="4"/>
    <n v="0.8"/>
    <n v="1.2"/>
    <x v="4"/>
    <n v="0"/>
    <d v="2025-07-28T00:00:00"/>
    <x v="4"/>
  </r>
  <r>
    <x v="1"/>
    <s v="Reclutamiento y selección"/>
    <n v="45841"/>
    <n v="45847"/>
    <n v="6"/>
    <n v="2.4000000000000004"/>
    <n v="4"/>
    <n v="0.8"/>
    <n v="1.2"/>
    <x v="5"/>
    <n v="0"/>
    <d v="2025-08-04T00:00:00"/>
    <x v="5"/>
  </r>
  <r>
    <x v="1"/>
    <s v="Reclutamiento y selección"/>
    <n v="45841"/>
    <n v="45847"/>
    <n v="6"/>
    <n v="2.4000000000000004"/>
    <n v="4"/>
    <n v="0.8"/>
    <n v="1.2"/>
    <x v="6"/>
    <n v="0"/>
    <d v="2025-08-11T00:00:00"/>
    <x v="6"/>
  </r>
  <r>
    <x v="1"/>
    <s v="Reclutamiento y selección"/>
    <n v="45841"/>
    <n v="45847"/>
    <n v="6"/>
    <n v="2.4000000000000004"/>
    <n v="4"/>
    <n v="0.8"/>
    <n v="1.2"/>
    <x v="7"/>
    <n v="0"/>
    <d v="2025-08-18T00:00:00"/>
    <x v="7"/>
  </r>
  <r>
    <x v="1"/>
    <s v="Reclutamiento y selección"/>
    <n v="45841"/>
    <n v="45847"/>
    <n v="6"/>
    <n v="2.4000000000000004"/>
    <n v="4"/>
    <n v="0.8"/>
    <n v="1.2"/>
    <x v="8"/>
    <n v="0"/>
    <d v="2025-08-25T00:00:00"/>
    <x v="8"/>
  </r>
  <r>
    <x v="1"/>
    <s v="Reclutamiento y selección"/>
    <n v="45841"/>
    <n v="45847"/>
    <n v="6"/>
    <n v="2.4000000000000004"/>
    <n v="4"/>
    <n v="0.8"/>
    <n v="1.2"/>
    <x v="9"/>
    <n v="0"/>
    <d v="2025-06-30T00:00:00"/>
    <x v="0"/>
  </r>
  <r>
    <x v="1"/>
    <s v="Reclutamiento y selección"/>
    <n v="45841"/>
    <n v="45847"/>
    <n v="6"/>
    <n v="2.4000000000000004"/>
    <n v="4"/>
    <n v="0.8"/>
    <n v="1.2"/>
    <x v="10"/>
    <n v="0"/>
    <d v="2025-06-30T00:00:00"/>
    <x v="0"/>
  </r>
  <r>
    <x v="1"/>
    <s v="Reclutamiento y selección"/>
    <n v="45841"/>
    <n v="45847"/>
    <n v="6"/>
    <n v="2.4000000000000004"/>
    <n v="4"/>
    <n v="0.8"/>
    <n v="1.2"/>
    <x v="11"/>
    <n v="0"/>
    <d v="2025-06-30T00:00:00"/>
    <x v="0"/>
  </r>
  <r>
    <x v="1"/>
    <s v="Gestión de conflictos y relaciones laborales"/>
    <n v="45841"/>
    <n v="45852"/>
    <n v="4"/>
    <n v="2.5"/>
    <n v="7"/>
    <n v="1.4"/>
    <n v="0.5"/>
    <x v="0"/>
    <n v="0"/>
    <d v="2025-06-30T00:00:00"/>
    <x v="0"/>
  </r>
  <r>
    <x v="1"/>
    <s v="Gestión de conflictos y relaciones laborales"/>
    <n v="45841"/>
    <n v="45852"/>
    <n v="4"/>
    <n v="2.5"/>
    <n v="7"/>
    <n v="1.4"/>
    <n v="0.5"/>
    <x v="1"/>
    <n v="2.5"/>
    <d v="2025-07-07T00:00:00"/>
    <x v="1"/>
  </r>
  <r>
    <x v="1"/>
    <s v="Gestión de conflictos y relaciones laborales"/>
    <n v="45841"/>
    <n v="45852"/>
    <n v="4"/>
    <n v="2.5"/>
    <n v="7"/>
    <n v="1.4"/>
    <n v="0.5"/>
    <x v="2"/>
    <n v="0.5"/>
    <d v="2025-07-14T00:00:00"/>
    <x v="2"/>
  </r>
  <r>
    <x v="1"/>
    <s v="Gestión de conflictos y relaciones laborales"/>
    <n v="45841"/>
    <n v="45852"/>
    <n v="4"/>
    <n v="2.5"/>
    <n v="7"/>
    <n v="1.4"/>
    <n v="0.5"/>
    <x v="3"/>
    <n v="0"/>
    <d v="2025-07-21T00:00:00"/>
    <x v="3"/>
  </r>
  <r>
    <x v="1"/>
    <s v="Gestión de conflictos y relaciones laborales"/>
    <n v="45841"/>
    <n v="45852"/>
    <n v="4"/>
    <n v="2.5"/>
    <n v="7"/>
    <n v="1.4"/>
    <n v="0.5"/>
    <x v="4"/>
    <n v="0"/>
    <d v="2025-07-28T00:00:00"/>
    <x v="4"/>
  </r>
  <r>
    <x v="1"/>
    <s v="Gestión de conflictos y relaciones laborales"/>
    <n v="45841"/>
    <n v="45852"/>
    <n v="4"/>
    <n v="2.5"/>
    <n v="7"/>
    <n v="1.4"/>
    <n v="0.5"/>
    <x v="5"/>
    <n v="0"/>
    <d v="2025-08-04T00:00:00"/>
    <x v="5"/>
  </r>
  <r>
    <x v="1"/>
    <s v="Gestión de conflictos y relaciones laborales"/>
    <n v="45841"/>
    <n v="45852"/>
    <n v="4"/>
    <n v="2.5"/>
    <n v="7"/>
    <n v="1.4"/>
    <n v="0.5"/>
    <x v="6"/>
    <n v="0"/>
    <d v="2025-08-11T00:00:00"/>
    <x v="6"/>
  </r>
  <r>
    <x v="1"/>
    <s v="Gestión de conflictos y relaciones laborales"/>
    <n v="45841"/>
    <n v="45852"/>
    <n v="4"/>
    <n v="2.5"/>
    <n v="7"/>
    <n v="1.4"/>
    <n v="0.5"/>
    <x v="7"/>
    <n v="0"/>
    <d v="2025-08-18T00:00:00"/>
    <x v="7"/>
  </r>
  <r>
    <x v="1"/>
    <s v="Gestión de conflictos y relaciones laborales"/>
    <n v="45841"/>
    <n v="45852"/>
    <n v="4"/>
    <n v="2.5"/>
    <n v="7"/>
    <n v="1.4"/>
    <n v="0.5"/>
    <x v="8"/>
    <n v="0"/>
    <d v="2025-08-25T00:00:00"/>
    <x v="8"/>
  </r>
  <r>
    <x v="1"/>
    <s v="Gestión de conflictos y relaciones laborales"/>
    <n v="45841"/>
    <n v="45852"/>
    <n v="4"/>
    <n v="2.5"/>
    <n v="7"/>
    <n v="1.4"/>
    <n v="0.5"/>
    <x v="9"/>
    <n v="0"/>
    <d v="2025-06-30T00:00:00"/>
    <x v="0"/>
  </r>
  <r>
    <x v="1"/>
    <s v="Gestión de conflictos y relaciones laborales"/>
    <n v="45841"/>
    <n v="45852"/>
    <n v="4"/>
    <n v="2.5"/>
    <n v="7"/>
    <n v="1.4"/>
    <n v="0.5"/>
    <x v="10"/>
    <n v="0"/>
    <d v="2025-06-30T00:00:00"/>
    <x v="0"/>
  </r>
  <r>
    <x v="1"/>
    <s v="Gestión de conflictos y relaciones laborales"/>
    <n v="45841"/>
    <n v="45852"/>
    <n v="4"/>
    <n v="2.5"/>
    <n v="7"/>
    <n v="1.4"/>
    <n v="0.5"/>
    <x v="11"/>
    <n v="0"/>
    <d v="2025-06-30T00:00:00"/>
    <x v="0"/>
  </r>
  <r>
    <x v="1"/>
    <s v="Gestión de remuneraciones y beneficios"/>
    <n v="45841"/>
    <n v="45849"/>
    <n v="9"/>
    <n v="5.1428571428571423"/>
    <n v="6"/>
    <n v="1.2"/>
    <n v="1.2857142857142858"/>
    <x v="0"/>
    <n v="-4.4408920985006262E-16"/>
    <d v="2025-06-30T00:00:00"/>
    <x v="0"/>
  </r>
  <r>
    <x v="1"/>
    <s v="Gestión de remuneraciones y beneficios"/>
    <n v="45841"/>
    <n v="45849"/>
    <n v="9"/>
    <n v="5.1428571428571423"/>
    <n v="6"/>
    <n v="1.2"/>
    <n v="1.2857142857142858"/>
    <x v="1"/>
    <n v="6.4285714285714288"/>
    <d v="2025-07-07T00:00:00"/>
    <x v="1"/>
  </r>
  <r>
    <x v="1"/>
    <s v="Gestión de remuneraciones y beneficios"/>
    <n v="45841"/>
    <n v="45849"/>
    <n v="9"/>
    <n v="5.1428571428571423"/>
    <n v="6"/>
    <n v="1.2"/>
    <n v="1.2857142857142858"/>
    <x v="2"/>
    <n v="0"/>
    <d v="2025-07-14T00:00:00"/>
    <x v="2"/>
  </r>
  <r>
    <x v="1"/>
    <s v="Gestión de remuneraciones y beneficios"/>
    <n v="45841"/>
    <n v="45849"/>
    <n v="9"/>
    <n v="5.1428571428571423"/>
    <n v="6"/>
    <n v="1.2"/>
    <n v="1.2857142857142858"/>
    <x v="3"/>
    <n v="0"/>
    <d v="2025-07-21T00:00:00"/>
    <x v="3"/>
  </r>
  <r>
    <x v="1"/>
    <s v="Gestión de remuneraciones y beneficios"/>
    <n v="45841"/>
    <n v="45849"/>
    <n v="9"/>
    <n v="5.1428571428571423"/>
    <n v="6"/>
    <n v="1.2"/>
    <n v="1.2857142857142858"/>
    <x v="4"/>
    <n v="0"/>
    <d v="2025-07-28T00:00:00"/>
    <x v="4"/>
  </r>
  <r>
    <x v="1"/>
    <s v="Gestión de remuneraciones y beneficios"/>
    <n v="45841"/>
    <n v="45849"/>
    <n v="9"/>
    <n v="5.1428571428571423"/>
    <n v="6"/>
    <n v="1.2"/>
    <n v="1.2857142857142858"/>
    <x v="5"/>
    <n v="0"/>
    <d v="2025-08-04T00:00:00"/>
    <x v="5"/>
  </r>
  <r>
    <x v="1"/>
    <s v="Gestión de remuneraciones y beneficios"/>
    <n v="45841"/>
    <n v="45849"/>
    <n v="9"/>
    <n v="5.1428571428571423"/>
    <n v="6"/>
    <n v="1.2"/>
    <n v="1.2857142857142858"/>
    <x v="6"/>
    <n v="0"/>
    <d v="2025-08-11T00:00:00"/>
    <x v="6"/>
  </r>
  <r>
    <x v="1"/>
    <s v="Gestión de remuneraciones y beneficios"/>
    <n v="45841"/>
    <n v="45849"/>
    <n v="9"/>
    <n v="5.1428571428571423"/>
    <n v="6"/>
    <n v="1.2"/>
    <n v="1.2857142857142858"/>
    <x v="7"/>
    <n v="0"/>
    <d v="2025-08-18T00:00:00"/>
    <x v="7"/>
  </r>
  <r>
    <x v="1"/>
    <s v="Gestión de remuneraciones y beneficios"/>
    <n v="45841"/>
    <n v="45849"/>
    <n v="9"/>
    <n v="5.1428571428571423"/>
    <n v="6"/>
    <n v="1.2"/>
    <n v="1.2857142857142858"/>
    <x v="8"/>
    <n v="0"/>
    <d v="2025-08-25T00:00:00"/>
    <x v="8"/>
  </r>
  <r>
    <x v="1"/>
    <s v="Gestión de remuneraciones y beneficios"/>
    <n v="45841"/>
    <n v="45849"/>
    <n v="9"/>
    <n v="5.1428571428571423"/>
    <n v="6"/>
    <n v="1.2"/>
    <n v="1.2857142857142858"/>
    <x v="9"/>
    <n v="0"/>
    <d v="2025-06-30T00:00:00"/>
    <x v="0"/>
  </r>
  <r>
    <x v="1"/>
    <s v="Gestión de remuneraciones y beneficios"/>
    <n v="45841"/>
    <n v="45849"/>
    <n v="9"/>
    <n v="5.1428571428571423"/>
    <n v="6"/>
    <n v="1.2"/>
    <n v="1.2857142857142858"/>
    <x v="10"/>
    <n v="0"/>
    <d v="2025-06-30T00:00:00"/>
    <x v="0"/>
  </r>
  <r>
    <x v="1"/>
    <s v="Gestión de remuneraciones y beneficios"/>
    <n v="45841"/>
    <n v="45849"/>
    <n v="9"/>
    <n v="5.1428571428571423"/>
    <n v="6"/>
    <n v="1.2"/>
    <n v="1.2857142857142858"/>
    <x v="11"/>
    <n v="0"/>
    <d v="2025-06-30T00:00:00"/>
    <x v="0"/>
  </r>
  <r>
    <x v="1"/>
    <s v="Reclutamiento y selección"/>
    <n v="45855"/>
    <n v="45861"/>
    <n v="6"/>
    <n v="6"/>
    <n v="14"/>
    <n v="2.8"/>
    <n v="1.2"/>
    <x v="0"/>
    <n v="0"/>
    <d v="2025-06-30T00:00:00"/>
    <x v="0"/>
  </r>
  <r>
    <x v="1"/>
    <s v="Reclutamiento y selección"/>
    <n v="45855"/>
    <n v="45861"/>
    <n v="6"/>
    <n v="6"/>
    <n v="14"/>
    <n v="2.8"/>
    <n v="1.2"/>
    <x v="1"/>
    <n v="0"/>
    <d v="2025-07-07T00:00:00"/>
    <x v="1"/>
  </r>
  <r>
    <x v="1"/>
    <s v="Reclutamiento y selección"/>
    <n v="45855"/>
    <n v="45861"/>
    <n v="6"/>
    <n v="6"/>
    <n v="14"/>
    <n v="2.8"/>
    <n v="1.2"/>
    <x v="2"/>
    <n v="2.4000000000000004"/>
    <d v="2025-07-14T00:00:00"/>
    <x v="2"/>
  </r>
  <r>
    <x v="1"/>
    <s v="Reclutamiento y selección"/>
    <n v="45855"/>
    <n v="45861"/>
    <n v="6"/>
    <n v="6"/>
    <n v="14"/>
    <n v="2.8"/>
    <n v="1.2"/>
    <x v="3"/>
    <n v="3.6"/>
    <d v="2025-07-21T00:00:00"/>
    <x v="3"/>
  </r>
  <r>
    <x v="1"/>
    <s v="Reclutamiento y selección"/>
    <n v="45855"/>
    <n v="45861"/>
    <n v="6"/>
    <n v="6"/>
    <n v="14"/>
    <n v="2.8"/>
    <n v="1.2"/>
    <x v="4"/>
    <n v="0"/>
    <d v="2025-07-28T00:00:00"/>
    <x v="4"/>
  </r>
  <r>
    <x v="1"/>
    <s v="Reclutamiento y selección"/>
    <n v="45855"/>
    <n v="45861"/>
    <n v="6"/>
    <n v="6"/>
    <n v="14"/>
    <n v="2.8"/>
    <n v="1.2"/>
    <x v="5"/>
    <n v="0"/>
    <d v="2025-08-04T00:00:00"/>
    <x v="5"/>
  </r>
  <r>
    <x v="1"/>
    <s v="Reclutamiento y selección"/>
    <n v="45855"/>
    <n v="45861"/>
    <n v="6"/>
    <n v="6"/>
    <n v="14"/>
    <n v="2.8"/>
    <n v="1.2"/>
    <x v="6"/>
    <n v="0"/>
    <d v="2025-08-11T00:00:00"/>
    <x v="6"/>
  </r>
  <r>
    <x v="1"/>
    <s v="Reclutamiento y selección"/>
    <n v="45855"/>
    <n v="45861"/>
    <n v="6"/>
    <n v="6"/>
    <n v="14"/>
    <n v="2.8"/>
    <n v="1.2"/>
    <x v="7"/>
    <n v="0"/>
    <d v="2025-08-18T00:00:00"/>
    <x v="7"/>
  </r>
  <r>
    <x v="1"/>
    <s v="Reclutamiento y selección"/>
    <n v="45855"/>
    <n v="45861"/>
    <n v="6"/>
    <n v="6"/>
    <n v="14"/>
    <n v="2.8"/>
    <n v="1.2"/>
    <x v="8"/>
    <n v="0"/>
    <d v="2025-08-25T00:00:00"/>
    <x v="8"/>
  </r>
  <r>
    <x v="1"/>
    <s v="Reclutamiento y selección"/>
    <n v="45855"/>
    <n v="45861"/>
    <n v="6"/>
    <n v="6"/>
    <n v="14"/>
    <n v="2.8"/>
    <n v="1.2"/>
    <x v="9"/>
    <n v="0"/>
    <d v="2025-06-30T00:00:00"/>
    <x v="0"/>
  </r>
  <r>
    <x v="1"/>
    <s v="Reclutamiento y selección"/>
    <n v="45855"/>
    <n v="45861"/>
    <n v="6"/>
    <n v="6"/>
    <n v="14"/>
    <n v="2.8"/>
    <n v="1.2"/>
    <x v="10"/>
    <n v="0"/>
    <d v="2025-06-30T00:00:00"/>
    <x v="0"/>
  </r>
  <r>
    <x v="1"/>
    <s v="Reclutamiento y selección"/>
    <n v="45855"/>
    <n v="45861"/>
    <n v="6"/>
    <n v="6"/>
    <n v="14"/>
    <n v="2.8"/>
    <n v="1.2"/>
    <x v="11"/>
    <n v="0"/>
    <d v="2025-06-30T00:00:00"/>
    <x v="0"/>
  </r>
  <r>
    <x v="1"/>
    <s v="Gestión de conflictos y relaciones laborales"/>
    <n v="45855"/>
    <n v="45866"/>
    <n v="4"/>
    <n v="4"/>
    <n v="17"/>
    <n v="3.4"/>
    <n v="0.5"/>
    <x v="0"/>
    <n v="0"/>
    <d v="2025-06-30T00:00:00"/>
    <x v="0"/>
  </r>
  <r>
    <x v="1"/>
    <s v="Gestión de conflictos y relaciones laborales"/>
    <n v="45855"/>
    <n v="45866"/>
    <n v="4"/>
    <n v="4"/>
    <n v="17"/>
    <n v="3.4"/>
    <n v="0.5"/>
    <x v="1"/>
    <n v="0"/>
    <d v="2025-07-07T00:00:00"/>
    <x v="1"/>
  </r>
  <r>
    <x v="1"/>
    <s v="Gestión de conflictos y relaciones laborales"/>
    <n v="45855"/>
    <n v="45866"/>
    <n v="4"/>
    <n v="4"/>
    <n v="17"/>
    <n v="3.4"/>
    <n v="0.5"/>
    <x v="2"/>
    <n v="1"/>
    <d v="2025-07-14T00:00:00"/>
    <x v="2"/>
  </r>
  <r>
    <x v="1"/>
    <s v="Gestión de conflictos y relaciones laborales"/>
    <n v="45855"/>
    <n v="45866"/>
    <n v="4"/>
    <n v="4"/>
    <n v="17"/>
    <n v="3.4"/>
    <n v="0.5"/>
    <x v="3"/>
    <n v="2.5"/>
    <d v="2025-07-21T00:00:00"/>
    <x v="3"/>
  </r>
  <r>
    <x v="1"/>
    <s v="Gestión de conflictos y relaciones laborales"/>
    <n v="45855"/>
    <n v="45866"/>
    <n v="4"/>
    <n v="4"/>
    <n v="17"/>
    <n v="3.4"/>
    <n v="0.5"/>
    <x v="4"/>
    <n v="0.5"/>
    <d v="2025-07-28T00:00:00"/>
    <x v="4"/>
  </r>
  <r>
    <x v="1"/>
    <s v="Gestión de conflictos y relaciones laborales"/>
    <n v="45855"/>
    <n v="45866"/>
    <n v="4"/>
    <n v="4"/>
    <n v="17"/>
    <n v="3.4"/>
    <n v="0.5"/>
    <x v="5"/>
    <n v="0"/>
    <d v="2025-08-04T00:00:00"/>
    <x v="5"/>
  </r>
  <r>
    <x v="1"/>
    <s v="Gestión de conflictos y relaciones laborales"/>
    <n v="45855"/>
    <n v="45866"/>
    <n v="4"/>
    <n v="4"/>
    <n v="17"/>
    <n v="3.4"/>
    <n v="0.5"/>
    <x v="6"/>
    <n v="0"/>
    <d v="2025-08-11T00:00:00"/>
    <x v="6"/>
  </r>
  <r>
    <x v="1"/>
    <s v="Gestión de conflictos y relaciones laborales"/>
    <n v="45855"/>
    <n v="45866"/>
    <n v="4"/>
    <n v="4"/>
    <n v="17"/>
    <n v="3.4"/>
    <n v="0.5"/>
    <x v="7"/>
    <n v="0"/>
    <d v="2025-08-18T00:00:00"/>
    <x v="7"/>
  </r>
  <r>
    <x v="1"/>
    <s v="Gestión de conflictos y relaciones laborales"/>
    <n v="45855"/>
    <n v="45866"/>
    <n v="4"/>
    <n v="4"/>
    <n v="17"/>
    <n v="3.4"/>
    <n v="0.5"/>
    <x v="8"/>
    <n v="0"/>
    <d v="2025-08-25T00:00:00"/>
    <x v="8"/>
  </r>
  <r>
    <x v="1"/>
    <s v="Gestión de conflictos y relaciones laborales"/>
    <n v="45855"/>
    <n v="45866"/>
    <n v="4"/>
    <n v="4"/>
    <n v="17"/>
    <n v="3.4"/>
    <n v="0.5"/>
    <x v="9"/>
    <n v="0"/>
    <d v="2025-06-30T00:00:00"/>
    <x v="0"/>
  </r>
  <r>
    <x v="1"/>
    <s v="Gestión de conflictos y relaciones laborales"/>
    <n v="45855"/>
    <n v="45866"/>
    <n v="4"/>
    <n v="4"/>
    <n v="17"/>
    <n v="3.4"/>
    <n v="0.5"/>
    <x v="10"/>
    <n v="0"/>
    <d v="2025-06-30T00:00:00"/>
    <x v="0"/>
  </r>
  <r>
    <x v="1"/>
    <s v="Gestión de conflictos y relaciones laborales"/>
    <n v="45855"/>
    <n v="45866"/>
    <n v="4"/>
    <n v="4"/>
    <n v="17"/>
    <n v="3.4"/>
    <n v="0.5"/>
    <x v="11"/>
    <n v="0"/>
    <d v="2025-06-30T00:00:00"/>
    <x v="0"/>
  </r>
  <r>
    <x v="1"/>
    <s v="Gestión de remuneraciones y beneficios"/>
    <n v="45855"/>
    <n v="45863"/>
    <n v="9"/>
    <n v="9"/>
    <n v="16"/>
    <n v="3.2"/>
    <n v="1.2857142857142858"/>
    <x v="0"/>
    <n v="0"/>
    <d v="2025-06-30T00:00:00"/>
    <x v="0"/>
  </r>
  <r>
    <x v="1"/>
    <s v="Gestión de remuneraciones y beneficios"/>
    <n v="45855"/>
    <n v="45863"/>
    <n v="9"/>
    <n v="9"/>
    <n v="16"/>
    <n v="3.2"/>
    <n v="1.2857142857142858"/>
    <x v="1"/>
    <n v="0"/>
    <d v="2025-07-07T00:00:00"/>
    <x v="1"/>
  </r>
  <r>
    <x v="1"/>
    <s v="Gestión de remuneraciones y beneficios"/>
    <n v="45855"/>
    <n v="45863"/>
    <n v="9"/>
    <n v="9"/>
    <n v="16"/>
    <n v="3.2"/>
    <n v="1.2857142857142858"/>
    <x v="2"/>
    <n v="2.5714285714285712"/>
    <d v="2025-07-14T00:00:00"/>
    <x v="2"/>
  </r>
  <r>
    <x v="1"/>
    <s v="Gestión de remuneraciones y beneficios"/>
    <n v="45855"/>
    <n v="45863"/>
    <n v="9"/>
    <n v="9"/>
    <n v="16"/>
    <n v="3.2"/>
    <n v="1.2857142857142858"/>
    <x v="3"/>
    <n v="6.4285714285714288"/>
    <d v="2025-07-21T00:00:00"/>
    <x v="3"/>
  </r>
  <r>
    <x v="1"/>
    <s v="Gestión de remuneraciones y beneficios"/>
    <n v="45855"/>
    <n v="45863"/>
    <n v="9"/>
    <n v="9"/>
    <n v="16"/>
    <n v="3.2"/>
    <n v="1.2857142857142858"/>
    <x v="4"/>
    <n v="0"/>
    <d v="2025-07-28T00:00:00"/>
    <x v="4"/>
  </r>
  <r>
    <x v="1"/>
    <s v="Gestión de remuneraciones y beneficios"/>
    <n v="45855"/>
    <n v="45863"/>
    <n v="9"/>
    <n v="9"/>
    <n v="16"/>
    <n v="3.2"/>
    <n v="1.2857142857142858"/>
    <x v="5"/>
    <n v="0"/>
    <d v="2025-08-04T00:00:00"/>
    <x v="5"/>
  </r>
  <r>
    <x v="1"/>
    <s v="Gestión de remuneraciones y beneficios"/>
    <n v="45855"/>
    <n v="45863"/>
    <n v="9"/>
    <n v="9"/>
    <n v="16"/>
    <n v="3.2"/>
    <n v="1.2857142857142858"/>
    <x v="6"/>
    <n v="0"/>
    <d v="2025-08-11T00:00:00"/>
    <x v="6"/>
  </r>
  <r>
    <x v="1"/>
    <s v="Gestión de remuneraciones y beneficios"/>
    <n v="45855"/>
    <n v="45863"/>
    <n v="9"/>
    <n v="9"/>
    <n v="16"/>
    <n v="3.2"/>
    <n v="1.2857142857142858"/>
    <x v="7"/>
    <n v="0"/>
    <d v="2025-08-18T00:00:00"/>
    <x v="7"/>
  </r>
  <r>
    <x v="1"/>
    <s v="Gestión de remuneraciones y beneficios"/>
    <n v="45855"/>
    <n v="45863"/>
    <n v="9"/>
    <n v="9"/>
    <n v="16"/>
    <n v="3.2"/>
    <n v="1.2857142857142858"/>
    <x v="8"/>
    <n v="0"/>
    <d v="2025-08-25T00:00:00"/>
    <x v="8"/>
  </r>
  <r>
    <x v="1"/>
    <s v="Gestión de remuneraciones y beneficios"/>
    <n v="45855"/>
    <n v="45863"/>
    <n v="9"/>
    <n v="9"/>
    <n v="16"/>
    <n v="3.2"/>
    <n v="1.2857142857142858"/>
    <x v="9"/>
    <n v="0"/>
    <d v="2025-06-30T00:00:00"/>
    <x v="0"/>
  </r>
  <r>
    <x v="1"/>
    <s v="Gestión de remuneraciones y beneficios"/>
    <n v="45855"/>
    <n v="45863"/>
    <n v="9"/>
    <n v="9"/>
    <n v="16"/>
    <n v="3.2"/>
    <n v="1.2857142857142858"/>
    <x v="10"/>
    <n v="0"/>
    <d v="2025-06-30T00:00:00"/>
    <x v="0"/>
  </r>
  <r>
    <x v="1"/>
    <s v="Gestión de remuneraciones y beneficios"/>
    <n v="45855"/>
    <n v="45863"/>
    <n v="9"/>
    <n v="9"/>
    <n v="16"/>
    <n v="3.2"/>
    <n v="1.2857142857142858"/>
    <x v="11"/>
    <n v="0"/>
    <d v="2025-06-30T00:00:00"/>
    <x v="0"/>
  </r>
  <r>
    <x v="1"/>
    <s v="Gestión de remuneraciones y beneficios"/>
    <n v="45848"/>
    <n v="45855"/>
    <n v="9"/>
    <n v="9"/>
    <n v="10"/>
    <n v="2"/>
    <n v="1.5"/>
    <x v="0"/>
    <n v="0"/>
    <d v="2025-06-30T00:00:00"/>
    <x v="0"/>
  </r>
  <r>
    <x v="1"/>
    <s v="Gestión de remuneraciones y beneficios"/>
    <n v="45848"/>
    <n v="45855"/>
    <n v="9"/>
    <n v="9"/>
    <n v="10"/>
    <n v="2"/>
    <n v="1.5"/>
    <x v="1"/>
    <n v="3"/>
    <d v="2025-07-07T00:00:00"/>
    <x v="1"/>
  </r>
  <r>
    <x v="1"/>
    <s v="Gestión de remuneraciones y beneficios"/>
    <n v="45848"/>
    <n v="45855"/>
    <n v="9"/>
    <n v="9"/>
    <n v="10"/>
    <n v="2"/>
    <n v="1.5"/>
    <x v="2"/>
    <n v="6"/>
    <d v="2025-07-14T00:00:00"/>
    <x v="2"/>
  </r>
  <r>
    <x v="1"/>
    <s v="Gestión de remuneraciones y beneficios"/>
    <n v="45848"/>
    <n v="45855"/>
    <n v="9"/>
    <n v="9"/>
    <n v="10"/>
    <n v="2"/>
    <n v="1.5"/>
    <x v="3"/>
    <n v="0"/>
    <d v="2025-07-21T00:00:00"/>
    <x v="3"/>
  </r>
  <r>
    <x v="1"/>
    <s v="Gestión de remuneraciones y beneficios"/>
    <n v="45848"/>
    <n v="45855"/>
    <n v="9"/>
    <n v="9"/>
    <n v="10"/>
    <n v="2"/>
    <n v="1.5"/>
    <x v="4"/>
    <n v="0"/>
    <d v="2025-07-28T00:00:00"/>
    <x v="4"/>
  </r>
  <r>
    <x v="1"/>
    <s v="Gestión de remuneraciones y beneficios"/>
    <n v="45848"/>
    <n v="45855"/>
    <n v="9"/>
    <n v="9"/>
    <n v="10"/>
    <n v="2"/>
    <n v="1.5"/>
    <x v="5"/>
    <n v="0"/>
    <d v="2025-08-04T00:00:00"/>
    <x v="5"/>
  </r>
  <r>
    <x v="1"/>
    <s v="Gestión de remuneraciones y beneficios"/>
    <n v="45848"/>
    <n v="45855"/>
    <n v="9"/>
    <n v="9"/>
    <n v="10"/>
    <n v="2"/>
    <n v="1.5"/>
    <x v="6"/>
    <n v="0"/>
    <d v="2025-08-11T00:00:00"/>
    <x v="6"/>
  </r>
  <r>
    <x v="1"/>
    <s v="Gestión de remuneraciones y beneficios"/>
    <n v="45848"/>
    <n v="45855"/>
    <n v="9"/>
    <n v="9"/>
    <n v="10"/>
    <n v="2"/>
    <n v="1.5"/>
    <x v="7"/>
    <n v="0"/>
    <d v="2025-08-18T00:00:00"/>
    <x v="7"/>
  </r>
  <r>
    <x v="1"/>
    <s v="Gestión de remuneraciones y beneficios"/>
    <n v="45848"/>
    <n v="45855"/>
    <n v="9"/>
    <n v="9"/>
    <n v="10"/>
    <n v="2"/>
    <n v="1.5"/>
    <x v="8"/>
    <n v="0"/>
    <d v="2025-08-25T00:00:00"/>
    <x v="8"/>
  </r>
  <r>
    <x v="1"/>
    <s v="Gestión de remuneraciones y beneficios"/>
    <n v="45848"/>
    <n v="45855"/>
    <n v="9"/>
    <n v="9"/>
    <n v="10"/>
    <n v="2"/>
    <n v="1.5"/>
    <x v="9"/>
    <n v="0"/>
    <d v="2025-06-30T00:00:00"/>
    <x v="0"/>
  </r>
  <r>
    <x v="1"/>
    <s v="Gestión de remuneraciones y beneficios"/>
    <n v="45848"/>
    <n v="45855"/>
    <n v="9"/>
    <n v="9"/>
    <n v="10"/>
    <n v="2"/>
    <n v="1.5"/>
    <x v="10"/>
    <n v="0"/>
    <d v="2025-06-30T00:00:00"/>
    <x v="0"/>
  </r>
  <r>
    <x v="1"/>
    <s v="Gestión de remuneraciones y beneficios"/>
    <n v="45848"/>
    <n v="45855"/>
    <n v="9"/>
    <n v="9"/>
    <n v="10"/>
    <n v="2"/>
    <n v="1.5"/>
    <x v="11"/>
    <n v="0"/>
    <d v="2025-06-30T00:00:00"/>
    <x v="0"/>
  </r>
  <r>
    <x v="1"/>
    <s v="Gestión del clima laboral"/>
    <n v="45848"/>
    <n v="45855"/>
    <n v="3.5"/>
    <n v="3.5"/>
    <n v="10"/>
    <n v="2"/>
    <n v="0.58333333333333337"/>
    <x v="0"/>
    <n v="0"/>
    <d v="2025-06-30T00:00:00"/>
    <x v="0"/>
  </r>
  <r>
    <x v="1"/>
    <s v="Gestión del clima laboral"/>
    <n v="45848"/>
    <n v="45855"/>
    <n v="3.5"/>
    <n v="3.5"/>
    <n v="10"/>
    <n v="2"/>
    <n v="0.58333333333333337"/>
    <x v="1"/>
    <n v="1.166666666666667"/>
    <d v="2025-07-07T00:00:00"/>
    <x v="1"/>
  </r>
  <r>
    <x v="1"/>
    <s v="Gestión del clima laboral"/>
    <n v="45848"/>
    <n v="45855"/>
    <n v="3.5"/>
    <n v="3.5"/>
    <n v="10"/>
    <n v="2"/>
    <n v="0.58333333333333337"/>
    <x v="2"/>
    <n v="2.3333333333333335"/>
    <d v="2025-07-14T00:00:00"/>
    <x v="2"/>
  </r>
  <r>
    <x v="1"/>
    <s v="Gestión del clima laboral"/>
    <n v="45848"/>
    <n v="45855"/>
    <n v="3.5"/>
    <n v="3.5"/>
    <n v="10"/>
    <n v="2"/>
    <n v="0.58333333333333337"/>
    <x v="3"/>
    <n v="0"/>
    <d v="2025-07-21T00:00:00"/>
    <x v="3"/>
  </r>
  <r>
    <x v="1"/>
    <s v="Gestión del clima laboral"/>
    <n v="45848"/>
    <n v="45855"/>
    <n v="3.5"/>
    <n v="3.5"/>
    <n v="10"/>
    <n v="2"/>
    <n v="0.58333333333333337"/>
    <x v="4"/>
    <n v="0"/>
    <d v="2025-07-28T00:00:00"/>
    <x v="4"/>
  </r>
  <r>
    <x v="1"/>
    <s v="Gestión del clima laboral"/>
    <n v="45848"/>
    <n v="45855"/>
    <n v="3.5"/>
    <n v="3.5"/>
    <n v="10"/>
    <n v="2"/>
    <n v="0.58333333333333337"/>
    <x v="5"/>
    <n v="0"/>
    <d v="2025-08-04T00:00:00"/>
    <x v="5"/>
  </r>
  <r>
    <x v="1"/>
    <s v="Gestión del clima laboral"/>
    <n v="45848"/>
    <n v="45855"/>
    <n v="3.5"/>
    <n v="3.5"/>
    <n v="10"/>
    <n v="2"/>
    <n v="0.58333333333333337"/>
    <x v="6"/>
    <n v="0"/>
    <d v="2025-08-11T00:00:00"/>
    <x v="6"/>
  </r>
  <r>
    <x v="1"/>
    <s v="Gestión del clima laboral"/>
    <n v="45848"/>
    <n v="45855"/>
    <n v="3.5"/>
    <n v="3.5"/>
    <n v="10"/>
    <n v="2"/>
    <n v="0.58333333333333337"/>
    <x v="7"/>
    <n v="0"/>
    <d v="2025-08-18T00:00:00"/>
    <x v="7"/>
  </r>
  <r>
    <x v="1"/>
    <s v="Gestión del clima laboral"/>
    <n v="45848"/>
    <n v="45855"/>
    <n v="3.5"/>
    <n v="3.5"/>
    <n v="10"/>
    <n v="2"/>
    <n v="0.58333333333333337"/>
    <x v="8"/>
    <n v="0"/>
    <d v="2025-08-25T00:00:00"/>
    <x v="8"/>
  </r>
  <r>
    <x v="1"/>
    <s v="Gestión del clima laboral"/>
    <n v="45848"/>
    <n v="45855"/>
    <n v="3.5"/>
    <n v="3.5"/>
    <n v="10"/>
    <n v="2"/>
    <n v="0.58333333333333337"/>
    <x v="9"/>
    <n v="0"/>
    <d v="2025-06-30T00:00:00"/>
    <x v="0"/>
  </r>
  <r>
    <x v="1"/>
    <s v="Gestión del clima laboral"/>
    <n v="45848"/>
    <n v="45855"/>
    <n v="3.5"/>
    <n v="3.5"/>
    <n v="10"/>
    <n v="2"/>
    <n v="0.58333333333333337"/>
    <x v="10"/>
    <n v="0"/>
    <d v="2025-06-30T00:00:00"/>
    <x v="0"/>
  </r>
  <r>
    <x v="1"/>
    <s v="Gestión del clima laboral"/>
    <n v="45848"/>
    <n v="45855"/>
    <n v="3.5"/>
    <n v="3.5"/>
    <n v="10"/>
    <n v="2"/>
    <n v="0.58333333333333337"/>
    <x v="11"/>
    <n v="0"/>
    <d v="2025-06-30T00:00:00"/>
    <x v="0"/>
  </r>
  <r>
    <x v="1"/>
    <s v="Gestión de salud y seguridad ocupacional"/>
    <n v="45848"/>
    <n v="45855"/>
    <n v="2.5"/>
    <n v="2.5"/>
    <n v="10"/>
    <n v="2"/>
    <n v="0.41666666666666669"/>
    <x v="0"/>
    <n v="0"/>
    <d v="2025-06-30T00:00:00"/>
    <x v="0"/>
  </r>
  <r>
    <x v="1"/>
    <s v="Gestión de salud y seguridad ocupacional"/>
    <n v="45848"/>
    <n v="45855"/>
    <n v="2.5"/>
    <n v="2.5"/>
    <n v="10"/>
    <n v="2"/>
    <n v="0.41666666666666669"/>
    <x v="1"/>
    <n v="0.83333333333333348"/>
    <d v="2025-07-07T00:00:00"/>
    <x v="1"/>
  </r>
  <r>
    <x v="1"/>
    <s v="Gestión de salud y seguridad ocupacional"/>
    <n v="45848"/>
    <n v="45855"/>
    <n v="2.5"/>
    <n v="2.5"/>
    <n v="10"/>
    <n v="2"/>
    <n v="0.41666666666666669"/>
    <x v="2"/>
    <n v="1.6666666666666667"/>
    <d v="2025-07-14T00:00:00"/>
    <x v="2"/>
  </r>
  <r>
    <x v="1"/>
    <s v="Gestión de salud y seguridad ocupacional"/>
    <n v="45848"/>
    <n v="45855"/>
    <n v="2.5"/>
    <n v="2.5"/>
    <n v="10"/>
    <n v="2"/>
    <n v="0.41666666666666669"/>
    <x v="3"/>
    <n v="0"/>
    <d v="2025-07-21T00:00:00"/>
    <x v="3"/>
  </r>
  <r>
    <x v="1"/>
    <s v="Gestión de salud y seguridad ocupacional"/>
    <n v="45848"/>
    <n v="45855"/>
    <n v="2.5"/>
    <n v="2.5"/>
    <n v="10"/>
    <n v="2"/>
    <n v="0.41666666666666669"/>
    <x v="4"/>
    <n v="0"/>
    <d v="2025-07-28T00:00:00"/>
    <x v="4"/>
  </r>
  <r>
    <x v="1"/>
    <s v="Gestión de salud y seguridad ocupacional"/>
    <n v="45848"/>
    <n v="45855"/>
    <n v="2.5"/>
    <n v="2.5"/>
    <n v="10"/>
    <n v="2"/>
    <n v="0.41666666666666669"/>
    <x v="5"/>
    <n v="0"/>
    <d v="2025-08-04T00:00:00"/>
    <x v="5"/>
  </r>
  <r>
    <x v="1"/>
    <s v="Gestión de salud y seguridad ocupacional"/>
    <n v="45848"/>
    <n v="45855"/>
    <n v="2.5"/>
    <n v="2.5"/>
    <n v="10"/>
    <n v="2"/>
    <n v="0.41666666666666669"/>
    <x v="6"/>
    <n v="0"/>
    <d v="2025-08-11T00:00:00"/>
    <x v="6"/>
  </r>
  <r>
    <x v="1"/>
    <s v="Gestión de salud y seguridad ocupacional"/>
    <n v="45848"/>
    <n v="45855"/>
    <n v="2.5"/>
    <n v="2.5"/>
    <n v="10"/>
    <n v="2"/>
    <n v="0.41666666666666669"/>
    <x v="7"/>
    <n v="0"/>
    <d v="2025-08-18T00:00:00"/>
    <x v="7"/>
  </r>
  <r>
    <x v="1"/>
    <s v="Gestión de salud y seguridad ocupacional"/>
    <n v="45848"/>
    <n v="45855"/>
    <n v="2.5"/>
    <n v="2.5"/>
    <n v="10"/>
    <n v="2"/>
    <n v="0.41666666666666669"/>
    <x v="8"/>
    <n v="0"/>
    <d v="2025-08-25T00:00:00"/>
    <x v="8"/>
  </r>
  <r>
    <x v="1"/>
    <s v="Gestión de salud y seguridad ocupacional"/>
    <n v="45848"/>
    <n v="45855"/>
    <n v="2.5"/>
    <n v="2.5"/>
    <n v="10"/>
    <n v="2"/>
    <n v="0.41666666666666669"/>
    <x v="9"/>
    <n v="0"/>
    <d v="2025-06-30T00:00:00"/>
    <x v="0"/>
  </r>
  <r>
    <x v="1"/>
    <s v="Gestión de salud y seguridad ocupacional"/>
    <n v="45848"/>
    <n v="45855"/>
    <n v="2.5"/>
    <n v="2.5"/>
    <n v="10"/>
    <n v="2"/>
    <n v="0.41666666666666669"/>
    <x v="10"/>
    <n v="0"/>
    <d v="2025-06-30T00:00:00"/>
    <x v="0"/>
  </r>
  <r>
    <x v="1"/>
    <s v="Gestión de salud y seguridad ocupacional"/>
    <n v="45848"/>
    <n v="45855"/>
    <n v="2.5"/>
    <n v="2.5"/>
    <n v="10"/>
    <n v="2"/>
    <n v="0.41666666666666669"/>
    <x v="11"/>
    <n v="0"/>
    <d v="2025-06-30T00:00:00"/>
    <x v="0"/>
  </r>
  <r>
    <x v="1"/>
    <s v="Evaluación del desempeño"/>
    <n v="45862"/>
    <n v="45869"/>
    <n v="10"/>
    <n v="10"/>
    <n v="20"/>
    <n v="4"/>
    <n v="1.6666666666666667"/>
    <x v="0"/>
    <n v="0"/>
    <d v="2025-06-30T00:00:00"/>
    <x v="0"/>
  </r>
  <r>
    <x v="1"/>
    <s v="Evaluación del desempeño"/>
    <n v="45862"/>
    <n v="45869"/>
    <n v="10"/>
    <n v="10"/>
    <n v="20"/>
    <n v="4"/>
    <n v="1.6666666666666667"/>
    <x v="1"/>
    <n v="0"/>
    <d v="2025-07-07T00:00:00"/>
    <x v="1"/>
  </r>
  <r>
    <x v="1"/>
    <s v="Evaluación del desempeño"/>
    <n v="45862"/>
    <n v="45869"/>
    <n v="10"/>
    <n v="10"/>
    <n v="20"/>
    <n v="4"/>
    <n v="1.6666666666666667"/>
    <x v="2"/>
    <n v="0"/>
    <d v="2025-07-14T00:00:00"/>
    <x v="2"/>
  </r>
  <r>
    <x v="1"/>
    <s v="Evaluación del desempeño"/>
    <n v="45862"/>
    <n v="45869"/>
    <n v="10"/>
    <n v="10"/>
    <n v="20"/>
    <n v="4"/>
    <n v="1.6666666666666667"/>
    <x v="3"/>
    <n v="3.3333333333333339"/>
    <d v="2025-07-21T00:00:00"/>
    <x v="3"/>
  </r>
  <r>
    <x v="1"/>
    <s v="Evaluación del desempeño"/>
    <n v="45862"/>
    <n v="45869"/>
    <n v="10"/>
    <n v="10"/>
    <n v="20"/>
    <n v="4"/>
    <n v="1.6666666666666667"/>
    <x v="4"/>
    <n v="6.666666666666667"/>
    <d v="2025-07-28T00:00:00"/>
    <x v="4"/>
  </r>
  <r>
    <x v="1"/>
    <s v="Evaluación del desempeño"/>
    <n v="45862"/>
    <n v="45869"/>
    <n v="10"/>
    <n v="10"/>
    <n v="20"/>
    <n v="4"/>
    <n v="1.6666666666666667"/>
    <x v="5"/>
    <n v="0"/>
    <d v="2025-08-04T00:00:00"/>
    <x v="5"/>
  </r>
  <r>
    <x v="1"/>
    <s v="Evaluación del desempeño"/>
    <n v="45862"/>
    <n v="45869"/>
    <n v="10"/>
    <n v="10"/>
    <n v="20"/>
    <n v="4"/>
    <n v="1.6666666666666667"/>
    <x v="6"/>
    <n v="0"/>
    <d v="2025-08-11T00:00:00"/>
    <x v="6"/>
  </r>
  <r>
    <x v="1"/>
    <s v="Evaluación del desempeño"/>
    <n v="45862"/>
    <n v="45869"/>
    <n v="10"/>
    <n v="10"/>
    <n v="20"/>
    <n v="4"/>
    <n v="1.6666666666666667"/>
    <x v="7"/>
    <n v="0"/>
    <d v="2025-08-18T00:00:00"/>
    <x v="7"/>
  </r>
  <r>
    <x v="1"/>
    <s v="Evaluación del desempeño"/>
    <n v="45862"/>
    <n v="45869"/>
    <n v="10"/>
    <n v="10"/>
    <n v="20"/>
    <n v="4"/>
    <n v="1.6666666666666667"/>
    <x v="8"/>
    <n v="0"/>
    <d v="2025-08-25T00:00:00"/>
    <x v="8"/>
  </r>
  <r>
    <x v="1"/>
    <s v="Evaluación del desempeño"/>
    <n v="45862"/>
    <n v="45869"/>
    <n v="10"/>
    <n v="10"/>
    <n v="20"/>
    <n v="4"/>
    <n v="1.6666666666666667"/>
    <x v="9"/>
    <n v="0"/>
    <d v="2025-06-30T00:00:00"/>
    <x v="0"/>
  </r>
  <r>
    <x v="1"/>
    <s v="Evaluación del desempeño"/>
    <n v="45862"/>
    <n v="45869"/>
    <n v="10"/>
    <n v="10"/>
    <n v="20"/>
    <n v="4"/>
    <n v="1.6666666666666667"/>
    <x v="10"/>
    <n v="0"/>
    <d v="2025-06-30T00:00:00"/>
    <x v="0"/>
  </r>
  <r>
    <x v="1"/>
    <s v="Evaluación del desempeño"/>
    <n v="45862"/>
    <n v="45869"/>
    <n v="10"/>
    <n v="10"/>
    <n v="20"/>
    <n v="4"/>
    <n v="1.6666666666666667"/>
    <x v="11"/>
    <n v="0"/>
    <d v="2025-06-30T00:00:00"/>
    <x v="0"/>
  </r>
  <r>
    <x v="1"/>
    <s v="Reclutamiento y selección"/>
    <n v="45848"/>
    <n v="45855"/>
    <n v="6"/>
    <n v="6"/>
    <n v="10"/>
    <n v="2"/>
    <n v="1"/>
    <x v="0"/>
    <n v="0"/>
    <d v="2025-06-30T00:00:00"/>
    <x v="0"/>
  </r>
  <r>
    <x v="1"/>
    <s v="Reclutamiento y selección"/>
    <n v="45848"/>
    <n v="45855"/>
    <n v="6"/>
    <n v="6"/>
    <n v="10"/>
    <n v="2"/>
    <n v="1"/>
    <x v="1"/>
    <n v="2"/>
    <d v="2025-07-07T00:00:00"/>
    <x v="1"/>
  </r>
  <r>
    <x v="1"/>
    <s v="Reclutamiento y selección"/>
    <n v="45848"/>
    <n v="45855"/>
    <n v="6"/>
    <n v="6"/>
    <n v="10"/>
    <n v="2"/>
    <n v="1"/>
    <x v="2"/>
    <n v="4"/>
    <d v="2025-07-14T00:00:00"/>
    <x v="2"/>
  </r>
  <r>
    <x v="1"/>
    <s v="Reclutamiento y selección"/>
    <n v="45848"/>
    <n v="45855"/>
    <n v="6"/>
    <n v="6"/>
    <n v="10"/>
    <n v="2"/>
    <n v="1"/>
    <x v="3"/>
    <n v="0"/>
    <d v="2025-07-21T00:00:00"/>
    <x v="3"/>
  </r>
  <r>
    <x v="1"/>
    <s v="Reclutamiento y selección"/>
    <n v="45848"/>
    <n v="45855"/>
    <n v="6"/>
    <n v="6"/>
    <n v="10"/>
    <n v="2"/>
    <n v="1"/>
    <x v="4"/>
    <n v="0"/>
    <d v="2025-07-28T00:00:00"/>
    <x v="4"/>
  </r>
  <r>
    <x v="1"/>
    <s v="Reclutamiento y selección"/>
    <n v="45848"/>
    <n v="45855"/>
    <n v="6"/>
    <n v="6"/>
    <n v="10"/>
    <n v="2"/>
    <n v="1"/>
    <x v="5"/>
    <n v="0"/>
    <d v="2025-08-04T00:00:00"/>
    <x v="5"/>
  </r>
  <r>
    <x v="1"/>
    <s v="Reclutamiento y selección"/>
    <n v="45848"/>
    <n v="45855"/>
    <n v="6"/>
    <n v="6"/>
    <n v="10"/>
    <n v="2"/>
    <n v="1"/>
    <x v="6"/>
    <n v="0"/>
    <d v="2025-08-11T00:00:00"/>
    <x v="6"/>
  </r>
  <r>
    <x v="1"/>
    <s v="Reclutamiento y selección"/>
    <n v="45848"/>
    <n v="45855"/>
    <n v="6"/>
    <n v="6"/>
    <n v="10"/>
    <n v="2"/>
    <n v="1"/>
    <x v="7"/>
    <n v="0"/>
    <d v="2025-08-18T00:00:00"/>
    <x v="7"/>
  </r>
  <r>
    <x v="1"/>
    <s v="Reclutamiento y selección"/>
    <n v="45848"/>
    <n v="45855"/>
    <n v="6"/>
    <n v="6"/>
    <n v="10"/>
    <n v="2"/>
    <n v="1"/>
    <x v="8"/>
    <n v="0"/>
    <d v="2025-08-25T00:00:00"/>
    <x v="8"/>
  </r>
  <r>
    <x v="1"/>
    <s v="Reclutamiento y selección"/>
    <n v="45848"/>
    <n v="45855"/>
    <n v="6"/>
    <n v="6"/>
    <n v="10"/>
    <n v="2"/>
    <n v="1"/>
    <x v="9"/>
    <n v="0"/>
    <d v="2025-06-30T00:00:00"/>
    <x v="0"/>
  </r>
  <r>
    <x v="1"/>
    <s v="Reclutamiento y selección"/>
    <n v="45848"/>
    <n v="45855"/>
    <n v="6"/>
    <n v="6"/>
    <n v="10"/>
    <n v="2"/>
    <n v="1"/>
    <x v="10"/>
    <n v="0"/>
    <d v="2025-06-30T00:00:00"/>
    <x v="0"/>
  </r>
  <r>
    <x v="1"/>
    <s v="Reclutamiento y selección"/>
    <n v="45848"/>
    <n v="45855"/>
    <n v="6"/>
    <n v="6"/>
    <n v="10"/>
    <n v="2"/>
    <n v="1"/>
    <x v="11"/>
    <n v="0"/>
    <d v="2025-06-30T00:00:00"/>
    <x v="0"/>
  </r>
  <r>
    <x v="1"/>
    <s v="Administración de personal"/>
    <n v="45848"/>
    <n v="45855"/>
    <n v="3"/>
    <n v="3"/>
    <n v="10"/>
    <n v="2"/>
    <n v="0.5"/>
    <x v="0"/>
    <n v="0"/>
    <d v="2025-06-30T00:00:00"/>
    <x v="0"/>
  </r>
  <r>
    <x v="1"/>
    <s v="Administración de personal"/>
    <n v="45848"/>
    <n v="45855"/>
    <n v="3"/>
    <n v="3"/>
    <n v="10"/>
    <n v="2"/>
    <n v="0.5"/>
    <x v="1"/>
    <n v="1"/>
    <d v="2025-07-07T00:00:00"/>
    <x v="1"/>
  </r>
  <r>
    <x v="1"/>
    <s v="Administración de personal"/>
    <n v="45848"/>
    <n v="45855"/>
    <n v="3"/>
    <n v="3"/>
    <n v="10"/>
    <n v="2"/>
    <n v="0.5"/>
    <x v="2"/>
    <n v="2"/>
    <d v="2025-07-14T00:00:00"/>
    <x v="2"/>
  </r>
  <r>
    <x v="1"/>
    <s v="Administración de personal"/>
    <n v="45848"/>
    <n v="45855"/>
    <n v="3"/>
    <n v="3"/>
    <n v="10"/>
    <n v="2"/>
    <n v="0.5"/>
    <x v="3"/>
    <n v="0"/>
    <d v="2025-07-21T00:00:00"/>
    <x v="3"/>
  </r>
  <r>
    <x v="1"/>
    <s v="Administración de personal"/>
    <n v="45848"/>
    <n v="45855"/>
    <n v="3"/>
    <n v="3"/>
    <n v="10"/>
    <n v="2"/>
    <n v="0.5"/>
    <x v="4"/>
    <n v="0"/>
    <d v="2025-07-28T00:00:00"/>
    <x v="4"/>
  </r>
  <r>
    <x v="1"/>
    <s v="Administración de personal"/>
    <n v="45848"/>
    <n v="45855"/>
    <n v="3"/>
    <n v="3"/>
    <n v="10"/>
    <n v="2"/>
    <n v="0.5"/>
    <x v="5"/>
    <n v="0"/>
    <d v="2025-08-04T00:00:00"/>
    <x v="5"/>
  </r>
  <r>
    <x v="1"/>
    <s v="Administración de personal"/>
    <n v="45848"/>
    <n v="45855"/>
    <n v="3"/>
    <n v="3"/>
    <n v="10"/>
    <n v="2"/>
    <n v="0.5"/>
    <x v="6"/>
    <n v="0"/>
    <d v="2025-08-11T00:00:00"/>
    <x v="6"/>
  </r>
  <r>
    <x v="1"/>
    <s v="Administración de personal"/>
    <n v="45848"/>
    <n v="45855"/>
    <n v="3"/>
    <n v="3"/>
    <n v="10"/>
    <n v="2"/>
    <n v="0.5"/>
    <x v="7"/>
    <n v="0"/>
    <d v="2025-08-18T00:00:00"/>
    <x v="7"/>
  </r>
  <r>
    <x v="1"/>
    <s v="Administración de personal"/>
    <n v="45848"/>
    <n v="45855"/>
    <n v="3"/>
    <n v="3"/>
    <n v="10"/>
    <n v="2"/>
    <n v="0.5"/>
    <x v="8"/>
    <n v="0"/>
    <d v="2025-08-25T00:00:00"/>
    <x v="8"/>
  </r>
  <r>
    <x v="1"/>
    <s v="Administración de personal"/>
    <n v="45848"/>
    <n v="45855"/>
    <n v="3"/>
    <n v="3"/>
    <n v="10"/>
    <n v="2"/>
    <n v="0.5"/>
    <x v="9"/>
    <n v="0"/>
    <d v="2025-06-30T00:00:00"/>
    <x v="0"/>
  </r>
  <r>
    <x v="1"/>
    <s v="Administración de personal"/>
    <n v="45848"/>
    <n v="45855"/>
    <n v="3"/>
    <n v="3"/>
    <n v="10"/>
    <n v="2"/>
    <n v="0.5"/>
    <x v="10"/>
    <n v="0"/>
    <d v="2025-06-30T00:00:00"/>
    <x v="0"/>
  </r>
  <r>
    <x v="1"/>
    <s v="Administración de personal"/>
    <n v="45848"/>
    <n v="45855"/>
    <n v="3"/>
    <n v="3"/>
    <n v="10"/>
    <n v="2"/>
    <n v="0.5"/>
    <x v="11"/>
    <n v="0"/>
    <d v="2025-06-30T00:00:00"/>
    <x v="0"/>
  </r>
  <r>
    <x v="1"/>
    <s v="Inducción y bienvenida"/>
    <n v="45848"/>
    <n v="45855"/>
    <n v="2.5"/>
    <n v="2.5"/>
    <n v="10"/>
    <n v="2"/>
    <n v="0.41666666666666669"/>
    <x v="0"/>
    <n v="0"/>
    <d v="2025-06-30T00:00:00"/>
    <x v="0"/>
  </r>
  <r>
    <x v="1"/>
    <s v="Inducción y bienvenida"/>
    <n v="45848"/>
    <n v="45855"/>
    <n v="2.5"/>
    <n v="2.5"/>
    <n v="10"/>
    <n v="2"/>
    <n v="0.41666666666666669"/>
    <x v="1"/>
    <n v="0.83333333333333348"/>
    <d v="2025-07-07T00:00:00"/>
    <x v="1"/>
  </r>
  <r>
    <x v="1"/>
    <s v="Inducción y bienvenida"/>
    <n v="45848"/>
    <n v="45855"/>
    <n v="2.5"/>
    <n v="2.5"/>
    <n v="10"/>
    <n v="2"/>
    <n v="0.41666666666666669"/>
    <x v="2"/>
    <n v="1.6666666666666667"/>
    <d v="2025-07-14T00:00:00"/>
    <x v="2"/>
  </r>
  <r>
    <x v="1"/>
    <s v="Inducción y bienvenida"/>
    <n v="45848"/>
    <n v="45855"/>
    <n v="2.5"/>
    <n v="2.5"/>
    <n v="10"/>
    <n v="2"/>
    <n v="0.41666666666666669"/>
    <x v="3"/>
    <n v="0"/>
    <d v="2025-07-21T00:00:00"/>
    <x v="3"/>
  </r>
  <r>
    <x v="1"/>
    <s v="Inducción y bienvenida"/>
    <n v="45848"/>
    <n v="45855"/>
    <n v="2.5"/>
    <n v="2.5"/>
    <n v="10"/>
    <n v="2"/>
    <n v="0.41666666666666669"/>
    <x v="4"/>
    <n v="0"/>
    <d v="2025-07-28T00:00:00"/>
    <x v="4"/>
  </r>
  <r>
    <x v="1"/>
    <s v="Inducción y bienvenida"/>
    <n v="45848"/>
    <n v="45855"/>
    <n v="2.5"/>
    <n v="2.5"/>
    <n v="10"/>
    <n v="2"/>
    <n v="0.41666666666666669"/>
    <x v="5"/>
    <n v="0"/>
    <d v="2025-08-04T00:00:00"/>
    <x v="5"/>
  </r>
  <r>
    <x v="1"/>
    <s v="Inducción y bienvenida"/>
    <n v="45848"/>
    <n v="45855"/>
    <n v="2.5"/>
    <n v="2.5"/>
    <n v="10"/>
    <n v="2"/>
    <n v="0.41666666666666669"/>
    <x v="6"/>
    <n v="0"/>
    <d v="2025-08-11T00:00:00"/>
    <x v="6"/>
  </r>
  <r>
    <x v="1"/>
    <s v="Inducción y bienvenida"/>
    <n v="45848"/>
    <n v="45855"/>
    <n v="2.5"/>
    <n v="2.5"/>
    <n v="10"/>
    <n v="2"/>
    <n v="0.41666666666666669"/>
    <x v="7"/>
    <n v="0"/>
    <d v="2025-08-18T00:00:00"/>
    <x v="7"/>
  </r>
  <r>
    <x v="1"/>
    <s v="Inducción y bienvenida"/>
    <n v="45848"/>
    <n v="45855"/>
    <n v="2.5"/>
    <n v="2.5"/>
    <n v="10"/>
    <n v="2"/>
    <n v="0.41666666666666669"/>
    <x v="8"/>
    <n v="0"/>
    <d v="2025-08-25T00:00:00"/>
    <x v="8"/>
  </r>
  <r>
    <x v="1"/>
    <s v="Inducción y bienvenida"/>
    <n v="45848"/>
    <n v="45855"/>
    <n v="2.5"/>
    <n v="2.5"/>
    <n v="10"/>
    <n v="2"/>
    <n v="0.41666666666666669"/>
    <x v="9"/>
    <n v="0"/>
    <d v="2025-06-30T00:00:00"/>
    <x v="0"/>
  </r>
  <r>
    <x v="1"/>
    <s v="Inducción y bienvenida"/>
    <n v="45848"/>
    <n v="45855"/>
    <n v="2.5"/>
    <n v="2.5"/>
    <n v="10"/>
    <n v="2"/>
    <n v="0.41666666666666669"/>
    <x v="10"/>
    <n v="0"/>
    <d v="2025-06-30T00:00:00"/>
    <x v="0"/>
  </r>
  <r>
    <x v="1"/>
    <s v="Inducción y bienvenida"/>
    <n v="45848"/>
    <n v="45855"/>
    <n v="2.5"/>
    <n v="2.5"/>
    <n v="10"/>
    <n v="2"/>
    <n v="0.41666666666666669"/>
    <x v="11"/>
    <n v="0"/>
    <d v="2025-06-30T00:00:00"/>
    <x v="0"/>
  </r>
  <r>
    <x v="1"/>
    <s v="Inducción y bienvenida"/>
    <n v="45862"/>
    <n v="45869"/>
    <n v="2.5"/>
    <n v="2.5"/>
    <n v="20"/>
    <n v="4"/>
    <n v="0.41666666666666669"/>
    <x v="0"/>
    <n v="0"/>
    <d v="2025-06-30T00:00:00"/>
    <x v="0"/>
  </r>
  <r>
    <x v="1"/>
    <s v="Inducción y bienvenida"/>
    <n v="45862"/>
    <n v="45869"/>
    <n v="2.5"/>
    <n v="2.5"/>
    <n v="20"/>
    <n v="4"/>
    <n v="0.41666666666666669"/>
    <x v="1"/>
    <n v="0"/>
    <d v="2025-07-07T00:00:00"/>
    <x v="1"/>
  </r>
  <r>
    <x v="1"/>
    <s v="Inducción y bienvenida"/>
    <n v="45862"/>
    <n v="45869"/>
    <n v="2.5"/>
    <n v="2.5"/>
    <n v="20"/>
    <n v="4"/>
    <n v="0.41666666666666669"/>
    <x v="2"/>
    <n v="0"/>
    <d v="2025-07-14T00:00:00"/>
    <x v="2"/>
  </r>
  <r>
    <x v="1"/>
    <s v="Inducción y bienvenida"/>
    <n v="45862"/>
    <n v="45869"/>
    <n v="2.5"/>
    <n v="2.5"/>
    <n v="20"/>
    <n v="4"/>
    <n v="0.41666666666666669"/>
    <x v="3"/>
    <n v="0.83333333333333348"/>
    <d v="2025-07-21T00:00:00"/>
    <x v="3"/>
  </r>
  <r>
    <x v="1"/>
    <s v="Inducción y bienvenida"/>
    <n v="45862"/>
    <n v="45869"/>
    <n v="2.5"/>
    <n v="2.5"/>
    <n v="20"/>
    <n v="4"/>
    <n v="0.41666666666666669"/>
    <x v="4"/>
    <n v="1.6666666666666667"/>
    <d v="2025-07-28T00:00:00"/>
    <x v="4"/>
  </r>
  <r>
    <x v="1"/>
    <s v="Inducción y bienvenida"/>
    <n v="45862"/>
    <n v="45869"/>
    <n v="2.5"/>
    <n v="2.5"/>
    <n v="20"/>
    <n v="4"/>
    <n v="0.41666666666666669"/>
    <x v="5"/>
    <n v="0"/>
    <d v="2025-08-04T00:00:00"/>
    <x v="5"/>
  </r>
  <r>
    <x v="1"/>
    <s v="Inducción y bienvenida"/>
    <n v="45862"/>
    <n v="45869"/>
    <n v="2.5"/>
    <n v="2.5"/>
    <n v="20"/>
    <n v="4"/>
    <n v="0.41666666666666669"/>
    <x v="6"/>
    <n v="0"/>
    <d v="2025-08-11T00:00:00"/>
    <x v="6"/>
  </r>
  <r>
    <x v="1"/>
    <s v="Inducción y bienvenida"/>
    <n v="45862"/>
    <n v="45869"/>
    <n v="2.5"/>
    <n v="2.5"/>
    <n v="20"/>
    <n v="4"/>
    <n v="0.41666666666666669"/>
    <x v="7"/>
    <n v="0"/>
    <d v="2025-08-18T00:00:00"/>
    <x v="7"/>
  </r>
  <r>
    <x v="1"/>
    <s v="Inducción y bienvenida"/>
    <n v="45862"/>
    <n v="45869"/>
    <n v="2.5"/>
    <n v="2.5"/>
    <n v="20"/>
    <n v="4"/>
    <n v="0.41666666666666669"/>
    <x v="8"/>
    <n v="0"/>
    <d v="2025-08-25T00:00:00"/>
    <x v="8"/>
  </r>
  <r>
    <x v="1"/>
    <s v="Inducción y bienvenida"/>
    <n v="45862"/>
    <n v="45869"/>
    <n v="2.5"/>
    <n v="2.5"/>
    <n v="20"/>
    <n v="4"/>
    <n v="0.41666666666666669"/>
    <x v="9"/>
    <n v="0"/>
    <d v="2025-06-30T00:00:00"/>
    <x v="0"/>
  </r>
  <r>
    <x v="1"/>
    <s v="Inducción y bienvenida"/>
    <n v="45862"/>
    <n v="45869"/>
    <n v="2.5"/>
    <n v="2.5"/>
    <n v="20"/>
    <n v="4"/>
    <n v="0.41666666666666669"/>
    <x v="10"/>
    <n v="0"/>
    <d v="2025-06-30T00:00:00"/>
    <x v="0"/>
  </r>
  <r>
    <x v="1"/>
    <s v="Inducción y bienvenida"/>
    <n v="45862"/>
    <n v="45869"/>
    <n v="2.5"/>
    <n v="2.5"/>
    <n v="20"/>
    <n v="4"/>
    <n v="0.41666666666666669"/>
    <x v="11"/>
    <n v="0"/>
    <d v="2025-06-30T00:00:00"/>
    <x v="0"/>
  </r>
  <r>
    <x v="1"/>
    <s v="Selección"/>
    <n v="45863"/>
    <n v="45870"/>
    <n v="10"/>
    <n v="10"/>
    <n v="21"/>
    <n v="4.2"/>
    <n v="1.6666666666666667"/>
    <x v="0"/>
    <n v="0"/>
    <d v="2025-06-30T00:00:00"/>
    <x v="0"/>
  </r>
  <r>
    <x v="1"/>
    <s v="Selección"/>
    <n v="45863"/>
    <n v="45870"/>
    <n v="10"/>
    <n v="10"/>
    <n v="21"/>
    <n v="4.2"/>
    <n v="1.6666666666666667"/>
    <x v="1"/>
    <n v="0"/>
    <d v="2025-07-07T00:00:00"/>
    <x v="1"/>
  </r>
  <r>
    <x v="1"/>
    <s v="Selección"/>
    <n v="45863"/>
    <n v="45870"/>
    <n v="10"/>
    <n v="10"/>
    <n v="21"/>
    <n v="4.2"/>
    <n v="1.6666666666666667"/>
    <x v="2"/>
    <n v="0"/>
    <d v="2025-07-14T00:00:00"/>
    <x v="2"/>
  </r>
  <r>
    <x v="1"/>
    <s v="Selección"/>
    <n v="45863"/>
    <n v="45870"/>
    <n v="10"/>
    <n v="10"/>
    <n v="21"/>
    <n v="4.2"/>
    <n v="1.6666666666666667"/>
    <x v="3"/>
    <n v="1.666666666666667"/>
    <d v="2025-07-21T00:00:00"/>
    <x v="3"/>
  </r>
  <r>
    <x v="1"/>
    <s v="Selección"/>
    <n v="45863"/>
    <n v="45870"/>
    <n v="10"/>
    <n v="10"/>
    <n v="21"/>
    <n v="4.2"/>
    <n v="1.6666666666666667"/>
    <x v="4"/>
    <n v="8.3333333333333339"/>
    <d v="2025-07-28T00:00:00"/>
    <x v="4"/>
  </r>
  <r>
    <x v="1"/>
    <s v="Selección"/>
    <n v="45863"/>
    <n v="45870"/>
    <n v="10"/>
    <n v="10"/>
    <n v="21"/>
    <n v="4.2"/>
    <n v="1.6666666666666667"/>
    <x v="5"/>
    <n v="0"/>
    <d v="2025-08-04T00:00:00"/>
    <x v="5"/>
  </r>
  <r>
    <x v="1"/>
    <s v="Selección"/>
    <n v="45863"/>
    <n v="45870"/>
    <n v="10"/>
    <n v="10"/>
    <n v="21"/>
    <n v="4.2"/>
    <n v="1.6666666666666667"/>
    <x v="6"/>
    <n v="0"/>
    <d v="2025-08-11T00:00:00"/>
    <x v="6"/>
  </r>
  <r>
    <x v="1"/>
    <s v="Selección"/>
    <n v="45863"/>
    <n v="45870"/>
    <n v="10"/>
    <n v="10"/>
    <n v="21"/>
    <n v="4.2"/>
    <n v="1.6666666666666667"/>
    <x v="7"/>
    <n v="0"/>
    <d v="2025-08-18T00:00:00"/>
    <x v="7"/>
  </r>
  <r>
    <x v="1"/>
    <s v="Selección"/>
    <n v="45863"/>
    <n v="45870"/>
    <n v="10"/>
    <n v="10"/>
    <n v="21"/>
    <n v="4.2"/>
    <n v="1.6666666666666667"/>
    <x v="8"/>
    <n v="0"/>
    <d v="2025-08-25T00:00:00"/>
    <x v="8"/>
  </r>
  <r>
    <x v="1"/>
    <s v="Selección"/>
    <n v="45863"/>
    <n v="45870"/>
    <n v="10"/>
    <n v="10"/>
    <n v="21"/>
    <n v="4.2"/>
    <n v="1.6666666666666667"/>
    <x v="9"/>
    <n v="0"/>
    <d v="2025-06-30T00:00:00"/>
    <x v="0"/>
  </r>
  <r>
    <x v="1"/>
    <s v="Selección"/>
    <n v="45863"/>
    <n v="45870"/>
    <n v="10"/>
    <n v="10"/>
    <n v="21"/>
    <n v="4.2"/>
    <n v="1.6666666666666667"/>
    <x v="10"/>
    <n v="0"/>
    <d v="2025-06-30T00:00:00"/>
    <x v="0"/>
  </r>
  <r>
    <x v="1"/>
    <s v="Selección"/>
    <n v="45863"/>
    <n v="45870"/>
    <n v="10"/>
    <n v="10"/>
    <n v="21"/>
    <n v="4.2"/>
    <n v="1.6666666666666667"/>
    <x v="11"/>
    <n v="0"/>
    <d v="2025-06-30T00:00:00"/>
    <x v="0"/>
  </r>
  <r>
    <x v="2"/>
    <s v="Evaluación del desempeño"/>
    <n v="45841"/>
    <n v="45849"/>
    <n v="10"/>
    <n v="5.7142857142857144"/>
    <n v="6"/>
    <n v="1.2"/>
    <n v="1.4285714285714286"/>
    <x v="0"/>
    <n v="4.4408920985006262E-16"/>
    <d v="2025-06-30T00:00:00"/>
    <x v="0"/>
  </r>
  <r>
    <x v="2"/>
    <s v="Evaluación del desempeño"/>
    <n v="45841"/>
    <n v="45849"/>
    <n v="10"/>
    <n v="5.7142857142857144"/>
    <n v="6"/>
    <n v="1.2"/>
    <n v="1.4285714285714286"/>
    <x v="1"/>
    <n v="7.1428571428571432"/>
    <d v="2025-07-07T00:00:00"/>
    <x v="1"/>
  </r>
  <r>
    <x v="2"/>
    <s v="Evaluación del desempeño"/>
    <n v="45841"/>
    <n v="45849"/>
    <n v="10"/>
    <n v="5.7142857142857144"/>
    <n v="6"/>
    <n v="1.2"/>
    <n v="1.4285714285714286"/>
    <x v="2"/>
    <n v="0"/>
    <d v="2025-07-14T00:00:00"/>
    <x v="2"/>
  </r>
  <r>
    <x v="2"/>
    <s v="Evaluación del desempeño"/>
    <n v="45841"/>
    <n v="45849"/>
    <n v="10"/>
    <n v="5.7142857142857144"/>
    <n v="6"/>
    <n v="1.2"/>
    <n v="1.4285714285714286"/>
    <x v="3"/>
    <n v="0"/>
    <d v="2025-07-21T00:00:00"/>
    <x v="3"/>
  </r>
  <r>
    <x v="2"/>
    <s v="Evaluación del desempeño"/>
    <n v="45841"/>
    <n v="45849"/>
    <n v="10"/>
    <n v="5.7142857142857144"/>
    <n v="6"/>
    <n v="1.2"/>
    <n v="1.4285714285714286"/>
    <x v="4"/>
    <n v="0"/>
    <d v="2025-07-28T00:00:00"/>
    <x v="4"/>
  </r>
  <r>
    <x v="2"/>
    <s v="Evaluación del desempeño"/>
    <n v="45841"/>
    <n v="45849"/>
    <n v="10"/>
    <n v="5.7142857142857144"/>
    <n v="6"/>
    <n v="1.2"/>
    <n v="1.4285714285714286"/>
    <x v="5"/>
    <n v="0"/>
    <d v="2025-08-04T00:00:00"/>
    <x v="5"/>
  </r>
  <r>
    <x v="2"/>
    <s v="Evaluación del desempeño"/>
    <n v="45841"/>
    <n v="45849"/>
    <n v="10"/>
    <n v="5.7142857142857144"/>
    <n v="6"/>
    <n v="1.2"/>
    <n v="1.4285714285714286"/>
    <x v="6"/>
    <n v="0"/>
    <d v="2025-08-11T00:00:00"/>
    <x v="6"/>
  </r>
  <r>
    <x v="2"/>
    <s v="Evaluación del desempeño"/>
    <n v="45841"/>
    <n v="45849"/>
    <n v="10"/>
    <n v="5.7142857142857144"/>
    <n v="6"/>
    <n v="1.2"/>
    <n v="1.4285714285714286"/>
    <x v="7"/>
    <n v="0"/>
    <d v="2025-08-18T00:00:00"/>
    <x v="7"/>
  </r>
  <r>
    <x v="2"/>
    <s v="Evaluación del desempeño"/>
    <n v="45841"/>
    <n v="45849"/>
    <n v="10"/>
    <n v="5.7142857142857144"/>
    <n v="6"/>
    <n v="1.2"/>
    <n v="1.4285714285714286"/>
    <x v="8"/>
    <n v="0"/>
    <d v="2025-08-25T00:00:00"/>
    <x v="8"/>
  </r>
  <r>
    <x v="2"/>
    <s v="Evaluación del desempeño"/>
    <n v="45841"/>
    <n v="45849"/>
    <n v="10"/>
    <n v="5.7142857142857144"/>
    <n v="6"/>
    <n v="1.2"/>
    <n v="1.4285714285714286"/>
    <x v="9"/>
    <n v="0"/>
    <d v="2025-06-30T00:00:00"/>
    <x v="0"/>
  </r>
  <r>
    <x v="2"/>
    <s v="Evaluación del desempeño"/>
    <n v="45841"/>
    <n v="45849"/>
    <n v="10"/>
    <n v="5.7142857142857144"/>
    <n v="6"/>
    <n v="1.2"/>
    <n v="1.4285714285714286"/>
    <x v="10"/>
    <n v="0"/>
    <d v="2025-06-30T00:00:00"/>
    <x v="0"/>
  </r>
  <r>
    <x v="2"/>
    <s v="Evaluación del desempeño"/>
    <n v="45841"/>
    <n v="45849"/>
    <n v="10"/>
    <n v="5.7142857142857144"/>
    <n v="6"/>
    <n v="1.2"/>
    <n v="1.4285714285714286"/>
    <x v="11"/>
    <n v="0"/>
    <d v="2025-06-30T00:00:00"/>
    <x v="0"/>
  </r>
  <r>
    <x v="2"/>
    <s v="Inducción y bienvenida"/>
    <n v="45841"/>
    <n v="45848"/>
    <n v="2.5"/>
    <n v="1.25"/>
    <n v="5"/>
    <n v="1"/>
    <n v="0.41666666666666669"/>
    <x v="0"/>
    <n v="1.1102230246251565E-16"/>
    <d v="2025-06-30T00:00:00"/>
    <x v="0"/>
  </r>
  <r>
    <x v="2"/>
    <s v="Inducción y bienvenida"/>
    <n v="45841"/>
    <n v="45848"/>
    <n v="2.5"/>
    <n v="1.25"/>
    <n v="5"/>
    <n v="1"/>
    <n v="0.41666666666666669"/>
    <x v="1"/>
    <n v="1.6666666666666667"/>
    <d v="2025-07-07T00:00:00"/>
    <x v="1"/>
  </r>
  <r>
    <x v="2"/>
    <s v="Inducción y bienvenida"/>
    <n v="45841"/>
    <n v="45848"/>
    <n v="2.5"/>
    <n v="1.25"/>
    <n v="5"/>
    <n v="1"/>
    <n v="0.41666666666666669"/>
    <x v="2"/>
    <n v="0"/>
    <d v="2025-07-14T00:00:00"/>
    <x v="2"/>
  </r>
  <r>
    <x v="2"/>
    <s v="Inducción y bienvenida"/>
    <n v="45841"/>
    <n v="45848"/>
    <n v="2.5"/>
    <n v="1.25"/>
    <n v="5"/>
    <n v="1"/>
    <n v="0.41666666666666669"/>
    <x v="3"/>
    <n v="0"/>
    <d v="2025-07-21T00:00:00"/>
    <x v="3"/>
  </r>
  <r>
    <x v="2"/>
    <s v="Inducción y bienvenida"/>
    <n v="45841"/>
    <n v="45848"/>
    <n v="2.5"/>
    <n v="1.25"/>
    <n v="5"/>
    <n v="1"/>
    <n v="0.41666666666666669"/>
    <x v="4"/>
    <n v="0"/>
    <d v="2025-07-28T00:00:00"/>
    <x v="4"/>
  </r>
  <r>
    <x v="2"/>
    <s v="Inducción y bienvenida"/>
    <n v="45841"/>
    <n v="45848"/>
    <n v="2.5"/>
    <n v="1.25"/>
    <n v="5"/>
    <n v="1"/>
    <n v="0.41666666666666669"/>
    <x v="5"/>
    <n v="0"/>
    <d v="2025-08-04T00:00:00"/>
    <x v="5"/>
  </r>
  <r>
    <x v="2"/>
    <s v="Inducción y bienvenida"/>
    <n v="45841"/>
    <n v="45848"/>
    <n v="2.5"/>
    <n v="1.25"/>
    <n v="5"/>
    <n v="1"/>
    <n v="0.41666666666666669"/>
    <x v="6"/>
    <n v="0"/>
    <d v="2025-08-11T00:00:00"/>
    <x v="6"/>
  </r>
  <r>
    <x v="2"/>
    <s v="Inducción y bienvenida"/>
    <n v="45841"/>
    <n v="45848"/>
    <n v="2.5"/>
    <n v="1.25"/>
    <n v="5"/>
    <n v="1"/>
    <n v="0.41666666666666669"/>
    <x v="7"/>
    <n v="0"/>
    <d v="2025-08-18T00:00:00"/>
    <x v="7"/>
  </r>
  <r>
    <x v="2"/>
    <s v="Inducción y bienvenida"/>
    <n v="45841"/>
    <n v="45848"/>
    <n v="2.5"/>
    <n v="1.25"/>
    <n v="5"/>
    <n v="1"/>
    <n v="0.41666666666666669"/>
    <x v="8"/>
    <n v="0"/>
    <d v="2025-08-25T00:00:00"/>
    <x v="8"/>
  </r>
  <r>
    <x v="2"/>
    <s v="Inducción y bienvenida"/>
    <n v="45841"/>
    <n v="45848"/>
    <n v="2.5"/>
    <n v="1.25"/>
    <n v="5"/>
    <n v="1"/>
    <n v="0.41666666666666669"/>
    <x v="9"/>
    <n v="0"/>
    <d v="2025-06-30T00:00:00"/>
    <x v="0"/>
  </r>
  <r>
    <x v="2"/>
    <s v="Inducción y bienvenida"/>
    <n v="45841"/>
    <n v="45848"/>
    <n v="2.5"/>
    <n v="1.25"/>
    <n v="5"/>
    <n v="1"/>
    <n v="0.41666666666666669"/>
    <x v="10"/>
    <n v="0"/>
    <d v="2025-06-30T00:00:00"/>
    <x v="0"/>
  </r>
  <r>
    <x v="2"/>
    <s v="Inducción y bienvenida"/>
    <n v="45841"/>
    <n v="45848"/>
    <n v="2.5"/>
    <n v="1.25"/>
    <n v="5"/>
    <n v="1"/>
    <n v="0.41666666666666669"/>
    <x v="11"/>
    <n v="0"/>
    <d v="2025-06-30T00:00:00"/>
    <x v="0"/>
  </r>
  <r>
    <x v="2"/>
    <s v="Evaluación del desempeño"/>
    <n v="45855"/>
    <n v="45863"/>
    <n v="10"/>
    <n v="10"/>
    <n v="16"/>
    <n v="3.2"/>
    <n v="1.4285714285714286"/>
    <x v="0"/>
    <n v="0"/>
    <d v="2025-06-30T00:00:00"/>
    <x v="0"/>
  </r>
  <r>
    <x v="2"/>
    <s v="Evaluación del desempeño"/>
    <n v="45855"/>
    <n v="45863"/>
    <n v="10"/>
    <n v="10"/>
    <n v="16"/>
    <n v="3.2"/>
    <n v="1.4285714285714286"/>
    <x v="1"/>
    <n v="0"/>
    <d v="2025-07-07T00:00:00"/>
    <x v="1"/>
  </r>
  <r>
    <x v="2"/>
    <s v="Evaluación del desempeño"/>
    <n v="45855"/>
    <n v="45863"/>
    <n v="10"/>
    <n v="10"/>
    <n v="16"/>
    <n v="3.2"/>
    <n v="1.4285714285714286"/>
    <x v="2"/>
    <n v="2.8571428571428577"/>
    <d v="2025-07-14T00:00:00"/>
    <x v="2"/>
  </r>
  <r>
    <x v="2"/>
    <s v="Evaluación del desempeño"/>
    <n v="45855"/>
    <n v="45863"/>
    <n v="10"/>
    <n v="10"/>
    <n v="16"/>
    <n v="3.2"/>
    <n v="1.4285714285714286"/>
    <x v="3"/>
    <n v="7.1428571428571432"/>
    <d v="2025-07-21T00:00:00"/>
    <x v="3"/>
  </r>
  <r>
    <x v="2"/>
    <s v="Evaluación del desempeño"/>
    <n v="45855"/>
    <n v="45863"/>
    <n v="10"/>
    <n v="10"/>
    <n v="16"/>
    <n v="3.2"/>
    <n v="1.4285714285714286"/>
    <x v="4"/>
    <n v="0"/>
    <d v="2025-07-28T00:00:00"/>
    <x v="4"/>
  </r>
  <r>
    <x v="2"/>
    <s v="Evaluación del desempeño"/>
    <n v="45855"/>
    <n v="45863"/>
    <n v="10"/>
    <n v="10"/>
    <n v="16"/>
    <n v="3.2"/>
    <n v="1.4285714285714286"/>
    <x v="5"/>
    <n v="0"/>
    <d v="2025-08-04T00:00:00"/>
    <x v="5"/>
  </r>
  <r>
    <x v="2"/>
    <s v="Evaluación del desempeño"/>
    <n v="45855"/>
    <n v="45863"/>
    <n v="10"/>
    <n v="10"/>
    <n v="16"/>
    <n v="3.2"/>
    <n v="1.4285714285714286"/>
    <x v="6"/>
    <n v="0"/>
    <d v="2025-08-11T00:00:00"/>
    <x v="6"/>
  </r>
  <r>
    <x v="2"/>
    <s v="Evaluación del desempeño"/>
    <n v="45855"/>
    <n v="45863"/>
    <n v="10"/>
    <n v="10"/>
    <n v="16"/>
    <n v="3.2"/>
    <n v="1.4285714285714286"/>
    <x v="7"/>
    <n v="0"/>
    <d v="2025-08-18T00:00:00"/>
    <x v="7"/>
  </r>
  <r>
    <x v="2"/>
    <s v="Evaluación del desempeño"/>
    <n v="45855"/>
    <n v="45863"/>
    <n v="10"/>
    <n v="10"/>
    <n v="16"/>
    <n v="3.2"/>
    <n v="1.4285714285714286"/>
    <x v="8"/>
    <n v="0"/>
    <d v="2025-08-25T00:00:00"/>
    <x v="8"/>
  </r>
  <r>
    <x v="2"/>
    <s v="Evaluación del desempeño"/>
    <n v="45855"/>
    <n v="45863"/>
    <n v="10"/>
    <n v="10"/>
    <n v="16"/>
    <n v="3.2"/>
    <n v="1.4285714285714286"/>
    <x v="9"/>
    <n v="0"/>
    <d v="2025-06-30T00:00:00"/>
    <x v="0"/>
  </r>
  <r>
    <x v="2"/>
    <s v="Evaluación del desempeño"/>
    <n v="45855"/>
    <n v="45863"/>
    <n v="10"/>
    <n v="10"/>
    <n v="16"/>
    <n v="3.2"/>
    <n v="1.4285714285714286"/>
    <x v="10"/>
    <n v="0"/>
    <d v="2025-06-30T00:00:00"/>
    <x v="0"/>
  </r>
  <r>
    <x v="2"/>
    <s v="Evaluación del desempeño"/>
    <n v="45855"/>
    <n v="45863"/>
    <n v="10"/>
    <n v="10"/>
    <n v="16"/>
    <n v="3.2"/>
    <n v="1.4285714285714286"/>
    <x v="11"/>
    <n v="0"/>
    <d v="2025-06-30T00:00:00"/>
    <x v="0"/>
  </r>
  <r>
    <x v="2"/>
    <s v="Inducción y bienvenida"/>
    <n v="45855"/>
    <n v="45862"/>
    <n v="2.5"/>
    <n v="2.5"/>
    <n v="15"/>
    <n v="3"/>
    <n v="0.41666666666666669"/>
    <x v="0"/>
    <n v="0"/>
    <d v="2025-06-30T00:00:00"/>
    <x v="0"/>
  </r>
  <r>
    <x v="2"/>
    <s v="Inducción y bienvenida"/>
    <n v="45855"/>
    <n v="45862"/>
    <n v="2.5"/>
    <n v="2.5"/>
    <n v="15"/>
    <n v="3"/>
    <n v="0.41666666666666669"/>
    <x v="1"/>
    <n v="0"/>
    <d v="2025-07-07T00:00:00"/>
    <x v="1"/>
  </r>
  <r>
    <x v="2"/>
    <s v="Inducción y bienvenida"/>
    <n v="45855"/>
    <n v="45862"/>
    <n v="2.5"/>
    <n v="2.5"/>
    <n v="15"/>
    <n v="3"/>
    <n v="0.41666666666666669"/>
    <x v="2"/>
    <n v="0.83333333333333348"/>
    <d v="2025-07-14T00:00:00"/>
    <x v="2"/>
  </r>
  <r>
    <x v="2"/>
    <s v="Inducción y bienvenida"/>
    <n v="45855"/>
    <n v="45862"/>
    <n v="2.5"/>
    <n v="2.5"/>
    <n v="15"/>
    <n v="3"/>
    <n v="0.41666666666666669"/>
    <x v="3"/>
    <n v="1.6666666666666667"/>
    <d v="2025-07-21T00:00:00"/>
    <x v="3"/>
  </r>
  <r>
    <x v="2"/>
    <s v="Inducción y bienvenida"/>
    <n v="45855"/>
    <n v="45862"/>
    <n v="2.5"/>
    <n v="2.5"/>
    <n v="15"/>
    <n v="3"/>
    <n v="0.41666666666666669"/>
    <x v="4"/>
    <n v="0"/>
    <d v="2025-07-28T00:00:00"/>
    <x v="4"/>
  </r>
  <r>
    <x v="2"/>
    <s v="Inducción y bienvenida"/>
    <n v="45855"/>
    <n v="45862"/>
    <n v="2.5"/>
    <n v="2.5"/>
    <n v="15"/>
    <n v="3"/>
    <n v="0.41666666666666669"/>
    <x v="5"/>
    <n v="0"/>
    <d v="2025-08-04T00:00:00"/>
    <x v="5"/>
  </r>
  <r>
    <x v="2"/>
    <s v="Inducción y bienvenida"/>
    <n v="45855"/>
    <n v="45862"/>
    <n v="2.5"/>
    <n v="2.5"/>
    <n v="15"/>
    <n v="3"/>
    <n v="0.41666666666666669"/>
    <x v="6"/>
    <n v="0"/>
    <d v="2025-08-11T00:00:00"/>
    <x v="6"/>
  </r>
  <r>
    <x v="2"/>
    <s v="Inducción y bienvenida"/>
    <n v="45855"/>
    <n v="45862"/>
    <n v="2.5"/>
    <n v="2.5"/>
    <n v="15"/>
    <n v="3"/>
    <n v="0.41666666666666669"/>
    <x v="7"/>
    <n v="0"/>
    <d v="2025-08-18T00:00:00"/>
    <x v="7"/>
  </r>
  <r>
    <x v="2"/>
    <s v="Inducción y bienvenida"/>
    <n v="45855"/>
    <n v="45862"/>
    <n v="2.5"/>
    <n v="2.5"/>
    <n v="15"/>
    <n v="3"/>
    <n v="0.41666666666666669"/>
    <x v="8"/>
    <n v="0"/>
    <d v="2025-08-25T00:00:00"/>
    <x v="8"/>
  </r>
  <r>
    <x v="2"/>
    <s v="Inducción y bienvenida"/>
    <n v="45855"/>
    <n v="45862"/>
    <n v="2.5"/>
    <n v="2.5"/>
    <n v="15"/>
    <n v="3"/>
    <n v="0.41666666666666669"/>
    <x v="9"/>
    <n v="0"/>
    <d v="2025-06-30T00:00:00"/>
    <x v="0"/>
  </r>
  <r>
    <x v="2"/>
    <s v="Inducción y bienvenida"/>
    <n v="45855"/>
    <n v="45862"/>
    <n v="2.5"/>
    <n v="2.5"/>
    <n v="15"/>
    <n v="3"/>
    <n v="0.41666666666666669"/>
    <x v="10"/>
    <n v="0"/>
    <d v="2025-06-30T00:00:00"/>
    <x v="0"/>
  </r>
  <r>
    <x v="2"/>
    <s v="Inducción y bienvenida"/>
    <n v="45855"/>
    <n v="45862"/>
    <n v="2.5"/>
    <n v="2.5"/>
    <n v="15"/>
    <n v="3"/>
    <n v="0.41666666666666669"/>
    <x v="11"/>
    <n v="0"/>
    <d v="2025-06-30T00:00:00"/>
    <x v="0"/>
  </r>
  <r>
    <x v="2"/>
    <s v="Gestión de conflictos y relaciones laborales"/>
    <n v="45848"/>
    <n v="45855"/>
    <n v="4"/>
    <n v="4"/>
    <n v="10"/>
    <n v="2"/>
    <n v="0.66666666666666663"/>
    <x v="0"/>
    <n v="0"/>
    <d v="2025-06-30T00:00:00"/>
    <x v="0"/>
  </r>
  <r>
    <x v="2"/>
    <s v="Gestión de conflictos y relaciones laborales"/>
    <n v="45848"/>
    <n v="45855"/>
    <n v="4"/>
    <n v="4"/>
    <n v="10"/>
    <n v="2"/>
    <n v="0.66666666666666663"/>
    <x v="1"/>
    <n v="1.333333333333333"/>
    <d v="2025-07-07T00:00:00"/>
    <x v="1"/>
  </r>
  <r>
    <x v="2"/>
    <s v="Gestión de conflictos y relaciones laborales"/>
    <n v="45848"/>
    <n v="45855"/>
    <n v="4"/>
    <n v="4"/>
    <n v="10"/>
    <n v="2"/>
    <n v="0.66666666666666663"/>
    <x v="2"/>
    <n v="2.6666666666666665"/>
    <d v="2025-07-14T00:00:00"/>
    <x v="2"/>
  </r>
  <r>
    <x v="2"/>
    <s v="Gestión de conflictos y relaciones laborales"/>
    <n v="45848"/>
    <n v="45855"/>
    <n v="4"/>
    <n v="4"/>
    <n v="10"/>
    <n v="2"/>
    <n v="0.66666666666666663"/>
    <x v="3"/>
    <n v="0"/>
    <d v="2025-07-21T00:00:00"/>
    <x v="3"/>
  </r>
  <r>
    <x v="2"/>
    <s v="Gestión de conflictos y relaciones laborales"/>
    <n v="45848"/>
    <n v="45855"/>
    <n v="4"/>
    <n v="4"/>
    <n v="10"/>
    <n v="2"/>
    <n v="0.66666666666666663"/>
    <x v="4"/>
    <n v="0"/>
    <d v="2025-07-28T00:00:00"/>
    <x v="4"/>
  </r>
  <r>
    <x v="2"/>
    <s v="Gestión de conflictos y relaciones laborales"/>
    <n v="45848"/>
    <n v="45855"/>
    <n v="4"/>
    <n v="4"/>
    <n v="10"/>
    <n v="2"/>
    <n v="0.66666666666666663"/>
    <x v="5"/>
    <n v="0"/>
    <d v="2025-08-04T00:00:00"/>
    <x v="5"/>
  </r>
  <r>
    <x v="2"/>
    <s v="Gestión de conflictos y relaciones laborales"/>
    <n v="45848"/>
    <n v="45855"/>
    <n v="4"/>
    <n v="4"/>
    <n v="10"/>
    <n v="2"/>
    <n v="0.66666666666666663"/>
    <x v="6"/>
    <n v="0"/>
    <d v="2025-08-11T00:00:00"/>
    <x v="6"/>
  </r>
  <r>
    <x v="2"/>
    <s v="Gestión de conflictos y relaciones laborales"/>
    <n v="45848"/>
    <n v="45855"/>
    <n v="4"/>
    <n v="4"/>
    <n v="10"/>
    <n v="2"/>
    <n v="0.66666666666666663"/>
    <x v="7"/>
    <n v="0"/>
    <d v="2025-08-18T00:00:00"/>
    <x v="7"/>
  </r>
  <r>
    <x v="2"/>
    <s v="Gestión de conflictos y relaciones laborales"/>
    <n v="45848"/>
    <n v="45855"/>
    <n v="4"/>
    <n v="4"/>
    <n v="10"/>
    <n v="2"/>
    <n v="0.66666666666666663"/>
    <x v="8"/>
    <n v="0"/>
    <d v="2025-08-25T00:00:00"/>
    <x v="8"/>
  </r>
  <r>
    <x v="2"/>
    <s v="Gestión de conflictos y relaciones laborales"/>
    <n v="45848"/>
    <n v="45855"/>
    <n v="4"/>
    <n v="4"/>
    <n v="10"/>
    <n v="2"/>
    <n v="0.66666666666666663"/>
    <x v="9"/>
    <n v="0"/>
    <d v="2025-06-30T00:00:00"/>
    <x v="0"/>
  </r>
  <r>
    <x v="2"/>
    <s v="Gestión de conflictos y relaciones laborales"/>
    <n v="45848"/>
    <n v="45855"/>
    <n v="4"/>
    <n v="4"/>
    <n v="10"/>
    <n v="2"/>
    <n v="0.66666666666666663"/>
    <x v="10"/>
    <n v="0"/>
    <d v="2025-06-30T00:00:00"/>
    <x v="0"/>
  </r>
  <r>
    <x v="2"/>
    <s v="Gestión de conflictos y relaciones laborales"/>
    <n v="45848"/>
    <n v="45855"/>
    <n v="4"/>
    <n v="4"/>
    <n v="10"/>
    <n v="2"/>
    <n v="0.66666666666666663"/>
    <x v="11"/>
    <n v="0"/>
    <d v="2025-06-30T00:00:00"/>
    <x v="0"/>
  </r>
  <r>
    <x v="2"/>
    <s v="Reclutamiento y selección"/>
    <n v="45848"/>
    <n v="45855"/>
    <n v="6"/>
    <n v="6"/>
    <n v="10"/>
    <n v="2"/>
    <n v="1"/>
    <x v="0"/>
    <n v="0"/>
    <d v="2025-06-30T00:00:00"/>
    <x v="0"/>
  </r>
  <r>
    <x v="2"/>
    <s v="Reclutamiento y selección"/>
    <n v="45848"/>
    <n v="45855"/>
    <n v="6"/>
    <n v="6"/>
    <n v="10"/>
    <n v="2"/>
    <n v="1"/>
    <x v="1"/>
    <n v="2"/>
    <d v="2025-07-07T00:00:00"/>
    <x v="1"/>
  </r>
  <r>
    <x v="2"/>
    <s v="Reclutamiento y selección"/>
    <n v="45848"/>
    <n v="45855"/>
    <n v="6"/>
    <n v="6"/>
    <n v="10"/>
    <n v="2"/>
    <n v="1"/>
    <x v="2"/>
    <n v="4"/>
    <d v="2025-07-14T00:00:00"/>
    <x v="2"/>
  </r>
  <r>
    <x v="2"/>
    <s v="Reclutamiento y selección"/>
    <n v="45848"/>
    <n v="45855"/>
    <n v="6"/>
    <n v="6"/>
    <n v="10"/>
    <n v="2"/>
    <n v="1"/>
    <x v="3"/>
    <n v="0"/>
    <d v="2025-07-21T00:00:00"/>
    <x v="3"/>
  </r>
  <r>
    <x v="2"/>
    <s v="Reclutamiento y selección"/>
    <n v="45848"/>
    <n v="45855"/>
    <n v="6"/>
    <n v="6"/>
    <n v="10"/>
    <n v="2"/>
    <n v="1"/>
    <x v="4"/>
    <n v="0"/>
    <d v="2025-07-28T00:00:00"/>
    <x v="4"/>
  </r>
  <r>
    <x v="2"/>
    <s v="Reclutamiento y selección"/>
    <n v="45848"/>
    <n v="45855"/>
    <n v="6"/>
    <n v="6"/>
    <n v="10"/>
    <n v="2"/>
    <n v="1"/>
    <x v="5"/>
    <n v="0"/>
    <d v="2025-08-04T00:00:00"/>
    <x v="5"/>
  </r>
  <r>
    <x v="2"/>
    <s v="Reclutamiento y selección"/>
    <n v="45848"/>
    <n v="45855"/>
    <n v="6"/>
    <n v="6"/>
    <n v="10"/>
    <n v="2"/>
    <n v="1"/>
    <x v="6"/>
    <n v="0"/>
    <d v="2025-08-11T00:00:00"/>
    <x v="6"/>
  </r>
  <r>
    <x v="2"/>
    <s v="Reclutamiento y selección"/>
    <n v="45848"/>
    <n v="45855"/>
    <n v="6"/>
    <n v="6"/>
    <n v="10"/>
    <n v="2"/>
    <n v="1"/>
    <x v="7"/>
    <n v="0"/>
    <d v="2025-08-18T00:00:00"/>
    <x v="7"/>
  </r>
  <r>
    <x v="2"/>
    <s v="Reclutamiento y selección"/>
    <n v="45848"/>
    <n v="45855"/>
    <n v="6"/>
    <n v="6"/>
    <n v="10"/>
    <n v="2"/>
    <n v="1"/>
    <x v="8"/>
    <n v="0"/>
    <d v="2025-08-25T00:00:00"/>
    <x v="8"/>
  </r>
  <r>
    <x v="2"/>
    <s v="Reclutamiento y selección"/>
    <n v="45848"/>
    <n v="45855"/>
    <n v="6"/>
    <n v="6"/>
    <n v="10"/>
    <n v="2"/>
    <n v="1"/>
    <x v="9"/>
    <n v="0"/>
    <d v="2025-06-30T00:00:00"/>
    <x v="0"/>
  </r>
  <r>
    <x v="2"/>
    <s v="Reclutamiento y selección"/>
    <n v="45848"/>
    <n v="45855"/>
    <n v="6"/>
    <n v="6"/>
    <n v="10"/>
    <n v="2"/>
    <n v="1"/>
    <x v="10"/>
    <n v="0"/>
    <d v="2025-06-30T00:00:00"/>
    <x v="0"/>
  </r>
  <r>
    <x v="2"/>
    <s v="Reclutamiento y selección"/>
    <n v="45848"/>
    <n v="45855"/>
    <n v="6"/>
    <n v="6"/>
    <n v="10"/>
    <n v="2"/>
    <n v="1"/>
    <x v="11"/>
    <n v="0"/>
    <d v="2025-06-30T00:00:00"/>
    <x v="0"/>
  </r>
  <r>
    <x v="2"/>
    <s v="Administración de personal"/>
    <n v="45862"/>
    <n v="45869"/>
    <n v="3"/>
    <n v="3"/>
    <n v="20"/>
    <n v="4"/>
    <n v="0.5"/>
    <x v="0"/>
    <n v="0"/>
    <d v="2025-06-30T00:00:00"/>
    <x v="0"/>
  </r>
  <r>
    <x v="2"/>
    <s v="Administración de personal"/>
    <n v="45862"/>
    <n v="45869"/>
    <n v="3"/>
    <n v="3"/>
    <n v="20"/>
    <n v="4"/>
    <n v="0.5"/>
    <x v="1"/>
    <n v="0"/>
    <d v="2025-07-07T00:00:00"/>
    <x v="1"/>
  </r>
  <r>
    <x v="2"/>
    <s v="Administración de personal"/>
    <n v="45862"/>
    <n v="45869"/>
    <n v="3"/>
    <n v="3"/>
    <n v="20"/>
    <n v="4"/>
    <n v="0.5"/>
    <x v="2"/>
    <n v="0"/>
    <d v="2025-07-14T00:00:00"/>
    <x v="2"/>
  </r>
  <r>
    <x v="2"/>
    <s v="Administración de personal"/>
    <n v="45862"/>
    <n v="45869"/>
    <n v="3"/>
    <n v="3"/>
    <n v="20"/>
    <n v="4"/>
    <n v="0.5"/>
    <x v="3"/>
    <n v="1"/>
    <d v="2025-07-21T00:00:00"/>
    <x v="3"/>
  </r>
  <r>
    <x v="2"/>
    <s v="Administración de personal"/>
    <n v="45862"/>
    <n v="45869"/>
    <n v="3"/>
    <n v="3"/>
    <n v="20"/>
    <n v="4"/>
    <n v="0.5"/>
    <x v="4"/>
    <n v="2"/>
    <d v="2025-07-28T00:00:00"/>
    <x v="4"/>
  </r>
  <r>
    <x v="2"/>
    <s v="Administración de personal"/>
    <n v="45862"/>
    <n v="45869"/>
    <n v="3"/>
    <n v="3"/>
    <n v="20"/>
    <n v="4"/>
    <n v="0.5"/>
    <x v="5"/>
    <n v="0"/>
    <d v="2025-08-04T00:00:00"/>
    <x v="5"/>
  </r>
  <r>
    <x v="2"/>
    <s v="Administración de personal"/>
    <n v="45862"/>
    <n v="45869"/>
    <n v="3"/>
    <n v="3"/>
    <n v="20"/>
    <n v="4"/>
    <n v="0.5"/>
    <x v="6"/>
    <n v="0"/>
    <d v="2025-08-11T00:00:00"/>
    <x v="6"/>
  </r>
  <r>
    <x v="2"/>
    <s v="Administración de personal"/>
    <n v="45862"/>
    <n v="45869"/>
    <n v="3"/>
    <n v="3"/>
    <n v="20"/>
    <n v="4"/>
    <n v="0.5"/>
    <x v="7"/>
    <n v="0"/>
    <d v="2025-08-18T00:00:00"/>
    <x v="7"/>
  </r>
  <r>
    <x v="2"/>
    <s v="Administración de personal"/>
    <n v="45862"/>
    <n v="45869"/>
    <n v="3"/>
    <n v="3"/>
    <n v="20"/>
    <n v="4"/>
    <n v="0.5"/>
    <x v="8"/>
    <n v="0"/>
    <d v="2025-08-25T00:00:00"/>
    <x v="8"/>
  </r>
  <r>
    <x v="2"/>
    <s v="Administración de personal"/>
    <n v="45862"/>
    <n v="45869"/>
    <n v="3"/>
    <n v="3"/>
    <n v="20"/>
    <n v="4"/>
    <n v="0.5"/>
    <x v="9"/>
    <n v="0"/>
    <d v="2025-06-30T00:00:00"/>
    <x v="0"/>
  </r>
  <r>
    <x v="2"/>
    <s v="Administración de personal"/>
    <n v="45862"/>
    <n v="45869"/>
    <n v="3"/>
    <n v="3"/>
    <n v="20"/>
    <n v="4"/>
    <n v="0.5"/>
    <x v="10"/>
    <n v="0"/>
    <d v="2025-06-30T00:00:00"/>
    <x v="0"/>
  </r>
  <r>
    <x v="2"/>
    <s v="Administración de personal"/>
    <n v="45862"/>
    <n v="45869"/>
    <n v="3"/>
    <n v="3"/>
    <n v="20"/>
    <n v="4"/>
    <n v="0.5"/>
    <x v="11"/>
    <n v="0"/>
    <d v="2025-06-30T00:00:00"/>
    <x v="0"/>
  </r>
  <r>
    <x v="2"/>
    <s v="Reclutamiento y selección"/>
    <n v="45862"/>
    <n v="45869"/>
    <n v="6"/>
    <n v="6"/>
    <n v="20"/>
    <n v="4"/>
    <n v="1"/>
    <x v="0"/>
    <n v="0"/>
    <d v="2025-06-30T00:00:00"/>
    <x v="0"/>
  </r>
  <r>
    <x v="2"/>
    <s v="Reclutamiento y selección"/>
    <n v="45862"/>
    <n v="45869"/>
    <n v="6"/>
    <n v="6"/>
    <n v="20"/>
    <n v="4"/>
    <n v="1"/>
    <x v="1"/>
    <n v="0"/>
    <d v="2025-07-07T00:00:00"/>
    <x v="1"/>
  </r>
  <r>
    <x v="2"/>
    <s v="Reclutamiento y selección"/>
    <n v="45862"/>
    <n v="45869"/>
    <n v="6"/>
    <n v="6"/>
    <n v="20"/>
    <n v="4"/>
    <n v="1"/>
    <x v="2"/>
    <n v="0"/>
    <d v="2025-07-14T00:00:00"/>
    <x v="2"/>
  </r>
  <r>
    <x v="2"/>
    <s v="Reclutamiento y selección"/>
    <n v="45862"/>
    <n v="45869"/>
    <n v="6"/>
    <n v="6"/>
    <n v="20"/>
    <n v="4"/>
    <n v="1"/>
    <x v="3"/>
    <n v="2"/>
    <d v="2025-07-21T00:00:00"/>
    <x v="3"/>
  </r>
  <r>
    <x v="2"/>
    <s v="Reclutamiento y selección"/>
    <n v="45862"/>
    <n v="45869"/>
    <n v="6"/>
    <n v="6"/>
    <n v="20"/>
    <n v="4"/>
    <n v="1"/>
    <x v="4"/>
    <n v="4"/>
    <d v="2025-07-28T00:00:00"/>
    <x v="4"/>
  </r>
  <r>
    <x v="2"/>
    <s v="Reclutamiento y selección"/>
    <n v="45862"/>
    <n v="45869"/>
    <n v="6"/>
    <n v="6"/>
    <n v="20"/>
    <n v="4"/>
    <n v="1"/>
    <x v="5"/>
    <n v="0"/>
    <d v="2025-08-04T00:00:00"/>
    <x v="5"/>
  </r>
  <r>
    <x v="2"/>
    <s v="Reclutamiento y selección"/>
    <n v="45862"/>
    <n v="45869"/>
    <n v="6"/>
    <n v="6"/>
    <n v="20"/>
    <n v="4"/>
    <n v="1"/>
    <x v="6"/>
    <n v="0"/>
    <d v="2025-08-11T00:00:00"/>
    <x v="6"/>
  </r>
  <r>
    <x v="2"/>
    <s v="Reclutamiento y selección"/>
    <n v="45862"/>
    <n v="45869"/>
    <n v="6"/>
    <n v="6"/>
    <n v="20"/>
    <n v="4"/>
    <n v="1"/>
    <x v="7"/>
    <n v="0"/>
    <d v="2025-08-18T00:00:00"/>
    <x v="7"/>
  </r>
  <r>
    <x v="2"/>
    <s v="Reclutamiento y selección"/>
    <n v="45862"/>
    <n v="45869"/>
    <n v="6"/>
    <n v="6"/>
    <n v="20"/>
    <n v="4"/>
    <n v="1"/>
    <x v="8"/>
    <n v="0"/>
    <d v="2025-08-25T00:00:00"/>
    <x v="8"/>
  </r>
  <r>
    <x v="2"/>
    <s v="Reclutamiento y selección"/>
    <n v="45862"/>
    <n v="45869"/>
    <n v="6"/>
    <n v="6"/>
    <n v="20"/>
    <n v="4"/>
    <n v="1"/>
    <x v="9"/>
    <n v="0"/>
    <d v="2025-06-30T00:00:00"/>
    <x v="0"/>
  </r>
  <r>
    <x v="2"/>
    <s v="Reclutamiento y selección"/>
    <n v="45862"/>
    <n v="45869"/>
    <n v="6"/>
    <n v="6"/>
    <n v="20"/>
    <n v="4"/>
    <n v="1"/>
    <x v="10"/>
    <n v="0"/>
    <d v="2025-06-30T00:00:00"/>
    <x v="0"/>
  </r>
  <r>
    <x v="2"/>
    <s v="Reclutamiento y selección"/>
    <n v="45862"/>
    <n v="45869"/>
    <n v="6"/>
    <n v="6"/>
    <n v="20"/>
    <n v="4"/>
    <n v="1"/>
    <x v="11"/>
    <n v="0"/>
    <d v="2025-06-30T00:00:00"/>
    <x v="0"/>
  </r>
  <r>
    <x v="2"/>
    <s v="Gestión de conflictos y relaciones laborales"/>
    <n v="45848"/>
    <n v="45855"/>
    <n v="4"/>
    <n v="4"/>
    <n v="10"/>
    <n v="2"/>
    <n v="0.66666666666666663"/>
    <x v="0"/>
    <n v="0"/>
    <d v="2025-06-30T00:00:00"/>
    <x v="0"/>
  </r>
  <r>
    <x v="2"/>
    <s v="Gestión de conflictos y relaciones laborales"/>
    <n v="45848"/>
    <n v="45855"/>
    <n v="4"/>
    <n v="4"/>
    <n v="10"/>
    <n v="2"/>
    <n v="0.66666666666666663"/>
    <x v="1"/>
    <n v="1.333333333333333"/>
    <d v="2025-07-07T00:00:00"/>
    <x v="1"/>
  </r>
  <r>
    <x v="2"/>
    <s v="Gestión de conflictos y relaciones laborales"/>
    <n v="45848"/>
    <n v="45855"/>
    <n v="4"/>
    <n v="4"/>
    <n v="10"/>
    <n v="2"/>
    <n v="0.66666666666666663"/>
    <x v="2"/>
    <n v="2.6666666666666665"/>
    <d v="2025-07-14T00:00:00"/>
    <x v="2"/>
  </r>
  <r>
    <x v="2"/>
    <s v="Gestión de conflictos y relaciones laborales"/>
    <n v="45848"/>
    <n v="45855"/>
    <n v="4"/>
    <n v="4"/>
    <n v="10"/>
    <n v="2"/>
    <n v="0.66666666666666663"/>
    <x v="3"/>
    <n v="0"/>
    <d v="2025-07-21T00:00:00"/>
    <x v="3"/>
  </r>
  <r>
    <x v="2"/>
    <s v="Gestión de conflictos y relaciones laborales"/>
    <n v="45848"/>
    <n v="45855"/>
    <n v="4"/>
    <n v="4"/>
    <n v="10"/>
    <n v="2"/>
    <n v="0.66666666666666663"/>
    <x v="4"/>
    <n v="0"/>
    <d v="2025-07-28T00:00:00"/>
    <x v="4"/>
  </r>
  <r>
    <x v="2"/>
    <s v="Gestión de conflictos y relaciones laborales"/>
    <n v="45848"/>
    <n v="45855"/>
    <n v="4"/>
    <n v="4"/>
    <n v="10"/>
    <n v="2"/>
    <n v="0.66666666666666663"/>
    <x v="5"/>
    <n v="0"/>
    <d v="2025-08-04T00:00:00"/>
    <x v="5"/>
  </r>
  <r>
    <x v="2"/>
    <s v="Gestión de conflictos y relaciones laborales"/>
    <n v="45848"/>
    <n v="45855"/>
    <n v="4"/>
    <n v="4"/>
    <n v="10"/>
    <n v="2"/>
    <n v="0.66666666666666663"/>
    <x v="6"/>
    <n v="0"/>
    <d v="2025-08-11T00:00:00"/>
    <x v="6"/>
  </r>
  <r>
    <x v="2"/>
    <s v="Gestión de conflictos y relaciones laborales"/>
    <n v="45848"/>
    <n v="45855"/>
    <n v="4"/>
    <n v="4"/>
    <n v="10"/>
    <n v="2"/>
    <n v="0.66666666666666663"/>
    <x v="7"/>
    <n v="0"/>
    <d v="2025-08-18T00:00:00"/>
    <x v="7"/>
  </r>
  <r>
    <x v="2"/>
    <s v="Gestión de conflictos y relaciones laborales"/>
    <n v="45848"/>
    <n v="45855"/>
    <n v="4"/>
    <n v="4"/>
    <n v="10"/>
    <n v="2"/>
    <n v="0.66666666666666663"/>
    <x v="8"/>
    <n v="0"/>
    <d v="2025-08-25T00:00:00"/>
    <x v="8"/>
  </r>
  <r>
    <x v="2"/>
    <s v="Gestión de conflictos y relaciones laborales"/>
    <n v="45848"/>
    <n v="45855"/>
    <n v="4"/>
    <n v="4"/>
    <n v="10"/>
    <n v="2"/>
    <n v="0.66666666666666663"/>
    <x v="9"/>
    <n v="0"/>
    <d v="2025-06-30T00:00:00"/>
    <x v="0"/>
  </r>
  <r>
    <x v="2"/>
    <s v="Gestión de conflictos y relaciones laborales"/>
    <n v="45848"/>
    <n v="45855"/>
    <n v="4"/>
    <n v="4"/>
    <n v="10"/>
    <n v="2"/>
    <n v="0.66666666666666663"/>
    <x v="10"/>
    <n v="0"/>
    <d v="2025-06-30T00:00:00"/>
    <x v="0"/>
  </r>
  <r>
    <x v="2"/>
    <s v="Gestión de conflictos y relaciones laborales"/>
    <n v="45848"/>
    <n v="45855"/>
    <n v="4"/>
    <n v="4"/>
    <n v="10"/>
    <n v="2"/>
    <n v="0.66666666666666663"/>
    <x v="11"/>
    <n v="0"/>
    <d v="2025-06-30T00:00:00"/>
    <x v="0"/>
  </r>
  <r>
    <x v="2"/>
    <s v="Evaluación del desempeño"/>
    <n v="45848"/>
    <n v="45855"/>
    <n v="10"/>
    <n v="10"/>
    <n v="10"/>
    <n v="2"/>
    <n v="1.6666666666666667"/>
    <x v="0"/>
    <n v="0"/>
    <d v="2025-06-30T00:00:00"/>
    <x v="0"/>
  </r>
  <r>
    <x v="2"/>
    <s v="Evaluación del desempeño"/>
    <n v="45848"/>
    <n v="45855"/>
    <n v="10"/>
    <n v="10"/>
    <n v="10"/>
    <n v="2"/>
    <n v="1.6666666666666667"/>
    <x v="1"/>
    <n v="3.3333333333333339"/>
    <d v="2025-07-07T00:00:00"/>
    <x v="1"/>
  </r>
  <r>
    <x v="2"/>
    <s v="Evaluación del desempeño"/>
    <n v="45848"/>
    <n v="45855"/>
    <n v="10"/>
    <n v="10"/>
    <n v="10"/>
    <n v="2"/>
    <n v="1.6666666666666667"/>
    <x v="2"/>
    <n v="6.666666666666667"/>
    <d v="2025-07-14T00:00:00"/>
    <x v="2"/>
  </r>
  <r>
    <x v="2"/>
    <s v="Evaluación del desempeño"/>
    <n v="45848"/>
    <n v="45855"/>
    <n v="10"/>
    <n v="10"/>
    <n v="10"/>
    <n v="2"/>
    <n v="1.6666666666666667"/>
    <x v="3"/>
    <n v="0"/>
    <d v="2025-07-21T00:00:00"/>
    <x v="3"/>
  </r>
  <r>
    <x v="2"/>
    <s v="Evaluación del desempeño"/>
    <n v="45848"/>
    <n v="45855"/>
    <n v="10"/>
    <n v="10"/>
    <n v="10"/>
    <n v="2"/>
    <n v="1.6666666666666667"/>
    <x v="4"/>
    <n v="0"/>
    <d v="2025-07-28T00:00:00"/>
    <x v="4"/>
  </r>
  <r>
    <x v="2"/>
    <s v="Evaluación del desempeño"/>
    <n v="45848"/>
    <n v="45855"/>
    <n v="10"/>
    <n v="10"/>
    <n v="10"/>
    <n v="2"/>
    <n v="1.6666666666666667"/>
    <x v="5"/>
    <n v="0"/>
    <d v="2025-08-04T00:00:00"/>
    <x v="5"/>
  </r>
  <r>
    <x v="2"/>
    <s v="Evaluación del desempeño"/>
    <n v="45848"/>
    <n v="45855"/>
    <n v="10"/>
    <n v="10"/>
    <n v="10"/>
    <n v="2"/>
    <n v="1.6666666666666667"/>
    <x v="6"/>
    <n v="0"/>
    <d v="2025-08-11T00:00:00"/>
    <x v="6"/>
  </r>
  <r>
    <x v="2"/>
    <s v="Evaluación del desempeño"/>
    <n v="45848"/>
    <n v="45855"/>
    <n v="10"/>
    <n v="10"/>
    <n v="10"/>
    <n v="2"/>
    <n v="1.6666666666666667"/>
    <x v="7"/>
    <n v="0"/>
    <d v="2025-08-18T00:00:00"/>
    <x v="7"/>
  </r>
  <r>
    <x v="2"/>
    <s v="Evaluación del desempeño"/>
    <n v="45848"/>
    <n v="45855"/>
    <n v="10"/>
    <n v="10"/>
    <n v="10"/>
    <n v="2"/>
    <n v="1.6666666666666667"/>
    <x v="8"/>
    <n v="0"/>
    <d v="2025-08-25T00:00:00"/>
    <x v="8"/>
  </r>
  <r>
    <x v="2"/>
    <s v="Evaluación del desempeño"/>
    <n v="45848"/>
    <n v="45855"/>
    <n v="10"/>
    <n v="10"/>
    <n v="10"/>
    <n v="2"/>
    <n v="1.6666666666666667"/>
    <x v="9"/>
    <n v="0"/>
    <d v="2025-06-30T00:00:00"/>
    <x v="0"/>
  </r>
  <r>
    <x v="2"/>
    <s v="Evaluación del desempeño"/>
    <n v="45848"/>
    <n v="45855"/>
    <n v="10"/>
    <n v="10"/>
    <n v="10"/>
    <n v="2"/>
    <n v="1.6666666666666667"/>
    <x v="10"/>
    <n v="0"/>
    <d v="2025-06-30T00:00:00"/>
    <x v="0"/>
  </r>
  <r>
    <x v="2"/>
    <s v="Evaluación del desempeño"/>
    <n v="45848"/>
    <n v="45855"/>
    <n v="10"/>
    <n v="10"/>
    <n v="10"/>
    <n v="2"/>
    <n v="1.6666666666666667"/>
    <x v="11"/>
    <n v="0"/>
    <d v="2025-06-30T00:00:00"/>
    <x v="0"/>
  </r>
  <r>
    <x v="2"/>
    <s v="Gestión de salud y seguridad ocupacional"/>
    <n v="45862"/>
    <n v="45869"/>
    <n v="2.5"/>
    <n v="2.5"/>
    <n v="20"/>
    <n v="4"/>
    <n v="0.41666666666666669"/>
    <x v="0"/>
    <n v="0"/>
    <d v="2025-06-30T00:00:00"/>
    <x v="0"/>
  </r>
  <r>
    <x v="2"/>
    <s v="Gestión de salud y seguridad ocupacional"/>
    <n v="45862"/>
    <n v="45869"/>
    <n v="2.5"/>
    <n v="2.5"/>
    <n v="20"/>
    <n v="4"/>
    <n v="0.41666666666666669"/>
    <x v="1"/>
    <n v="0"/>
    <d v="2025-07-07T00:00:00"/>
    <x v="1"/>
  </r>
  <r>
    <x v="2"/>
    <s v="Gestión de salud y seguridad ocupacional"/>
    <n v="45862"/>
    <n v="45869"/>
    <n v="2.5"/>
    <n v="2.5"/>
    <n v="20"/>
    <n v="4"/>
    <n v="0.41666666666666669"/>
    <x v="2"/>
    <n v="0"/>
    <d v="2025-07-14T00:00:00"/>
    <x v="2"/>
  </r>
  <r>
    <x v="2"/>
    <s v="Gestión de salud y seguridad ocupacional"/>
    <n v="45862"/>
    <n v="45869"/>
    <n v="2.5"/>
    <n v="2.5"/>
    <n v="20"/>
    <n v="4"/>
    <n v="0.41666666666666669"/>
    <x v="3"/>
    <n v="0.83333333333333348"/>
    <d v="2025-07-21T00:00:00"/>
    <x v="3"/>
  </r>
  <r>
    <x v="2"/>
    <s v="Gestión de salud y seguridad ocupacional"/>
    <n v="45862"/>
    <n v="45869"/>
    <n v="2.5"/>
    <n v="2.5"/>
    <n v="20"/>
    <n v="4"/>
    <n v="0.41666666666666669"/>
    <x v="4"/>
    <n v="1.6666666666666667"/>
    <d v="2025-07-28T00:00:00"/>
    <x v="4"/>
  </r>
  <r>
    <x v="2"/>
    <s v="Gestión de salud y seguridad ocupacional"/>
    <n v="45862"/>
    <n v="45869"/>
    <n v="2.5"/>
    <n v="2.5"/>
    <n v="20"/>
    <n v="4"/>
    <n v="0.41666666666666669"/>
    <x v="5"/>
    <n v="0"/>
    <d v="2025-08-04T00:00:00"/>
    <x v="5"/>
  </r>
  <r>
    <x v="2"/>
    <s v="Gestión de salud y seguridad ocupacional"/>
    <n v="45862"/>
    <n v="45869"/>
    <n v="2.5"/>
    <n v="2.5"/>
    <n v="20"/>
    <n v="4"/>
    <n v="0.41666666666666669"/>
    <x v="6"/>
    <n v="0"/>
    <d v="2025-08-11T00:00:00"/>
    <x v="6"/>
  </r>
  <r>
    <x v="2"/>
    <s v="Gestión de salud y seguridad ocupacional"/>
    <n v="45862"/>
    <n v="45869"/>
    <n v="2.5"/>
    <n v="2.5"/>
    <n v="20"/>
    <n v="4"/>
    <n v="0.41666666666666669"/>
    <x v="7"/>
    <n v="0"/>
    <d v="2025-08-18T00:00:00"/>
    <x v="7"/>
  </r>
  <r>
    <x v="2"/>
    <s v="Gestión de salud y seguridad ocupacional"/>
    <n v="45862"/>
    <n v="45869"/>
    <n v="2.5"/>
    <n v="2.5"/>
    <n v="20"/>
    <n v="4"/>
    <n v="0.41666666666666669"/>
    <x v="8"/>
    <n v="0"/>
    <d v="2025-08-25T00:00:00"/>
    <x v="8"/>
  </r>
  <r>
    <x v="2"/>
    <s v="Gestión de salud y seguridad ocupacional"/>
    <n v="45862"/>
    <n v="45869"/>
    <n v="2.5"/>
    <n v="2.5"/>
    <n v="20"/>
    <n v="4"/>
    <n v="0.41666666666666669"/>
    <x v="9"/>
    <n v="0"/>
    <d v="2025-06-30T00:00:00"/>
    <x v="0"/>
  </r>
  <r>
    <x v="2"/>
    <s v="Gestión de salud y seguridad ocupacional"/>
    <n v="45862"/>
    <n v="45869"/>
    <n v="2.5"/>
    <n v="2.5"/>
    <n v="20"/>
    <n v="4"/>
    <n v="0.41666666666666669"/>
    <x v="10"/>
    <n v="0"/>
    <d v="2025-06-30T00:00:00"/>
    <x v="0"/>
  </r>
  <r>
    <x v="2"/>
    <s v="Gestión de salud y seguridad ocupacional"/>
    <n v="45862"/>
    <n v="45869"/>
    <n v="2.5"/>
    <n v="2.5"/>
    <n v="20"/>
    <n v="4"/>
    <n v="0.41666666666666669"/>
    <x v="11"/>
    <n v="0"/>
    <d v="2025-06-30T00:00:00"/>
    <x v="0"/>
  </r>
  <r>
    <x v="2"/>
    <s v="Gestión del clima laboral"/>
    <n v="45862"/>
    <n v="45869"/>
    <n v="3.5"/>
    <n v="3.5"/>
    <n v="20"/>
    <n v="4"/>
    <n v="0.58333333333333337"/>
    <x v="0"/>
    <n v="0"/>
    <d v="2025-06-30T00:00:00"/>
    <x v="0"/>
  </r>
  <r>
    <x v="2"/>
    <s v="Gestión del clima laboral"/>
    <n v="45862"/>
    <n v="45869"/>
    <n v="3.5"/>
    <n v="3.5"/>
    <n v="20"/>
    <n v="4"/>
    <n v="0.58333333333333337"/>
    <x v="1"/>
    <n v="0"/>
    <d v="2025-07-07T00:00:00"/>
    <x v="1"/>
  </r>
  <r>
    <x v="2"/>
    <s v="Gestión del clima laboral"/>
    <n v="45862"/>
    <n v="45869"/>
    <n v="3.5"/>
    <n v="3.5"/>
    <n v="20"/>
    <n v="4"/>
    <n v="0.58333333333333337"/>
    <x v="2"/>
    <n v="0"/>
    <d v="2025-07-14T00:00:00"/>
    <x v="2"/>
  </r>
  <r>
    <x v="2"/>
    <s v="Gestión del clima laboral"/>
    <n v="45862"/>
    <n v="45869"/>
    <n v="3.5"/>
    <n v="3.5"/>
    <n v="20"/>
    <n v="4"/>
    <n v="0.58333333333333337"/>
    <x v="3"/>
    <n v="1.166666666666667"/>
    <d v="2025-07-21T00:00:00"/>
    <x v="3"/>
  </r>
  <r>
    <x v="2"/>
    <s v="Gestión del clima laboral"/>
    <n v="45862"/>
    <n v="45869"/>
    <n v="3.5"/>
    <n v="3.5"/>
    <n v="20"/>
    <n v="4"/>
    <n v="0.58333333333333337"/>
    <x v="4"/>
    <n v="2.3333333333333335"/>
    <d v="2025-07-28T00:00:00"/>
    <x v="4"/>
  </r>
  <r>
    <x v="2"/>
    <s v="Gestión del clima laboral"/>
    <n v="45862"/>
    <n v="45869"/>
    <n v="3.5"/>
    <n v="3.5"/>
    <n v="20"/>
    <n v="4"/>
    <n v="0.58333333333333337"/>
    <x v="5"/>
    <n v="0"/>
    <d v="2025-08-04T00:00:00"/>
    <x v="5"/>
  </r>
  <r>
    <x v="2"/>
    <s v="Gestión del clima laboral"/>
    <n v="45862"/>
    <n v="45869"/>
    <n v="3.5"/>
    <n v="3.5"/>
    <n v="20"/>
    <n v="4"/>
    <n v="0.58333333333333337"/>
    <x v="6"/>
    <n v="0"/>
    <d v="2025-08-11T00:00:00"/>
    <x v="6"/>
  </r>
  <r>
    <x v="2"/>
    <s v="Gestión del clima laboral"/>
    <n v="45862"/>
    <n v="45869"/>
    <n v="3.5"/>
    <n v="3.5"/>
    <n v="20"/>
    <n v="4"/>
    <n v="0.58333333333333337"/>
    <x v="7"/>
    <n v="0"/>
    <d v="2025-08-18T00:00:00"/>
    <x v="7"/>
  </r>
  <r>
    <x v="2"/>
    <s v="Gestión del clima laboral"/>
    <n v="45862"/>
    <n v="45869"/>
    <n v="3.5"/>
    <n v="3.5"/>
    <n v="20"/>
    <n v="4"/>
    <n v="0.58333333333333337"/>
    <x v="8"/>
    <n v="0"/>
    <d v="2025-08-25T00:00:00"/>
    <x v="8"/>
  </r>
  <r>
    <x v="2"/>
    <s v="Gestión del clima laboral"/>
    <n v="45862"/>
    <n v="45869"/>
    <n v="3.5"/>
    <n v="3.5"/>
    <n v="20"/>
    <n v="4"/>
    <n v="0.58333333333333337"/>
    <x v="9"/>
    <n v="0"/>
    <d v="2025-06-30T00:00:00"/>
    <x v="0"/>
  </r>
  <r>
    <x v="2"/>
    <s v="Gestión del clima laboral"/>
    <n v="45862"/>
    <n v="45869"/>
    <n v="3.5"/>
    <n v="3.5"/>
    <n v="20"/>
    <n v="4"/>
    <n v="0.58333333333333337"/>
    <x v="10"/>
    <n v="0"/>
    <d v="2025-06-30T00:00:00"/>
    <x v="0"/>
  </r>
  <r>
    <x v="2"/>
    <s v="Gestión del clima laboral"/>
    <n v="45862"/>
    <n v="45869"/>
    <n v="3.5"/>
    <n v="3.5"/>
    <n v="20"/>
    <n v="4"/>
    <n v="0.58333333333333337"/>
    <x v="11"/>
    <n v="0"/>
    <d v="2025-06-30T00:00:00"/>
    <x v="0"/>
  </r>
  <r>
    <x v="3"/>
    <s v="Administración de personal"/>
    <n v="45841"/>
    <n v="45848"/>
    <n v="3"/>
    <n v="1.5"/>
    <n v="5"/>
    <n v="1"/>
    <n v="0.5"/>
    <x v="0"/>
    <n v="0"/>
    <d v="2025-06-30T00:00:00"/>
    <x v="0"/>
  </r>
  <r>
    <x v="3"/>
    <s v="Administración de personal"/>
    <n v="45841"/>
    <n v="45848"/>
    <n v="3"/>
    <n v="1.5"/>
    <n v="5"/>
    <n v="1"/>
    <n v="0.5"/>
    <x v="1"/>
    <n v="2"/>
    <d v="2025-07-07T00:00:00"/>
    <x v="1"/>
  </r>
  <r>
    <x v="3"/>
    <s v="Administración de personal"/>
    <n v="45841"/>
    <n v="45848"/>
    <n v="3"/>
    <n v="1.5"/>
    <n v="5"/>
    <n v="1"/>
    <n v="0.5"/>
    <x v="2"/>
    <n v="0"/>
    <d v="2025-07-14T00:00:00"/>
    <x v="2"/>
  </r>
  <r>
    <x v="3"/>
    <s v="Administración de personal"/>
    <n v="45841"/>
    <n v="45848"/>
    <n v="3"/>
    <n v="1.5"/>
    <n v="5"/>
    <n v="1"/>
    <n v="0.5"/>
    <x v="3"/>
    <n v="0"/>
    <d v="2025-07-21T00:00:00"/>
    <x v="3"/>
  </r>
  <r>
    <x v="3"/>
    <s v="Administración de personal"/>
    <n v="45841"/>
    <n v="45848"/>
    <n v="3"/>
    <n v="1.5"/>
    <n v="5"/>
    <n v="1"/>
    <n v="0.5"/>
    <x v="4"/>
    <n v="0"/>
    <d v="2025-07-28T00:00:00"/>
    <x v="4"/>
  </r>
  <r>
    <x v="3"/>
    <s v="Administración de personal"/>
    <n v="45841"/>
    <n v="45848"/>
    <n v="3"/>
    <n v="1.5"/>
    <n v="5"/>
    <n v="1"/>
    <n v="0.5"/>
    <x v="5"/>
    <n v="0"/>
    <d v="2025-08-04T00:00:00"/>
    <x v="5"/>
  </r>
  <r>
    <x v="3"/>
    <s v="Administración de personal"/>
    <n v="45841"/>
    <n v="45848"/>
    <n v="3"/>
    <n v="1.5"/>
    <n v="5"/>
    <n v="1"/>
    <n v="0.5"/>
    <x v="6"/>
    <n v="0"/>
    <d v="2025-08-11T00:00:00"/>
    <x v="6"/>
  </r>
  <r>
    <x v="3"/>
    <s v="Administración de personal"/>
    <n v="45841"/>
    <n v="45848"/>
    <n v="3"/>
    <n v="1.5"/>
    <n v="5"/>
    <n v="1"/>
    <n v="0.5"/>
    <x v="7"/>
    <n v="0"/>
    <d v="2025-08-18T00:00:00"/>
    <x v="7"/>
  </r>
  <r>
    <x v="3"/>
    <s v="Administración de personal"/>
    <n v="45841"/>
    <n v="45848"/>
    <n v="3"/>
    <n v="1.5"/>
    <n v="5"/>
    <n v="1"/>
    <n v="0.5"/>
    <x v="8"/>
    <n v="0"/>
    <d v="2025-08-25T00:00:00"/>
    <x v="8"/>
  </r>
  <r>
    <x v="3"/>
    <s v="Administración de personal"/>
    <n v="45841"/>
    <n v="45848"/>
    <n v="3"/>
    <n v="1.5"/>
    <n v="5"/>
    <n v="1"/>
    <n v="0.5"/>
    <x v="9"/>
    <n v="0"/>
    <d v="2025-06-30T00:00:00"/>
    <x v="0"/>
  </r>
  <r>
    <x v="3"/>
    <s v="Administración de personal"/>
    <n v="45841"/>
    <n v="45848"/>
    <n v="3"/>
    <n v="1.5"/>
    <n v="5"/>
    <n v="1"/>
    <n v="0.5"/>
    <x v="10"/>
    <n v="0"/>
    <d v="2025-06-30T00:00:00"/>
    <x v="0"/>
  </r>
  <r>
    <x v="3"/>
    <s v="Administración de personal"/>
    <n v="45841"/>
    <n v="45848"/>
    <n v="3"/>
    <n v="1.5"/>
    <n v="5"/>
    <n v="1"/>
    <n v="0.5"/>
    <x v="11"/>
    <n v="0"/>
    <d v="2025-06-30T00:00:00"/>
    <x v="0"/>
  </r>
  <r>
    <x v="3"/>
    <s v="Cumplimiento legal y normativo"/>
    <n v="45841"/>
    <n v="45847"/>
    <n v="3"/>
    <n v="1.2000000000000002"/>
    <n v="4"/>
    <n v="0.8"/>
    <n v="0.6"/>
    <x v="0"/>
    <n v="2.2204460492503131E-16"/>
    <d v="2025-06-30T00:00:00"/>
    <x v="0"/>
  </r>
  <r>
    <x v="3"/>
    <s v="Cumplimiento legal y normativo"/>
    <n v="45841"/>
    <n v="45847"/>
    <n v="3"/>
    <n v="1.2000000000000002"/>
    <n v="4"/>
    <n v="0.8"/>
    <n v="0.6"/>
    <x v="1"/>
    <n v="1.8"/>
    <d v="2025-07-07T00:00:00"/>
    <x v="1"/>
  </r>
  <r>
    <x v="3"/>
    <s v="Cumplimiento legal y normativo"/>
    <n v="45841"/>
    <n v="45847"/>
    <n v="3"/>
    <n v="1.2000000000000002"/>
    <n v="4"/>
    <n v="0.8"/>
    <n v="0.6"/>
    <x v="2"/>
    <n v="0"/>
    <d v="2025-07-14T00:00:00"/>
    <x v="2"/>
  </r>
  <r>
    <x v="3"/>
    <s v="Cumplimiento legal y normativo"/>
    <n v="45841"/>
    <n v="45847"/>
    <n v="3"/>
    <n v="1.2000000000000002"/>
    <n v="4"/>
    <n v="0.8"/>
    <n v="0.6"/>
    <x v="3"/>
    <n v="0"/>
    <d v="2025-07-21T00:00:00"/>
    <x v="3"/>
  </r>
  <r>
    <x v="3"/>
    <s v="Cumplimiento legal y normativo"/>
    <n v="45841"/>
    <n v="45847"/>
    <n v="3"/>
    <n v="1.2000000000000002"/>
    <n v="4"/>
    <n v="0.8"/>
    <n v="0.6"/>
    <x v="4"/>
    <n v="0"/>
    <d v="2025-07-28T00:00:00"/>
    <x v="4"/>
  </r>
  <r>
    <x v="3"/>
    <s v="Cumplimiento legal y normativo"/>
    <n v="45841"/>
    <n v="45847"/>
    <n v="3"/>
    <n v="1.2000000000000002"/>
    <n v="4"/>
    <n v="0.8"/>
    <n v="0.6"/>
    <x v="5"/>
    <n v="0"/>
    <d v="2025-08-04T00:00:00"/>
    <x v="5"/>
  </r>
  <r>
    <x v="3"/>
    <s v="Cumplimiento legal y normativo"/>
    <n v="45841"/>
    <n v="45847"/>
    <n v="3"/>
    <n v="1.2000000000000002"/>
    <n v="4"/>
    <n v="0.8"/>
    <n v="0.6"/>
    <x v="6"/>
    <n v="0"/>
    <d v="2025-08-11T00:00:00"/>
    <x v="6"/>
  </r>
  <r>
    <x v="3"/>
    <s v="Cumplimiento legal y normativo"/>
    <n v="45841"/>
    <n v="45847"/>
    <n v="3"/>
    <n v="1.2000000000000002"/>
    <n v="4"/>
    <n v="0.8"/>
    <n v="0.6"/>
    <x v="7"/>
    <n v="0"/>
    <d v="2025-08-18T00:00:00"/>
    <x v="7"/>
  </r>
  <r>
    <x v="3"/>
    <s v="Cumplimiento legal y normativo"/>
    <n v="45841"/>
    <n v="45847"/>
    <n v="3"/>
    <n v="1.2000000000000002"/>
    <n v="4"/>
    <n v="0.8"/>
    <n v="0.6"/>
    <x v="8"/>
    <n v="0"/>
    <d v="2025-08-25T00:00:00"/>
    <x v="8"/>
  </r>
  <r>
    <x v="3"/>
    <s v="Cumplimiento legal y normativo"/>
    <n v="45841"/>
    <n v="45847"/>
    <n v="3"/>
    <n v="1.2000000000000002"/>
    <n v="4"/>
    <n v="0.8"/>
    <n v="0.6"/>
    <x v="9"/>
    <n v="0"/>
    <d v="2025-06-30T00:00:00"/>
    <x v="0"/>
  </r>
  <r>
    <x v="3"/>
    <s v="Cumplimiento legal y normativo"/>
    <n v="45841"/>
    <n v="45847"/>
    <n v="3"/>
    <n v="1.2000000000000002"/>
    <n v="4"/>
    <n v="0.8"/>
    <n v="0.6"/>
    <x v="10"/>
    <n v="0"/>
    <d v="2025-06-30T00:00:00"/>
    <x v="0"/>
  </r>
  <r>
    <x v="3"/>
    <s v="Cumplimiento legal y normativo"/>
    <n v="45841"/>
    <n v="45847"/>
    <n v="3"/>
    <n v="1.2000000000000002"/>
    <n v="4"/>
    <n v="0.8"/>
    <n v="0.6"/>
    <x v="11"/>
    <n v="0"/>
    <d v="2025-06-30T00:00:00"/>
    <x v="0"/>
  </r>
  <r>
    <x v="3"/>
    <s v="Evaluación del desempeño"/>
    <n v="45841"/>
    <n v="45852"/>
    <n v="10"/>
    <n v="6.25"/>
    <n v="7"/>
    <n v="1.4"/>
    <n v="1.25"/>
    <x v="0"/>
    <n v="0"/>
    <d v="2025-06-30T00:00:00"/>
    <x v="0"/>
  </r>
  <r>
    <x v="3"/>
    <s v="Evaluación del desempeño"/>
    <n v="45841"/>
    <n v="45852"/>
    <n v="10"/>
    <n v="6.25"/>
    <n v="7"/>
    <n v="1.4"/>
    <n v="1.25"/>
    <x v="1"/>
    <n v="6.25"/>
    <d v="2025-07-07T00:00:00"/>
    <x v="1"/>
  </r>
  <r>
    <x v="3"/>
    <s v="Evaluación del desempeño"/>
    <n v="45841"/>
    <n v="45852"/>
    <n v="10"/>
    <n v="6.25"/>
    <n v="7"/>
    <n v="1.4"/>
    <n v="1.25"/>
    <x v="2"/>
    <n v="1.25"/>
    <d v="2025-07-14T00:00:00"/>
    <x v="2"/>
  </r>
  <r>
    <x v="3"/>
    <s v="Evaluación del desempeño"/>
    <n v="45841"/>
    <n v="45852"/>
    <n v="10"/>
    <n v="6.25"/>
    <n v="7"/>
    <n v="1.4"/>
    <n v="1.25"/>
    <x v="3"/>
    <n v="0"/>
    <d v="2025-07-21T00:00:00"/>
    <x v="3"/>
  </r>
  <r>
    <x v="3"/>
    <s v="Evaluación del desempeño"/>
    <n v="45841"/>
    <n v="45852"/>
    <n v="10"/>
    <n v="6.25"/>
    <n v="7"/>
    <n v="1.4"/>
    <n v="1.25"/>
    <x v="4"/>
    <n v="0"/>
    <d v="2025-07-28T00:00:00"/>
    <x v="4"/>
  </r>
  <r>
    <x v="3"/>
    <s v="Evaluación del desempeño"/>
    <n v="45841"/>
    <n v="45852"/>
    <n v="10"/>
    <n v="6.25"/>
    <n v="7"/>
    <n v="1.4"/>
    <n v="1.25"/>
    <x v="5"/>
    <n v="0"/>
    <d v="2025-08-04T00:00:00"/>
    <x v="5"/>
  </r>
  <r>
    <x v="3"/>
    <s v="Evaluación del desempeño"/>
    <n v="45841"/>
    <n v="45852"/>
    <n v="10"/>
    <n v="6.25"/>
    <n v="7"/>
    <n v="1.4"/>
    <n v="1.25"/>
    <x v="6"/>
    <n v="0"/>
    <d v="2025-08-11T00:00:00"/>
    <x v="6"/>
  </r>
  <r>
    <x v="3"/>
    <s v="Evaluación del desempeño"/>
    <n v="45841"/>
    <n v="45852"/>
    <n v="10"/>
    <n v="6.25"/>
    <n v="7"/>
    <n v="1.4"/>
    <n v="1.25"/>
    <x v="7"/>
    <n v="0"/>
    <d v="2025-08-18T00:00:00"/>
    <x v="7"/>
  </r>
  <r>
    <x v="3"/>
    <s v="Evaluación del desempeño"/>
    <n v="45841"/>
    <n v="45852"/>
    <n v="10"/>
    <n v="6.25"/>
    <n v="7"/>
    <n v="1.4"/>
    <n v="1.25"/>
    <x v="8"/>
    <n v="0"/>
    <d v="2025-08-25T00:00:00"/>
    <x v="8"/>
  </r>
  <r>
    <x v="3"/>
    <s v="Evaluación del desempeño"/>
    <n v="45841"/>
    <n v="45852"/>
    <n v="10"/>
    <n v="6.25"/>
    <n v="7"/>
    <n v="1.4"/>
    <n v="1.25"/>
    <x v="9"/>
    <n v="0"/>
    <d v="2025-06-30T00:00:00"/>
    <x v="0"/>
  </r>
  <r>
    <x v="3"/>
    <s v="Evaluación del desempeño"/>
    <n v="45841"/>
    <n v="45852"/>
    <n v="10"/>
    <n v="6.25"/>
    <n v="7"/>
    <n v="1.4"/>
    <n v="1.25"/>
    <x v="10"/>
    <n v="0"/>
    <d v="2025-06-30T00:00:00"/>
    <x v="0"/>
  </r>
  <r>
    <x v="3"/>
    <s v="Evaluación del desempeño"/>
    <n v="45841"/>
    <n v="45852"/>
    <n v="10"/>
    <n v="6.25"/>
    <n v="7"/>
    <n v="1.4"/>
    <n v="1.25"/>
    <x v="11"/>
    <n v="0"/>
    <d v="2025-06-30T00:00:00"/>
    <x v="0"/>
  </r>
  <r>
    <x v="3"/>
    <s v="Administración de personal"/>
    <n v="45855"/>
    <n v="45862"/>
    <n v="3"/>
    <n v="3"/>
    <n v="15"/>
    <n v="3"/>
    <n v="0.5"/>
    <x v="0"/>
    <n v="0"/>
    <d v="2025-06-30T00:00:00"/>
    <x v="0"/>
  </r>
  <r>
    <x v="3"/>
    <s v="Administración de personal"/>
    <n v="45855"/>
    <n v="45862"/>
    <n v="3"/>
    <n v="3"/>
    <n v="15"/>
    <n v="3"/>
    <n v="0.5"/>
    <x v="1"/>
    <n v="0"/>
    <d v="2025-07-07T00:00:00"/>
    <x v="1"/>
  </r>
  <r>
    <x v="3"/>
    <s v="Administración de personal"/>
    <n v="45855"/>
    <n v="45862"/>
    <n v="3"/>
    <n v="3"/>
    <n v="15"/>
    <n v="3"/>
    <n v="0.5"/>
    <x v="2"/>
    <n v="1"/>
    <d v="2025-07-14T00:00:00"/>
    <x v="2"/>
  </r>
  <r>
    <x v="3"/>
    <s v="Administración de personal"/>
    <n v="45855"/>
    <n v="45862"/>
    <n v="3"/>
    <n v="3"/>
    <n v="15"/>
    <n v="3"/>
    <n v="0.5"/>
    <x v="3"/>
    <n v="2"/>
    <d v="2025-07-21T00:00:00"/>
    <x v="3"/>
  </r>
  <r>
    <x v="3"/>
    <s v="Administración de personal"/>
    <n v="45855"/>
    <n v="45862"/>
    <n v="3"/>
    <n v="3"/>
    <n v="15"/>
    <n v="3"/>
    <n v="0.5"/>
    <x v="4"/>
    <n v="0"/>
    <d v="2025-07-28T00:00:00"/>
    <x v="4"/>
  </r>
  <r>
    <x v="3"/>
    <s v="Administración de personal"/>
    <n v="45855"/>
    <n v="45862"/>
    <n v="3"/>
    <n v="3"/>
    <n v="15"/>
    <n v="3"/>
    <n v="0.5"/>
    <x v="5"/>
    <n v="0"/>
    <d v="2025-08-04T00:00:00"/>
    <x v="5"/>
  </r>
  <r>
    <x v="3"/>
    <s v="Administración de personal"/>
    <n v="45855"/>
    <n v="45862"/>
    <n v="3"/>
    <n v="3"/>
    <n v="15"/>
    <n v="3"/>
    <n v="0.5"/>
    <x v="6"/>
    <n v="0"/>
    <d v="2025-08-11T00:00:00"/>
    <x v="6"/>
  </r>
  <r>
    <x v="3"/>
    <s v="Administración de personal"/>
    <n v="45855"/>
    <n v="45862"/>
    <n v="3"/>
    <n v="3"/>
    <n v="15"/>
    <n v="3"/>
    <n v="0.5"/>
    <x v="7"/>
    <n v="0"/>
    <d v="2025-08-18T00:00:00"/>
    <x v="7"/>
  </r>
  <r>
    <x v="3"/>
    <s v="Administración de personal"/>
    <n v="45855"/>
    <n v="45862"/>
    <n v="3"/>
    <n v="3"/>
    <n v="15"/>
    <n v="3"/>
    <n v="0.5"/>
    <x v="8"/>
    <n v="0"/>
    <d v="2025-08-25T00:00:00"/>
    <x v="8"/>
  </r>
  <r>
    <x v="3"/>
    <s v="Administración de personal"/>
    <n v="45855"/>
    <n v="45862"/>
    <n v="3"/>
    <n v="3"/>
    <n v="15"/>
    <n v="3"/>
    <n v="0.5"/>
    <x v="9"/>
    <n v="0"/>
    <d v="2025-06-30T00:00:00"/>
    <x v="0"/>
  </r>
  <r>
    <x v="3"/>
    <s v="Administración de personal"/>
    <n v="45855"/>
    <n v="45862"/>
    <n v="3"/>
    <n v="3"/>
    <n v="15"/>
    <n v="3"/>
    <n v="0.5"/>
    <x v="10"/>
    <n v="0"/>
    <d v="2025-06-30T00:00:00"/>
    <x v="0"/>
  </r>
  <r>
    <x v="3"/>
    <s v="Administración de personal"/>
    <n v="45855"/>
    <n v="45862"/>
    <n v="3"/>
    <n v="3"/>
    <n v="15"/>
    <n v="3"/>
    <n v="0.5"/>
    <x v="11"/>
    <n v="0"/>
    <d v="2025-06-30T00:00:00"/>
    <x v="0"/>
  </r>
  <r>
    <x v="3"/>
    <s v="Cumplimiento legal y normativo"/>
    <n v="45855"/>
    <n v="45861"/>
    <n v="3"/>
    <n v="3"/>
    <n v="14"/>
    <n v="2.8"/>
    <n v="0.6"/>
    <x v="0"/>
    <n v="0"/>
    <d v="2025-06-30T00:00:00"/>
    <x v="0"/>
  </r>
  <r>
    <x v="3"/>
    <s v="Cumplimiento legal y normativo"/>
    <n v="45855"/>
    <n v="45861"/>
    <n v="3"/>
    <n v="3"/>
    <n v="14"/>
    <n v="2.8"/>
    <n v="0.6"/>
    <x v="1"/>
    <n v="0"/>
    <d v="2025-07-07T00:00:00"/>
    <x v="1"/>
  </r>
  <r>
    <x v="3"/>
    <s v="Cumplimiento legal y normativo"/>
    <n v="45855"/>
    <n v="45861"/>
    <n v="3"/>
    <n v="3"/>
    <n v="14"/>
    <n v="2.8"/>
    <n v="0.6"/>
    <x v="2"/>
    <n v="1.2000000000000002"/>
    <d v="2025-07-14T00:00:00"/>
    <x v="2"/>
  </r>
  <r>
    <x v="3"/>
    <s v="Cumplimiento legal y normativo"/>
    <n v="45855"/>
    <n v="45861"/>
    <n v="3"/>
    <n v="3"/>
    <n v="14"/>
    <n v="2.8"/>
    <n v="0.6"/>
    <x v="3"/>
    <n v="1.8"/>
    <d v="2025-07-21T00:00:00"/>
    <x v="3"/>
  </r>
  <r>
    <x v="3"/>
    <s v="Cumplimiento legal y normativo"/>
    <n v="45855"/>
    <n v="45861"/>
    <n v="3"/>
    <n v="3"/>
    <n v="14"/>
    <n v="2.8"/>
    <n v="0.6"/>
    <x v="4"/>
    <n v="0"/>
    <d v="2025-07-28T00:00:00"/>
    <x v="4"/>
  </r>
  <r>
    <x v="3"/>
    <s v="Cumplimiento legal y normativo"/>
    <n v="45855"/>
    <n v="45861"/>
    <n v="3"/>
    <n v="3"/>
    <n v="14"/>
    <n v="2.8"/>
    <n v="0.6"/>
    <x v="5"/>
    <n v="0"/>
    <d v="2025-08-04T00:00:00"/>
    <x v="5"/>
  </r>
  <r>
    <x v="3"/>
    <s v="Cumplimiento legal y normativo"/>
    <n v="45855"/>
    <n v="45861"/>
    <n v="3"/>
    <n v="3"/>
    <n v="14"/>
    <n v="2.8"/>
    <n v="0.6"/>
    <x v="6"/>
    <n v="0"/>
    <d v="2025-08-11T00:00:00"/>
    <x v="6"/>
  </r>
  <r>
    <x v="3"/>
    <s v="Cumplimiento legal y normativo"/>
    <n v="45855"/>
    <n v="45861"/>
    <n v="3"/>
    <n v="3"/>
    <n v="14"/>
    <n v="2.8"/>
    <n v="0.6"/>
    <x v="7"/>
    <n v="0"/>
    <d v="2025-08-18T00:00:00"/>
    <x v="7"/>
  </r>
  <r>
    <x v="3"/>
    <s v="Cumplimiento legal y normativo"/>
    <n v="45855"/>
    <n v="45861"/>
    <n v="3"/>
    <n v="3"/>
    <n v="14"/>
    <n v="2.8"/>
    <n v="0.6"/>
    <x v="8"/>
    <n v="0"/>
    <d v="2025-08-25T00:00:00"/>
    <x v="8"/>
  </r>
  <r>
    <x v="3"/>
    <s v="Cumplimiento legal y normativo"/>
    <n v="45855"/>
    <n v="45861"/>
    <n v="3"/>
    <n v="3"/>
    <n v="14"/>
    <n v="2.8"/>
    <n v="0.6"/>
    <x v="9"/>
    <n v="0"/>
    <d v="2025-06-30T00:00:00"/>
    <x v="0"/>
  </r>
  <r>
    <x v="3"/>
    <s v="Cumplimiento legal y normativo"/>
    <n v="45855"/>
    <n v="45861"/>
    <n v="3"/>
    <n v="3"/>
    <n v="14"/>
    <n v="2.8"/>
    <n v="0.6"/>
    <x v="10"/>
    <n v="0"/>
    <d v="2025-06-30T00:00:00"/>
    <x v="0"/>
  </r>
  <r>
    <x v="3"/>
    <s v="Cumplimiento legal y normativo"/>
    <n v="45855"/>
    <n v="45861"/>
    <n v="3"/>
    <n v="3"/>
    <n v="14"/>
    <n v="2.8"/>
    <n v="0.6"/>
    <x v="11"/>
    <n v="0"/>
    <d v="2025-06-30T00:00:00"/>
    <x v="0"/>
  </r>
  <r>
    <x v="3"/>
    <s v="Evaluación del desempeño"/>
    <n v="45855"/>
    <n v="45866"/>
    <n v="10"/>
    <n v="10"/>
    <n v="17"/>
    <n v="3.4"/>
    <n v="1.25"/>
    <x v="0"/>
    <n v="0"/>
    <d v="2025-06-30T00:00:00"/>
    <x v="0"/>
  </r>
  <r>
    <x v="3"/>
    <s v="Evaluación del desempeño"/>
    <n v="45855"/>
    <n v="45866"/>
    <n v="10"/>
    <n v="10"/>
    <n v="17"/>
    <n v="3.4"/>
    <n v="1.25"/>
    <x v="1"/>
    <n v="0"/>
    <d v="2025-07-07T00:00:00"/>
    <x v="1"/>
  </r>
  <r>
    <x v="3"/>
    <s v="Evaluación del desempeño"/>
    <n v="45855"/>
    <n v="45866"/>
    <n v="10"/>
    <n v="10"/>
    <n v="17"/>
    <n v="3.4"/>
    <n v="1.25"/>
    <x v="2"/>
    <n v="2.5"/>
    <d v="2025-07-14T00:00:00"/>
    <x v="2"/>
  </r>
  <r>
    <x v="3"/>
    <s v="Evaluación del desempeño"/>
    <n v="45855"/>
    <n v="45866"/>
    <n v="10"/>
    <n v="10"/>
    <n v="17"/>
    <n v="3.4"/>
    <n v="1.25"/>
    <x v="3"/>
    <n v="6.25"/>
    <d v="2025-07-21T00:00:00"/>
    <x v="3"/>
  </r>
  <r>
    <x v="3"/>
    <s v="Evaluación del desempeño"/>
    <n v="45855"/>
    <n v="45866"/>
    <n v="10"/>
    <n v="10"/>
    <n v="17"/>
    <n v="3.4"/>
    <n v="1.25"/>
    <x v="4"/>
    <n v="1.25"/>
    <d v="2025-07-28T00:00:00"/>
    <x v="4"/>
  </r>
  <r>
    <x v="3"/>
    <s v="Evaluación del desempeño"/>
    <n v="45855"/>
    <n v="45866"/>
    <n v="10"/>
    <n v="10"/>
    <n v="17"/>
    <n v="3.4"/>
    <n v="1.25"/>
    <x v="5"/>
    <n v="0"/>
    <d v="2025-08-04T00:00:00"/>
    <x v="5"/>
  </r>
  <r>
    <x v="3"/>
    <s v="Evaluación del desempeño"/>
    <n v="45855"/>
    <n v="45866"/>
    <n v="10"/>
    <n v="10"/>
    <n v="17"/>
    <n v="3.4"/>
    <n v="1.25"/>
    <x v="6"/>
    <n v="0"/>
    <d v="2025-08-11T00:00:00"/>
    <x v="6"/>
  </r>
  <r>
    <x v="3"/>
    <s v="Evaluación del desempeño"/>
    <n v="45855"/>
    <n v="45866"/>
    <n v="10"/>
    <n v="10"/>
    <n v="17"/>
    <n v="3.4"/>
    <n v="1.25"/>
    <x v="7"/>
    <n v="0"/>
    <d v="2025-08-18T00:00:00"/>
    <x v="7"/>
  </r>
  <r>
    <x v="3"/>
    <s v="Evaluación del desempeño"/>
    <n v="45855"/>
    <n v="45866"/>
    <n v="10"/>
    <n v="10"/>
    <n v="17"/>
    <n v="3.4"/>
    <n v="1.25"/>
    <x v="8"/>
    <n v="0"/>
    <d v="2025-08-25T00:00:00"/>
    <x v="8"/>
  </r>
  <r>
    <x v="3"/>
    <s v="Evaluación del desempeño"/>
    <n v="45855"/>
    <n v="45866"/>
    <n v="10"/>
    <n v="10"/>
    <n v="17"/>
    <n v="3.4"/>
    <n v="1.25"/>
    <x v="9"/>
    <n v="0"/>
    <d v="2025-06-30T00:00:00"/>
    <x v="0"/>
  </r>
  <r>
    <x v="3"/>
    <s v="Evaluación del desempeño"/>
    <n v="45855"/>
    <n v="45866"/>
    <n v="10"/>
    <n v="10"/>
    <n v="17"/>
    <n v="3.4"/>
    <n v="1.25"/>
    <x v="10"/>
    <n v="0"/>
    <d v="2025-06-30T00:00:00"/>
    <x v="0"/>
  </r>
  <r>
    <x v="3"/>
    <s v="Evaluación del desempeño"/>
    <n v="45855"/>
    <n v="45866"/>
    <n v="10"/>
    <n v="10"/>
    <n v="17"/>
    <n v="3.4"/>
    <n v="1.25"/>
    <x v="11"/>
    <n v="0"/>
    <d v="2025-06-30T00:00:00"/>
    <x v="0"/>
  </r>
  <r>
    <x v="3"/>
    <s v="Inducción y bienvenida"/>
    <n v="45848"/>
    <n v="45855"/>
    <n v="2.5"/>
    <n v="2.5"/>
    <n v="10"/>
    <n v="2"/>
    <n v="0.41666666666666669"/>
    <x v="0"/>
    <n v="0"/>
    <d v="2025-06-30T00:00:00"/>
    <x v="0"/>
  </r>
  <r>
    <x v="3"/>
    <s v="Inducción y bienvenida"/>
    <n v="45848"/>
    <n v="45855"/>
    <n v="2.5"/>
    <n v="2.5"/>
    <n v="10"/>
    <n v="2"/>
    <n v="0.41666666666666669"/>
    <x v="1"/>
    <n v="0.83333333333333348"/>
    <d v="2025-07-07T00:00:00"/>
    <x v="1"/>
  </r>
  <r>
    <x v="3"/>
    <s v="Inducción y bienvenida"/>
    <n v="45848"/>
    <n v="45855"/>
    <n v="2.5"/>
    <n v="2.5"/>
    <n v="10"/>
    <n v="2"/>
    <n v="0.41666666666666669"/>
    <x v="2"/>
    <n v="1.6666666666666667"/>
    <d v="2025-07-14T00:00:00"/>
    <x v="2"/>
  </r>
  <r>
    <x v="3"/>
    <s v="Inducción y bienvenida"/>
    <n v="45848"/>
    <n v="45855"/>
    <n v="2.5"/>
    <n v="2.5"/>
    <n v="10"/>
    <n v="2"/>
    <n v="0.41666666666666669"/>
    <x v="3"/>
    <n v="0"/>
    <d v="2025-07-21T00:00:00"/>
    <x v="3"/>
  </r>
  <r>
    <x v="3"/>
    <s v="Inducción y bienvenida"/>
    <n v="45848"/>
    <n v="45855"/>
    <n v="2.5"/>
    <n v="2.5"/>
    <n v="10"/>
    <n v="2"/>
    <n v="0.41666666666666669"/>
    <x v="4"/>
    <n v="0"/>
    <d v="2025-07-28T00:00:00"/>
    <x v="4"/>
  </r>
  <r>
    <x v="3"/>
    <s v="Inducción y bienvenida"/>
    <n v="45848"/>
    <n v="45855"/>
    <n v="2.5"/>
    <n v="2.5"/>
    <n v="10"/>
    <n v="2"/>
    <n v="0.41666666666666669"/>
    <x v="5"/>
    <n v="0"/>
    <d v="2025-08-04T00:00:00"/>
    <x v="5"/>
  </r>
  <r>
    <x v="3"/>
    <s v="Inducción y bienvenida"/>
    <n v="45848"/>
    <n v="45855"/>
    <n v="2.5"/>
    <n v="2.5"/>
    <n v="10"/>
    <n v="2"/>
    <n v="0.41666666666666669"/>
    <x v="6"/>
    <n v="0"/>
    <d v="2025-08-11T00:00:00"/>
    <x v="6"/>
  </r>
  <r>
    <x v="3"/>
    <s v="Inducción y bienvenida"/>
    <n v="45848"/>
    <n v="45855"/>
    <n v="2.5"/>
    <n v="2.5"/>
    <n v="10"/>
    <n v="2"/>
    <n v="0.41666666666666669"/>
    <x v="7"/>
    <n v="0"/>
    <d v="2025-08-18T00:00:00"/>
    <x v="7"/>
  </r>
  <r>
    <x v="3"/>
    <s v="Inducción y bienvenida"/>
    <n v="45848"/>
    <n v="45855"/>
    <n v="2.5"/>
    <n v="2.5"/>
    <n v="10"/>
    <n v="2"/>
    <n v="0.41666666666666669"/>
    <x v="8"/>
    <n v="0"/>
    <d v="2025-08-25T00:00:00"/>
    <x v="8"/>
  </r>
  <r>
    <x v="3"/>
    <s v="Inducción y bienvenida"/>
    <n v="45848"/>
    <n v="45855"/>
    <n v="2.5"/>
    <n v="2.5"/>
    <n v="10"/>
    <n v="2"/>
    <n v="0.41666666666666669"/>
    <x v="9"/>
    <n v="0"/>
    <d v="2025-06-30T00:00:00"/>
    <x v="0"/>
  </r>
  <r>
    <x v="3"/>
    <s v="Inducción y bienvenida"/>
    <n v="45848"/>
    <n v="45855"/>
    <n v="2.5"/>
    <n v="2.5"/>
    <n v="10"/>
    <n v="2"/>
    <n v="0.41666666666666669"/>
    <x v="10"/>
    <n v="0"/>
    <d v="2025-06-30T00:00:00"/>
    <x v="0"/>
  </r>
  <r>
    <x v="3"/>
    <s v="Inducción y bienvenida"/>
    <n v="45848"/>
    <n v="45855"/>
    <n v="2.5"/>
    <n v="2.5"/>
    <n v="10"/>
    <n v="2"/>
    <n v="0.41666666666666669"/>
    <x v="11"/>
    <n v="0"/>
    <d v="2025-06-30T00:00:00"/>
    <x v="0"/>
  </r>
  <r>
    <x v="3"/>
    <s v="Administración de personal"/>
    <n v="45848"/>
    <n v="45855"/>
    <n v="3"/>
    <n v="3"/>
    <n v="10"/>
    <n v="2"/>
    <n v="0.5"/>
    <x v="0"/>
    <n v="0"/>
    <d v="2025-06-30T00:00:00"/>
    <x v="0"/>
  </r>
  <r>
    <x v="3"/>
    <s v="Administración de personal"/>
    <n v="45848"/>
    <n v="45855"/>
    <n v="3"/>
    <n v="3"/>
    <n v="10"/>
    <n v="2"/>
    <n v="0.5"/>
    <x v="1"/>
    <n v="1"/>
    <d v="2025-07-07T00:00:00"/>
    <x v="1"/>
  </r>
  <r>
    <x v="3"/>
    <s v="Administración de personal"/>
    <n v="45848"/>
    <n v="45855"/>
    <n v="3"/>
    <n v="3"/>
    <n v="10"/>
    <n v="2"/>
    <n v="0.5"/>
    <x v="2"/>
    <n v="2"/>
    <d v="2025-07-14T00:00:00"/>
    <x v="2"/>
  </r>
  <r>
    <x v="3"/>
    <s v="Administración de personal"/>
    <n v="45848"/>
    <n v="45855"/>
    <n v="3"/>
    <n v="3"/>
    <n v="10"/>
    <n v="2"/>
    <n v="0.5"/>
    <x v="3"/>
    <n v="0"/>
    <d v="2025-07-21T00:00:00"/>
    <x v="3"/>
  </r>
  <r>
    <x v="3"/>
    <s v="Administración de personal"/>
    <n v="45848"/>
    <n v="45855"/>
    <n v="3"/>
    <n v="3"/>
    <n v="10"/>
    <n v="2"/>
    <n v="0.5"/>
    <x v="4"/>
    <n v="0"/>
    <d v="2025-07-28T00:00:00"/>
    <x v="4"/>
  </r>
  <r>
    <x v="3"/>
    <s v="Administración de personal"/>
    <n v="45848"/>
    <n v="45855"/>
    <n v="3"/>
    <n v="3"/>
    <n v="10"/>
    <n v="2"/>
    <n v="0.5"/>
    <x v="5"/>
    <n v="0"/>
    <d v="2025-08-04T00:00:00"/>
    <x v="5"/>
  </r>
  <r>
    <x v="3"/>
    <s v="Administración de personal"/>
    <n v="45848"/>
    <n v="45855"/>
    <n v="3"/>
    <n v="3"/>
    <n v="10"/>
    <n v="2"/>
    <n v="0.5"/>
    <x v="6"/>
    <n v="0"/>
    <d v="2025-08-11T00:00:00"/>
    <x v="6"/>
  </r>
  <r>
    <x v="3"/>
    <s v="Administración de personal"/>
    <n v="45848"/>
    <n v="45855"/>
    <n v="3"/>
    <n v="3"/>
    <n v="10"/>
    <n v="2"/>
    <n v="0.5"/>
    <x v="7"/>
    <n v="0"/>
    <d v="2025-08-18T00:00:00"/>
    <x v="7"/>
  </r>
  <r>
    <x v="3"/>
    <s v="Administración de personal"/>
    <n v="45848"/>
    <n v="45855"/>
    <n v="3"/>
    <n v="3"/>
    <n v="10"/>
    <n v="2"/>
    <n v="0.5"/>
    <x v="8"/>
    <n v="0"/>
    <d v="2025-08-25T00:00:00"/>
    <x v="8"/>
  </r>
  <r>
    <x v="3"/>
    <s v="Administración de personal"/>
    <n v="45848"/>
    <n v="45855"/>
    <n v="3"/>
    <n v="3"/>
    <n v="10"/>
    <n v="2"/>
    <n v="0.5"/>
    <x v="9"/>
    <n v="0"/>
    <d v="2025-06-30T00:00:00"/>
    <x v="0"/>
  </r>
  <r>
    <x v="3"/>
    <s v="Administración de personal"/>
    <n v="45848"/>
    <n v="45855"/>
    <n v="3"/>
    <n v="3"/>
    <n v="10"/>
    <n v="2"/>
    <n v="0.5"/>
    <x v="10"/>
    <n v="0"/>
    <d v="2025-06-30T00:00:00"/>
    <x v="0"/>
  </r>
  <r>
    <x v="3"/>
    <s v="Administración de personal"/>
    <n v="45848"/>
    <n v="45855"/>
    <n v="3"/>
    <n v="3"/>
    <n v="10"/>
    <n v="2"/>
    <n v="0.5"/>
    <x v="11"/>
    <n v="0"/>
    <d v="2025-06-30T00:00:00"/>
    <x v="0"/>
  </r>
  <r>
    <x v="3"/>
    <s v="Inducción y bienvenida"/>
    <n v="45848"/>
    <n v="45855"/>
    <n v="2.5"/>
    <n v="2.5"/>
    <n v="10"/>
    <n v="2"/>
    <n v="0.41666666666666669"/>
    <x v="0"/>
    <n v="0"/>
    <d v="2025-06-30T00:00:00"/>
    <x v="0"/>
  </r>
  <r>
    <x v="3"/>
    <s v="Inducción y bienvenida"/>
    <n v="45848"/>
    <n v="45855"/>
    <n v="2.5"/>
    <n v="2.5"/>
    <n v="10"/>
    <n v="2"/>
    <n v="0.41666666666666669"/>
    <x v="1"/>
    <n v="0.83333333333333348"/>
    <d v="2025-07-07T00:00:00"/>
    <x v="1"/>
  </r>
  <r>
    <x v="3"/>
    <s v="Inducción y bienvenida"/>
    <n v="45848"/>
    <n v="45855"/>
    <n v="2.5"/>
    <n v="2.5"/>
    <n v="10"/>
    <n v="2"/>
    <n v="0.41666666666666669"/>
    <x v="2"/>
    <n v="1.6666666666666667"/>
    <d v="2025-07-14T00:00:00"/>
    <x v="2"/>
  </r>
  <r>
    <x v="3"/>
    <s v="Inducción y bienvenida"/>
    <n v="45848"/>
    <n v="45855"/>
    <n v="2.5"/>
    <n v="2.5"/>
    <n v="10"/>
    <n v="2"/>
    <n v="0.41666666666666669"/>
    <x v="3"/>
    <n v="0"/>
    <d v="2025-07-21T00:00:00"/>
    <x v="3"/>
  </r>
  <r>
    <x v="3"/>
    <s v="Inducción y bienvenida"/>
    <n v="45848"/>
    <n v="45855"/>
    <n v="2.5"/>
    <n v="2.5"/>
    <n v="10"/>
    <n v="2"/>
    <n v="0.41666666666666669"/>
    <x v="4"/>
    <n v="0"/>
    <d v="2025-07-28T00:00:00"/>
    <x v="4"/>
  </r>
  <r>
    <x v="3"/>
    <s v="Inducción y bienvenida"/>
    <n v="45848"/>
    <n v="45855"/>
    <n v="2.5"/>
    <n v="2.5"/>
    <n v="10"/>
    <n v="2"/>
    <n v="0.41666666666666669"/>
    <x v="5"/>
    <n v="0"/>
    <d v="2025-08-04T00:00:00"/>
    <x v="5"/>
  </r>
  <r>
    <x v="3"/>
    <s v="Inducción y bienvenida"/>
    <n v="45848"/>
    <n v="45855"/>
    <n v="2.5"/>
    <n v="2.5"/>
    <n v="10"/>
    <n v="2"/>
    <n v="0.41666666666666669"/>
    <x v="6"/>
    <n v="0"/>
    <d v="2025-08-11T00:00:00"/>
    <x v="6"/>
  </r>
  <r>
    <x v="3"/>
    <s v="Inducción y bienvenida"/>
    <n v="45848"/>
    <n v="45855"/>
    <n v="2.5"/>
    <n v="2.5"/>
    <n v="10"/>
    <n v="2"/>
    <n v="0.41666666666666669"/>
    <x v="7"/>
    <n v="0"/>
    <d v="2025-08-18T00:00:00"/>
    <x v="7"/>
  </r>
  <r>
    <x v="3"/>
    <s v="Inducción y bienvenida"/>
    <n v="45848"/>
    <n v="45855"/>
    <n v="2.5"/>
    <n v="2.5"/>
    <n v="10"/>
    <n v="2"/>
    <n v="0.41666666666666669"/>
    <x v="8"/>
    <n v="0"/>
    <d v="2025-08-25T00:00:00"/>
    <x v="8"/>
  </r>
  <r>
    <x v="3"/>
    <s v="Inducción y bienvenida"/>
    <n v="45848"/>
    <n v="45855"/>
    <n v="2.5"/>
    <n v="2.5"/>
    <n v="10"/>
    <n v="2"/>
    <n v="0.41666666666666669"/>
    <x v="9"/>
    <n v="0"/>
    <d v="2025-06-30T00:00:00"/>
    <x v="0"/>
  </r>
  <r>
    <x v="3"/>
    <s v="Inducción y bienvenida"/>
    <n v="45848"/>
    <n v="45855"/>
    <n v="2.5"/>
    <n v="2.5"/>
    <n v="10"/>
    <n v="2"/>
    <n v="0.41666666666666669"/>
    <x v="10"/>
    <n v="0"/>
    <d v="2025-06-30T00:00:00"/>
    <x v="0"/>
  </r>
  <r>
    <x v="3"/>
    <s v="Inducción y bienvenida"/>
    <n v="45848"/>
    <n v="45855"/>
    <n v="2.5"/>
    <n v="2.5"/>
    <n v="10"/>
    <n v="2"/>
    <n v="0.41666666666666669"/>
    <x v="11"/>
    <n v="0"/>
    <d v="2025-06-30T00:00:00"/>
    <x v="0"/>
  </r>
  <r>
    <x v="3"/>
    <s v="Gestión del clima laboral"/>
    <n v="45862"/>
    <n v="45869"/>
    <n v="3.5"/>
    <n v="3.5"/>
    <n v="20"/>
    <n v="4"/>
    <n v="0.58333333333333337"/>
    <x v="0"/>
    <n v="0"/>
    <d v="2025-06-30T00:00:00"/>
    <x v="0"/>
  </r>
  <r>
    <x v="3"/>
    <s v="Gestión del clima laboral"/>
    <n v="45862"/>
    <n v="45869"/>
    <n v="3.5"/>
    <n v="3.5"/>
    <n v="20"/>
    <n v="4"/>
    <n v="0.58333333333333337"/>
    <x v="1"/>
    <n v="0"/>
    <d v="2025-07-07T00:00:00"/>
    <x v="1"/>
  </r>
  <r>
    <x v="3"/>
    <s v="Gestión del clima laboral"/>
    <n v="45862"/>
    <n v="45869"/>
    <n v="3.5"/>
    <n v="3.5"/>
    <n v="20"/>
    <n v="4"/>
    <n v="0.58333333333333337"/>
    <x v="2"/>
    <n v="0"/>
    <d v="2025-07-14T00:00:00"/>
    <x v="2"/>
  </r>
  <r>
    <x v="3"/>
    <s v="Gestión del clima laboral"/>
    <n v="45862"/>
    <n v="45869"/>
    <n v="3.5"/>
    <n v="3.5"/>
    <n v="20"/>
    <n v="4"/>
    <n v="0.58333333333333337"/>
    <x v="3"/>
    <n v="1.166666666666667"/>
    <d v="2025-07-21T00:00:00"/>
    <x v="3"/>
  </r>
  <r>
    <x v="3"/>
    <s v="Gestión del clima laboral"/>
    <n v="45862"/>
    <n v="45869"/>
    <n v="3.5"/>
    <n v="3.5"/>
    <n v="20"/>
    <n v="4"/>
    <n v="0.58333333333333337"/>
    <x v="4"/>
    <n v="2.3333333333333335"/>
    <d v="2025-07-28T00:00:00"/>
    <x v="4"/>
  </r>
  <r>
    <x v="3"/>
    <s v="Gestión del clima laboral"/>
    <n v="45862"/>
    <n v="45869"/>
    <n v="3.5"/>
    <n v="3.5"/>
    <n v="20"/>
    <n v="4"/>
    <n v="0.58333333333333337"/>
    <x v="5"/>
    <n v="0"/>
    <d v="2025-08-04T00:00:00"/>
    <x v="5"/>
  </r>
  <r>
    <x v="3"/>
    <s v="Gestión del clima laboral"/>
    <n v="45862"/>
    <n v="45869"/>
    <n v="3.5"/>
    <n v="3.5"/>
    <n v="20"/>
    <n v="4"/>
    <n v="0.58333333333333337"/>
    <x v="6"/>
    <n v="0"/>
    <d v="2025-08-11T00:00:00"/>
    <x v="6"/>
  </r>
  <r>
    <x v="3"/>
    <s v="Gestión del clima laboral"/>
    <n v="45862"/>
    <n v="45869"/>
    <n v="3.5"/>
    <n v="3.5"/>
    <n v="20"/>
    <n v="4"/>
    <n v="0.58333333333333337"/>
    <x v="7"/>
    <n v="0"/>
    <d v="2025-08-18T00:00:00"/>
    <x v="7"/>
  </r>
  <r>
    <x v="3"/>
    <s v="Gestión del clima laboral"/>
    <n v="45862"/>
    <n v="45869"/>
    <n v="3.5"/>
    <n v="3.5"/>
    <n v="20"/>
    <n v="4"/>
    <n v="0.58333333333333337"/>
    <x v="8"/>
    <n v="0"/>
    <d v="2025-08-25T00:00:00"/>
    <x v="8"/>
  </r>
  <r>
    <x v="3"/>
    <s v="Gestión del clima laboral"/>
    <n v="45862"/>
    <n v="45869"/>
    <n v="3.5"/>
    <n v="3.5"/>
    <n v="20"/>
    <n v="4"/>
    <n v="0.58333333333333337"/>
    <x v="9"/>
    <n v="0"/>
    <d v="2025-06-30T00:00:00"/>
    <x v="0"/>
  </r>
  <r>
    <x v="3"/>
    <s v="Gestión del clima laboral"/>
    <n v="45862"/>
    <n v="45869"/>
    <n v="3.5"/>
    <n v="3.5"/>
    <n v="20"/>
    <n v="4"/>
    <n v="0.58333333333333337"/>
    <x v="10"/>
    <n v="0"/>
    <d v="2025-06-30T00:00:00"/>
    <x v="0"/>
  </r>
  <r>
    <x v="3"/>
    <s v="Gestión del clima laboral"/>
    <n v="45862"/>
    <n v="45869"/>
    <n v="3.5"/>
    <n v="3.5"/>
    <n v="20"/>
    <n v="4"/>
    <n v="0.58333333333333337"/>
    <x v="11"/>
    <n v="0"/>
    <d v="2025-06-30T00:00:00"/>
    <x v="0"/>
  </r>
  <r>
    <x v="3"/>
    <s v="Reclutamiento y selección"/>
    <n v="45848"/>
    <n v="45855"/>
    <n v="6"/>
    <n v="6"/>
    <n v="10"/>
    <n v="2"/>
    <n v="1"/>
    <x v="0"/>
    <n v="0"/>
    <d v="2025-06-30T00:00:00"/>
    <x v="0"/>
  </r>
  <r>
    <x v="3"/>
    <s v="Reclutamiento y selección"/>
    <n v="45848"/>
    <n v="45855"/>
    <n v="6"/>
    <n v="6"/>
    <n v="10"/>
    <n v="2"/>
    <n v="1"/>
    <x v="1"/>
    <n v="2"/>
    <d v="2025-07-07T00:00:00"/>
    <x v="1"/>
  </r>
  <r>
    <x v="3"/>
    <s v="Reclutamiento y selección"/>
    <n v="45848"/>
    <n v="45855"/>
    <n v="6"/>
    <n v="6"/>
    <n v="10"/>
    <n v="2"/>
    <n v="1"/>
    <x v="2"/>
    <n v="4"/>
    <d v="2025-07-14T00:00:00"/>
    <x v="2"/>
  </r>
  <r>
    <x v="3"/>
    <s v="Reclutamiento y selección"/>
    <n v="45848"/>
    <n v="45855"/>
    <n v="6"/>
    <n v="6"/>
    <n v="10"/>
    <n v="2"/>
    <n v="1"/>
    <x v="3"/>
    <n v="0"/>
    <d v="2025-07-21T00:00:00"/>
    <x v="3"/>
  </r>
  <r>
    <x v="3"/>
    <s v="Reclutamiento y selección"/>
    <n v="45848"/>
    <n v="45855"/>
    <n v="6"/>
    <n v="6"/>
    <n v="10"/>
    <n v="2"/>
    <n v="1"/>
    <x v="4"/>
    <n v="0"/>
    <d v="2025-07-28T00:00:00"/>
    <x v="4"/>
  </r>
  <r>
    <x v="3"/>
    <s v="Reclutamiento y selección"/>
    <n v="45848"/>
    <n v="45855"/>
    <n v="6"/>
    <n v="6"/>
    <n v="10"/>
    <n v="2"/>
    <n v="1"/>
    <x v="5"/>
    <n v="0"/>
    <d v="2025-08-04T00:00:00"/>
    <x v="5"/>
  </r>
  <r>
    <x v="3"/>
    <s v="Reclutamiento y selección"/>
    <n v="45848"/>
    <n v="45855"/>
    <n v="6"/>
    <n v="6"/>
    <n v="10"/>
    <n v="2"/>
    <n v="1"/>
    <x v="6"/>
    <n v="0"/>
    <d v="2025-08-11T00:00:00"/>
    <x v="6"/>
  </r>
  <r>
    <x v="3"/>
    <s v="Reclutamiento y selección"/>
    <n v="45848"/>
    <n v="45855"/>
    <n v="6"/>
    <n v="6"/>
    <n v="10"/>
    <n v="2"/>
    <n v="1"/>
    <x v="7"/>
    <n v="0"/>
    <d v="2025-08-18T00:00:00"/>
    <x v="7"/>
  </r>
  <r>
    <x v="3"/>
    <s v="Reclutamiento y selección"/>
    <n v="45848"/>
    <n v="45855"/>
    <n v="6"/>
    <n v="6"/>
    <n v="10"/>
    <n v="2"/>
    <n v="1"/>
    <x v="8"/>
    <n v="0"/>
    <d v="2025-08-25T00:00:00"/>
    <x v="8"/>
  </r>
  <r>
    <x v="3"/>
    <s v="Reclutamiento y selección"/>
    <n v="45848"/>
    <n v="45855"/>
    <n v="6"/>
    <n v="6"/>
    <n v="10"/>
    <n v="2"/>
    <n v="1"/>
    <x v="9"/>
    <n v="0"/>
    <d v="2025-06-30T00:00:00"/>
    <x v="0"/>
  </r>
  <r>
    <x v="3"/>
    <s v="Reclutamiento y selección"/>
    <n v="45848"/>
    <n v="45855"/>
    <n v="6"/>
    <n v="6"/>
    <n v="10"/>
    <n v="2"/>
    <n v="1"/>
    <x v="10"/>
    <n v="0"/>
    <d v="2025-06-30T00:00:00"/>
    <x v="0"/>
  </r>
  <r>
    <x v="3"/>
    <s v="Reclutamiento y selección"/>
    <n v="45848"/>
    <n v="45855"/>
    <n v="6"/>
    <n v="6"/>
    <n v="10"/>
    <n v="2"/>
    <n v="1"/>
    <x v="11"/>
    <n v="0"/>
    <d v="2025-06-30T00:00:00"/>
    <x v="0"/>
  </r>
  <r>
    <x v="3"/>
    <s v="Inducción y bienvenida"/>
    <n v="45848"/>
    <n v="45855"/>
    <n v="2.5"/>
    <n v="2.5"/>
    <n v="10"/>
    <n v="2"/>
    <n v="0.41666666666666669"/>
    <x v="0"/>
    <n v="0"/>
    <d v="2025-06-30T00:00:00"/>
    <x v="0"/>
  </r>
  <r>
    <x v="3"/>
    <s v="Inducción y bienvenida"/>
    <n v="45848"/>
    <n v="45855"/>
    <n v="2.5"/>
    <n v="2.5"/>
    <n v="10"/>
    <n v="2"/>
    <n v="0.41666666666666669"/>
    <x v="1"/>
    <n v="0.83333333333333348"/>
    <d v="2025-07-07T00:00:00"/>
    <x v="1"/>
  </r>
  <r>
    <x v="3"/>
    <s v="Inducción y bienvenida"/>
    <n v="45848"/>
    <n v="45855"/>
    <n v="2.5"/>
    <n v="2.5"/>
    <n v="10"/>
    <n v="2"/>
    <n v="0.41666666666666669"/>
    <x v="2"/>
    <n v="1.6666666666666667"/>
    <d v="2025-07-14T00:00:00"/>
    <x v="2"/>
  </r>
  <r>
    <x v="3"/>
    <s v="Inducción y bienvenida"/>
    <n v="45848"/>
    <n v="45855"/>
    <n v="2.5"/>
    <n v="2.5"/>
    <n v="10"/>
    <n v="2"/>
    <n v="0.41666666666666669"/>
    <x v="3"/>
    <n v="0"/>
    <d v="2025-07-21T00:00:00"/>
    <x v="3"/>
  </r>
  <r>
    <x v="3"/>
    <s v="Inducción y bienvenida"/>
    <n v="45848"/>
    <n v="45855"/>
    <n v="2.5"/>
    <n v="2.5"/>
    <n v="10"/>
    <n v="2"/>
    <n v="0.41666666666666669"/>
    <x v="4"/>
    <n v="0"/>
    <d v="2025-07-28T00:00:00"/>
    <x v="4"/>
  </r>
  <r>
    <x v="3"/>
    <s v="Inducción y bienvenida"/>
    <n v="45848"/>
    <n v="45855"/>
    <n v="2.5"/>
    <n v="2.5"/>
    <n v="10"/>
    <n v="2"/>
    <n v="0.41666666666666669"/>
    <x v="5"/>
    <n v="0"/>
    <d v="2025-08-04T00:00:00"/>
    <x v="5"/>
  </r>
  <r>
    <x v="3"/>
    <s v="Inducción y bienvenida"/>
    <n v="45848"/>
    <n v="45855"/>
    <n v="2.5"/>
    <n v="2.5"/>
    <n v="10"/>
    <n v="2"/>
    <n v="0.41666666666666669"/>
    <x v="6"/>
    <n v="0"/>
    <d v="2025-08-11T00:00:00"/>
    <x v="6"/>
  </r>
  <r>
    <x v="3"/>
    <s v="Inducción y bienvenida"/>
    <n v="45848"/>
    <n v="45855"/>
    <n v="2.5"/>
    <n v="2.5"/>
    <n v="10"/>
    <n v="2"/>
    <n v="0.41666666666666669"/>
    <x v="7"/>
    <n v="0"/>
    <d v="2025-08-18T00:00:00"/>
    <x v="7"/>
  </r>
  <r>
    <x v="3"/>
    <s v="Inducción y bienvenida"/>
    <n v="45848"/>
    <n v="45855"/>
    <n v="2.5"/>
    <n v="2.5"/>
    <n v="10"/>
    <n v="2"/>
    <n v="0.41666666666666669"/>
    <x v="8"/>
    <n v="0"/>
    <d v="2025-08-25T00:00:00"/>
    <x v="8"/>
  </r>
  <r>
    <x v="3"/>
    <s v="Inducción y bienvenida"/>
    <n v="45848"/>
    <n v="45855"/>
    <n v="2.5"/>
    <n v="2.5"/>
    <n v="10"/>
    <n v="2"/>
    <n v="0.41666666666666669"/>
    <x v="9"/>
    <n v="0"/>
    <d v="2025-06-30T00:00:00"/>
    <x v="0"/>
  </r>
  <r>
    <x v="3"/>
    <s v="Inducción y bienvenida"/>
    <n v="45848"/>
    <n v="45855"/>
    <n v="2.5"/>
    <n v="2.5"/>
    <n v="10"/>
    <n v="2"/>
    <n v="0.41666666666666669"/>
    <x v="10"/>
    <n v="0"/>
    <d v="2025-06-30T00:00:00"/>
    <x v="0"/>
  </r>
  <r>
    <x v="3"/>
    <s v="Inducción y bienvenida"/>
    <n v="45848"/>
    <n v="45855"/>
    <n v="2.5"/>
    <n v="2.5"/>
    <n v="10"/>
    <n v="2"/>
    <n v="0.41666666666666669"/>
    <x v="11"/>
    <n v="0"/>
    <d v="2025-06-30T00:00:00"/>
    <x v="0"/>
  </r>
  <r>
    <x v="3"/>
    <s v="Gestión de remuneraciones y beneficios"/>
    <n v="45848"/>
    <n v="45855"/>
    <n v="9"/>
    <n v="9"/>
    <n v="10"/>
    <n v="2"/>
    <n v="1.5"/>
    <x v="0"/>
    <n v="0"/>
    <d v="2025-06-30T00:00:00"/>
    <x v="0"/>
  </r>
  <r>
    <x v="3"/>
    <s v="Gestión de remuneraciones y beneficios"/>
    <n v="45848"/>
    <n v="45855"/>
    <n v="9"/>
    <n v="9"/>
    <n v="10"/>
    <n v="2"/>
    <n v="1.5"/>
    <x v="1"/>
    <n v="3"/>
    <d v="2025-07-07T00:00:00"/>
    <x v="1"/>
  </r>
  <r>
    <x v="3"/>
    <s v="Gestión de remuneraciones y beneficios"/>
    <n v="45848"/>
    <n v="45855"/>
    <n v="9"/>
    <n v="9"/>
    <n v="10"/>
    <n v="2"/>
    <n v="1.5"/>
    <x v="2"/>
    <n v="6"/>
    <d v="2025-07-14T00:00:00"/>
    <x v="2"/>
  </r>
  <r>
    <x v="3"/>
    <s v="Gestión de remuneraciones y beneficios"/>
    <n v="45848"/>
    <n v="45855"/>
    <n v="9"/>
    <n v="9"/>
    <n v="10"/>
    <n v="2"/>
    <n v="1.5"/>
    <x v="3"/>
    <n v="0"/>
    <d v="2025-07-21T00:00:00"/>
    <x v="3"/>
  </r>
  <r>
    <x v="3"/>
    <s v="Gestión de remuneraciones y beneficios"/>
    <n v="45848"/>
    <n v="45855"/>
    <n v="9"/>
    <n v="9"/>
    <n v="10"/>
    <n v="2"/>
    <n v="1.5"/>
    <x v="4"/>
    <n v="0"/>
    <d v="2025-07-28T00:00:00"/>
    <x v="4"/>
  </r>
  <r>
    <x v="3"/>
    <s v="Gestión de remuneraciones y beneficios"/>
    <n v="45848"/>
    <n v="45855"/>
    <n v="9"/>
    <n v="9"/>
    <n v="10"/>
    <n v="2"/>
    <n v="1.5"/>
    <x v="5"/>
    <n v="0"/>
    <d v="2025-08-04T00:00:00"/>
    <x v="5"/>
  </r>
  <r>
    <x v="3"/>
    <s v="Gestión de remuneraciones y beneficios"/>
    <n v="45848"/>
    <n v="45855"/>
    <n v="9"/>
    <n v="9"/>
    <n v="10"/>
    <n v="2"/>
    <n v="1.5"/>
    <x v="6"/>
    <n v="0"/>
    <d v="2025-08-11T00:00:00"/>
    <x v="6"/>
  </r>
  <r>
    <x v="3"/>
    <s v="Gestión de remuneraciones y beneficios"/>
    <n v="45848"/>
    <n v="45855"/>
    <n v="9"/>
    <n v="9"/>
    <n v="10"/>
    <n v="2"/>
    <n v="1.5"/>
    <x v="7"/>
    <n v="0"/>
    <d v="2025-08-18T00:00:00"/>
    <x v="7"/>
  </r>
  <r>
    <x v="3"/>
    <s v="Gestión de remuneraciones y beneficios"/>
    <n v="45848"/>
    <n v="45855"/>
    <n v="9"/>
    <n v="9"/>
    <n v="10"/>
    <n v="2"/>
    <n v="1.5"/>
    <x v="8"/>
    <n v="0"/>
    <d v="2025-08-25T00:00:00"/>
    <x v="8"/>
  </r>
  <r>
    <x v="3"/>
    <s v="Gestión de remuneraciones y beneficios"/>
    <n v="45848"/>
    <n v="45855"/>
    <n v="9"/>
    <n v="9"/>
    <n v="10"/>
    <n v="2"/>
    <n v="1.5"/>
    <x v="9"/>
    <n v="0"/>
    <d v="2025-06-30T00:00:00"/>
    <x v="0"/>
  </r>
  <r>
    <x v="3"/>
    <s v="Gestión de remuneraciones y beneficios"/>
    <n v="45848"/>
    <n v="45855"/>
    <n v="9"/>
    <n v="9"/>
    <n v="10"/>
    <n v="2"/>
    <n v="1.5"/>
    <x v="10"/>
    <n v="0"/>
    <d v="2025-06-30T00:00:00"/>
    <x v="0"/>
  </r>
  <r>
    <x v="3"/>
    <s v="Gestión de remuneraciones y beneficios"/>
    <n v="45848"/>
    <n v="45855"/>
    <n v="9"/>
    <n v="9"/>
    <n v="10"/>
    <n v="2"/>
    <n v="1.5"/>
    <x v="11"/>
    <n v="0"/>
    <d v="2025-06-30T00:00:00"/>
    <x v="0"/>
  </r>
  <r>
    <x v="3"/>
    <s v="Capacitación y desarrollo"/>
    <n v="45862"/>
    <n v="45869"/>
    <n v="3"/>
    <n v="3"/>
    <n v="20"/>
    <n v="4"/>
    <n v="0.5"/>
    <x v="0"/>
    <n v="0"/>
    <d v="2025-06-30T00:00:00"/>
    <x v="0"/>
  </r>
  <r>
    <x v="3"/>
    <s v="Capacitación y desarrollo"/>
    <n v="45862"/>
    <n v="45869"/>
    <n v="3"/>
    <n v="3"/>
    <n v="20"/>
    <n v="4"/>
    <n v="0.5"/>
    <x v="1"/>
    <n v="0"/>
    <d v="2025-07-07T00:00:00"/>
    <x v="1"/>
  </r>
  <r>
    <x v="3"/>
    <s v="Capacitación y desarrollo"/>
    <n v="45862"/>
    <n v="45869"/>
    <n v="3"/>
    <n v="3"/>
    <n v="20"/>
    <n v="4"/>
    <n v="0.5"/>
    <x v="2"/>
    <n v="0"/>
    <d v="2025-07-14T00:00:00"/>
    <x v="2"/>
  </r>
  <r>
    <x v="3"/>
    <s v="Capacitación y desarrollo"/>
    <n v="45862"/>
    <n v="45869"/>
    <n v="3"/>
    <n v="3"/>
    <n v="20"/>
    <n v="4"/>
    <n v="0.5"/>
    <x v="3"/>
    <n v="1"/>
    <d v="2025-07-21T00:00:00"/>
    <x v="3"/>
  </r>
  <r>
    <x v="3"/>
    <s v="Capacitación y desarrollo"/>
    <n v="45862"/>
    <n v="45869"/>
    <n v="3"/>
    <n v="3"/>
    <n v="20"/>
    <n v="4"/>
    <n v="0.5"/>
    <x v="4"/>
    <n v="2"/>
    <d v="2025-07-28T00:00:00"/>
    <x v="4"/>
  </r>
  <r>
    <x v="3"/>
    <s v="Capacitación y desarrollo"/>
    <n v="45862"/>
    <n v="45869"/>
    <n v="3"/>
    <n v="3"/>
    <n v="20"/>
    <n v="4"/>
    <n v="0.5"/>
    <x v="5"/>
    <n v="0"/>
    <d v="2025-08-04T00:00:00"/>
    <x v="5"/>
  </r>
  <r>
    <x v="3"/>
    <s v="Capacitación y desarrollo"/>
    <n v="45862"/>
    <n v="45869"/>
    <n v="3"/>
    <n v="3"/>
    <n v="20"/>
    <n v="4"/>
    <n v="0.5"/>
    <x v="6"/>
    <n v="0"/>
    <d v="2025-08-11T00:00:00"/>
    <x v="6"/>
  </r>
  <r>
    <x v="3"/>
    <s v="Capacitación y desarrollo"/>
    <n v="45862"/>
    <n v="45869"/>
    <n v="3"/>
    <n v="3"/>
    <n v="20"/>
    <n v="4"/>
    <n v="0.5"/>
    <x v="7"/>
    <n v="0"/>
    <d v="2025-08-18T00:00:00"/>
    <x v="7"/>
  </r>
  <r>
    <x v="3"/>
    <s v="Capacitación y desarrollo"/>
    <n v="45862"/>
    <n v="45869"/>
    <n v="3"/>
    <n v="3"/>
    <n v="20"/>
    <n v="4"/>
    <n v="0.5"/>
    <x v="8"/>
    <n v="0"/>
    <d v="2025-08-25T00:00:00"/>
    <x v="8"/>
  </r>
  <r>
    <x v="3"/>
    <s v="Capacitación y desarrollo"/>
    <n v="45862"/>
    <n v="45869"/>
    <n v="3"/>
    <n v="3"/>
    <n v="20"/>
    <n v="4"/>
    <n v="0.5"/>
    <x v="9"/>
    <n v="0"/>
    <d v="2025-06-30T00:00:00"/>
    <x v="0"/>
  </r>
  <r>
    <x v="3"/>
    <s v="Capacitación y desarrollo"/>
    <n v="45862"/>
    <n v="45869"/>
    <n v="3"/>
    <n v="3"/>
    <n v="20"/>
    <n v="4"/>
    <n v="0.5"/>
    <x v="10"/>
    <n v="0"/>
    <d v="2025-06-30T00:00:00"/>
    <x v="0"/>
  </r>
  <r>
    <x v="3"/>
    <s v="Capacitación y desarrollo"/>
    <n v="45862"/>
    <n v="45869"/>
    <n v="3"/>
    <n v="3"/>
    <n v="20"/>
    <n v="4"/>
    <n v="0.5"/>
    <x v="11"/>
    <n v="0"/>
    <d v="2025-06-30T00:00:00"/>
    <x v="0"/>
  </r>
  <r>
    <x v="4"/>
    <s v="Gestión del clima laboral"/>
    <n v="45841"/>
    <n v="45849"/>
    <n v="3.5"/>
    <n v="2"/>
    <n v="6"/>
    <n v="1.2"/>
    <n v="0.5"/>
    <x v="0"/>
    <n v="0"/>
    <d v="2025-06-30T00:00:00"/>
    <x v="0"/>
  </r>
  <r>
    <x v="4"/>
    <s v="Gestión del clima laboral"/>
    <n v="45841"/>
    <n v="45849"/>
    <n v="3.5"/>
    <n v="2"/>
    <n v="6"/>
    <n v="1.2"/>
    <n v="0.5"/>
    <x v="1"/>
    <n v="2.5"/>
    <d v="2025-07-07T00:00:00"/>
    <x v="1"/>
  </r>
  <r>
    <x v="4"/>
    <s v="Gestión del clima laboral"/>
    <n v="45841"/>
    <n v="45849"/>
    <n v="3.5"/>
    <n v="2"/>
    <n v="6"/>
    <n v="1.2"/>
    <n v="0.5"/>
    <x v="2"/>
    <n v="0"/>
    <d v="2025-07-14T00:00:00"/>
    <x v="2"/>
  </r>
  <r>
    <x v="4"/>
    <s v="Gestión del clima laboral"/>
    <n v="45841"/>
    <n v="45849"/>
    <n v="3.5"/>
    <n v="2"/>
    <n v="6"/>
    <n v="1.2"/>
    <n v="0.5"/>
    <x v="3"/>
    <n v="0"/>
    <d v="2025-07-21T00:00:00"/>
    <x v="3"/>
  </r>
  <r>
    <x v="4"/>
    <s v="Gestión del clima laboral"/>
    <n v="45841"/>
    <n v="45849"/>
    <n v="3.5"/>
    <n v="2"/>
    <n v="6"/>
    <n v="1.2"/>
    <n v="0.5"/>
    <x v="4"/>
    <n v="0"/>
    <d v="2025-07-28T00:00:00"/>
    <x v="4"/>
  </r>
  <r>
    <x v="4"/>
    <s v="Gestión del clima laboral"/>
    <n v="45841"/>
    <n v="45849"/>
    <n v="3.5"/>
    <n v="2"/>
    <n v="6"/>
    <n v="1.2"/>
    <n v="0.5"/>
    <x v="5"/>
    <n v="0"/>
    <d v="2025-08-04T00:00:00"/>
    <x v="5"/>
  </r>
  <r>
    <x v="4"/>
    <s v="Gestión del clima laboral"/>
    <n v="45841"/>
    <n v="45849"/>
    <n v="3.5"/>
    <n v="2"/>
    <n v="6"/>
    <n v="1.2"/>
    <n v="0.5"/>
    <x v="6"/>
    <n v="0"/>
    <d v="2025-08-11T00:00:00"/>
    <x v="6"/>
  </r>
  <r>
    <x v="4"/>
    <s v="Gestión del clima laboral"/>
    <n v="45841"/>
    <n v="45849"/>
    <n v="3.5"/>
    <n v="2"/>
    <n v="6"/>
    <n v="1.2"/>
    <n v="0.5"/>
    <x v="7"/>
    <n v="0"/>
    <d v="2025-08-18T00:00:00"/>
    <x v="7"/>
  </r>
  <r>
    <x v="4"/>
    <s v="Gestión del clima laboral"/>
    <n v="45841"/>
    <n v="45849"/>
    <n v="3.5"/>
    <n v="2"/>
    <n v="6"/>
    <n v="1.2"/>
    <n v="0.5"/>
    <x v="8"/>
    <n v="0"/>
    <d v="2025-08-25T00:00:00"/>
    <x v="8"/>
  </r>
  <r>
    <x v="4"/>
    <s v="Gestión del clima laboral"/>
    <n v="45841"/>
    <n v="45849"/>
    <n v="3.5"/>
    <n v="2"/>
    <n v="6"/>
    <n v="1.2"/>
    <n v="0.5"/>
    <x v="9"/>
    <n v="0"/>
    <d v="2025-06-30T00:00:00"/>
    <x v="0"/>
  </r>
  <r>
    <x v="4"/>
    <s v="Gestión del clima laboral"/>
    <n v="45841"/>
    <n v="45849"/>
    <n v="3.5"/>
    <n v="2"/>
    <n v="6"/>
    <n v="1.2"/>
    <n v="0.5"/>
    <x v="10"/>
    <n v="0"/>
    <d v="2025-06-30T00:00:00"/>
    <x v="0"/>
  </r>
  <r>
    <x v="4"/>
    <s v="Gestión del clima laboral"/>
    <n v="45841"/>
    <n v="45849"/>
    <n v="3.5"/>
    <n v="2"/>
    <n v="6"/>
    <n v="1.2"/>
    <n v="0.5"/>
    <x v="11"/>
    <n v="0"/>
    <d v="2025-06-30T00:00:00"/>
    <x v="0"/>
  </r>
  <r>
    <x v="4"/>
    <s v="Administración de personal"/>
    <n v="45841"/>
    <n v="45849"/>
    <n v="3"/>
    <n v="1.7142857142857144"/>
    <n v="6"/>
    <n v="1.2"/>
    <n v="0.42857142857142855"/>
    <x v="0"/>
    <n v="1.1102230246251565E-16"/>
    <d v="2025-06-30T00:00:00"/>
    <x v="0"/>
  </r>
  <r>
    <x v="4"/>
    <s v="Administración de personal"/>
    <n v="45841"/>
    <n v="45849"/>
    <n v="3"/>
    <n v="1.7142857142857144"/>
    <n v="6"/>
    <n v="1.2"/>
    <n v="0.42857142857142855"/>
    <x v="1"/>
    <n v="2.1428571428571428"/>
    <d v="2025-07-07T00:00:00"/>
    <x v="1"/>
  </r>
  <r>
    <x v="4"/>
    <s v="Administración de personal"/>
    <n v="45841"/>
    <n v="45849"/>
    <n v="3"/>
    <n v="1.7142857142857144"/>
    <n v="6"/>
    <n v="1.2"/>
    <n v="0.42857142857142855"/>
    <x v="2"/>
    <n v="0"/>
    <d v="2025-07-14T00:00:00"/>
    <x v="2"/>
  </r>
  <r>
    <x v="4"/>
    <s v="Administración de personal"/>
    <n v="45841"/>
    <n v="45849"/>
    <n v="3"/>
    <n v="1.7142857142857144"/>
    <n v="6"/>
    <n v="1.2"/>
    <n v="0.42857142857142855"/>
    <x v="3"/>
    <n v="0"/>
    <d v="2025-07-21T00:00:00"/>
    <x v="3"/>
  </r>
  <r>
    <x v="4"/>
    <s v="Administración de personal"/>
    <n v="45841"/>
    <n v="45849"/>
    <n v="3"/>
    <n v="1.7142857142857144"/>
    <n v="6"/>
    <n v="1.2"/>
    <n v="0.42857142857142855"/>
    <x v="4"/>
    <n v="0"/>
    <d v="2025-07-28T00:00:00"/>
    <x v="4"/>
  </r>
  <r>
    <x v="4"/>
    <s v="Administración de personal"/>
    <n v="45841"/>
    <n v="45849"/>
    <n v="3"/>
    <n v="1.7142857142857144"/>
    <n v="6"/>
    <n v="1.2"/>
    <n v="0.42857142857142855"/>
    <x v="5"/>
    <n v="0"/>
    <d v="2025-08-04T00:00:00"/>
    <x v="5"/>
  </r>
  <r>
    <x v="4"/>
    <s v="Administración de personal"/>
    <n v="45841"/>
    <n v="45849"/>
    <n v="3"/>
    <n v="1.7142857142857144"/>
    <n v="6"/>
    <n v="1.2"/>
    <n v="0.42857142857142855"/>
    <x v="6"/>
    <n v="0"/>
    <d v="2025-08-11T00:00:00"/>
    <x v="6"/>
  </r>
  <r>
    <x v="4"/>
    <s v="Administración de personal"/>
    <n v="45841"/>
    <n v="45849"/>
    <n v="3"/>
    <n v="1.7142857142857144"/>
    <n v="6"/>
    <n v="1.2"/>
    <n v="0.42857142857142855"/>
    <x v="7"/>
    <n v="0"/>
    <d v="2025-08-18T00:00:00"/>
    <x v="7"/>
  </r>
  <r>
    <x v="4"/>
    <s v="Administración de personal"/>
    <n v="45841"/>
    <n v="45849"/>
    <n v="3"/>
    <n v="1.7142857142857144"/>
    <n v="6"/>
    <n v="1.2"/>
    <n v="0.42857142857142855"/>
    <x v="8"/>
    <n v="0"/>
    <d v="2025-08-25T00:00:00"/>
    <x v="8"/>
  </r>
  <r>
    <x v="4"/>
    <s v="Administración de personal"/>
    <n v="45841"/>
    <n v="45849"/>
    <n v="3"/>
    <n v="1.7142857142857144"/>
    <n v="6"/>
    <n v="1.2"/>
    <n v="0.42857142857142855"/>
    <x v="9"/>
    <n v="0"/>
    <d v="2025-06-30T00:00:00"/>
    <x v="0"/>
  </r>
  <r>
    <x v="4"/>
    <s v="Administración de personal"/>
    <n v="45841"/>
    <n v="45849"/>
    <n v="3"/>
    <n v="1.7142857142857144"/>
    <n v="6"/>
    <n v="1.2"/>
    <n v="0.42857142857142855"/>
    <x v="10"/>
    <n v="0"/>
    <d v="2025-06-30T00:00:00"/>
    <x v="0"/>
  </r>
  <r>
    <x v="4"/>
    <s v="Administración de personal"/>
    <n v="45841"/>
    <n v="45849"/>
    <n v="3"/>
    <n v="1.7142857142857144"/>
    <n v="6"/>
    <n v="1.2"/>
    <n v="0.42857142857142855"/>
    <x v="11"/>
    <n v="0"/>
    <d v="2025-06-30T00:00:00"/>
    <x v="0"/>
  </r>
  <r>
    <x v="4"/>
    <s v="Gestión del clima laboral"/>
    <n v="45855"/>
    <n v="45863"/>
    <n v="3.5"/>
    <n v="3.5"/>
    <n v="16"/>
    <n v="3.2"/>
    <n v="0.5"/>
    <x v="0"/>
    <n v="0"/>
    <d v="2025-06-30T00:00:00"/>
    <x v="0"/>
  </r>
  <r>
    <x v="4"/>
    <s v="Gestión del clima laboral"/>
    <n v="45855"/>
    <n v="45863"/>
    <n v="3.5"/>
    <n v="3.5"/>
    <n v="16"/>
    <n v="3.2"/>
    <n v="0.5"/>
    <x v="1"/>
    <n v="0"/>
    <d v="2025-07-07T00:00:00"/>
    <x v="1"/>
  </r>
  <r>
    <x v="4"/>
    <s v="Gestión del clima laboral"/>
    <n v="45855"/>
    <n v="45863"/>
    <n v="3.5"/>
    <n v="3.5"/>
    <n v="16"/>
    <n v="3.2"/>
    <n v="0.5"/>
    <x v="2"/>
    <n v="1"/>
    <d v="2025-07-14T00:00:00"/>
    <x v="2"/>
  </r>
  <r>
    <x v="4"/>
    <s v="Gestión del clima laboral"/>
    <n v="45855"/>
    <n v="45863"/>
    <n v="3.5"/>
    <n v="3.5"/>
    <n v="16"/>
    <n v="3.2"/>
    <n v="0.5"/>
    <x v="3"/>
    <n v="2.5"/>
    <d v="2025-07-21T00:00:00"/>
    <x v="3"/>
  </r>
  <r>
    <x v="4"/>
    <s v="Gestión del clima laboral"/>
    <n v="45855"/>
    <n v="45863"/>
    <n v="3.5"/>
    <n v="3.5"/>
    <n v="16"/>
    <n v="3.2"/>
    <n v="0.5"/>
    <x v="4"/>
    <n v="0"/>
    <d v="2025-07-28T00:00:00"/>
    <x v="4"/>
  </r>
  <r>
    <x v="4"/>
    <s v="Gestión del clima laboral"/>
    <n v="45855"/>
    <n v="45863"/>
    <n v="3.5"/>
    <n v="3.5"/>
    <n v="16"/>
    <n v="3.2"/>
    <n v="0.5"/>
    <x v="5"/>
    <n v="0"/>
    <d v="2025-08-04T00:00:00"/>
    <x v="5"/>
  </r>
  <r>
    <x v="4"/>
    <s v="Gestión del clima laboral"/>
    <n v="45855"/>
    <n v="45863"/>
    <n v="3.5"/>
    <n v="3.5"/>
    <n v="16"/>
    <n v="3.2"/>
    <n v="0.5"/>
    <x v="6"/>
    <n v="0"/>
    <d v="2025-08-11T00:00:00"/>
    <x v="6"/>
  </r>
  <r>
    <x v="4"/>
    <s v="Gestión del clima laboral"/>
    <n v="45855"/>
    <n v="45863"/>
    <n v="3.5"/>
    <n v="3.5"/>
    <n v="16"/>
    <n v="3.2"/>
    <n v="0.5"/>
    <x v="7"/>
    <n v="0"/>
    <d v="2025-08-18T00:00:00"/>
    <x v="7"/>
  </r>
  <r>
    <x v="4"/>
    <s v="Gestión del clima laboral"/>
    <n v="45855"/>
    <n v="45863"/>
    <n v="3.5"/>
    <n v="3.5"/>
    <n v="16"/>
    <n v="3.2"/>
    <n v="0.5"/>
    <x v="8"/>
    <n v="0"/>
    <d v="2025-08-25T00:00:00"/>
    <x v="8"/>
  </r>
  <r>
    <x v="4"/>
    <s v="Gestión del clima laboral"/>
    <n v="45855"/>
    <n v="45863"/>
    <n v="3.5"/>
    <n v="3.5"/>
    <n v="16"/>
    <n v="3.2"/>
    <n v="0.5"/>
    <x v="9"/>
    <n v="0"/>
    <d v="2025-06-30T00:00:00"/>
    <x v="0"/>
  </r>
  <r>
    <x v="4"/>
    <s v="Gestión del clima laboral"/>
    <n v="45855"/>
    <n v="45863"/>
    <n v="3.5"/>
    <n v="3.5"/>
    <n v="16"/>
    <n v="3.2"/>
    <n v="0.5"/>
    <x v="10"/>
    <n v="0"/>
    <d v="2025-06-30T00:00:00"/>
    <x v="0"/>
  </r>
  <r>
    <x v="4"/>
    <s v="Gestión del clima laboral"/>
    <n v="45855"/>
    <n v="45863"/>
    <n v="3.5"/>
    <n v="3.5"/>
    <n v="16"/>
    <n v="3.2"/>
    <n v="0.5"/>
    <x v="11"/>
    <n v="0"/>
    <d v="2025-06-30T00:00:00"/>
    <x v="0"/>
  </r>
  <r>
    <x v="4"/>
    <s v="Administración de personal"/>
    <n v="45855"/>
    <n v="45863"/>
    <n v="3"/>
    <n v="3"/>
    <n v="16"/>
    <n v="3.2"/>
    <n v="0.42857142857142855"/>
    <x v="0"/>
    <n v="0"/>
    <d v="2025-06-30T00:00:00"/>
    <x v="0"/>
  </r>
  <r>
    <x v="4"/>
    <s v="Administración de personal"/>
    <n v="45855"/>
    <n v="45863"/>
    <n v="3"/>
    <n v="3"/>
    <n v="16"/>
    <n v="3.2"/>
    <n v="0.42857142857142855"/>
    <x v="1"/>
    <n v="0"/>
    <d v="2025-07-07T00:00:00"/>
    <x v="1"/>
  </r>
  <r>
    <x v="4"/>
    <s v="Administración de personal"/>
    <n v="45855"/>
    <n v="45863"/>
    <n v="3"/>
    <n v="3"/>
    <n v="16"/>
    <n v="3.2"/>
    <n v="0.42857142857142855"/>
    <x v="2"/>
    <n v="0.85714285714285721"/>
    <d v="2025-07-14T00:00:00"/>
    <x v="2"/>
  </r>
  <r>
    <x v="4"/>
    <s v="Administración de personal"/>
    <n v="45855"/>
    <n v="45863"/>
    <n v="3"/>
    <n v="3"/>
    <n v="16"/>
    <n v="3.2"/>
    <n v="0.42857142857142855"/>
    <x v="3"/>
    <n v="2.1428571428571428"/>
    <d v="2025-07-21T00:00:00"/>
    <x v="3"/>
  </r>
  <r>
    <x v="4"/>
    <s v="Administración de personal"/>
    <n v="45855"/>
    <n v="45863"/>
    <n v="3"/>
    <n v="3"/>
    <n v="16"/>
    <n v="3.2"/>
    <n v="0.42857142857142855"/>
    <x v="4"/>
    <n v="0"/>
    <d v="2025-07-28T00:00:00"/>
    <x v="4"/>
  </r>
  <r>
    <x v="4"/>
    <s v="Administración de personal"/>
    <n v="45855"/>
    <n v="45863"/>
    <n v="3"/>
    <n v="3"/>
    <n v="16"/>
    <n v="3.2"/>
    <n v="0.42857142857142855"/>
    <x v="5"/>
    <n v="0"/>
    <d v="2025-08-04T00:00:00"/>
    <x v="5"/>
  </r>
  <r>
    <x v="4"/>
    <s v="Administración de personal"/>
    <n v="45855"/>
    <n v="45863"/>
    <n v="3"/>
    <n v="3"/>
    <n v="16"/>
    <n v="3.2"/>
    <n v="0.42857142857142855"/>
    <x v="6"/>
    <n v="0"/>
    <d v="2025-08-11T00:00:00"/>
    <x v="6"/>
  </r>
  <r>
    <x v="4"/>
    <s v="Administración de personal"/>
    <n v="45855"/>
    <n v="45863"/>
    <n v="3"/>
    <n v="3"/>
    <n v="16"/>
    <n v="3.2"/>
    <n v="0.42857142857142855"/>
    <x v="7"/>
    <n v="0"/>
    <d v="2025-08-18T00:00:00"/>
    <x v="7"/>
  </r>
  <r>
    <x v="4"/>
    <s v="Administración de personal"/>
    <n v="45855"/>
    <n v="45863"/>
    <n v="3"/>
    <n v="3"/>
    <n v="16"/>
    <n v="3.2"/>
    <n v="0.42857142857142855"/>
    <x v="8"/>
    <n v="0"/>
    <d v="2025-08-25T00:00:00"/>
    <x v="8"/>
  </r>
  <r>
    <x v="4"/>
    <s v="Administración de personal"/>
    <n v="45855"/>
    <n v="45863"/>
    <n v="3"/>
    <n v="3"/>
    <n v="16"/>
    <n v="3.2"/>
    <n v="0.42857142857142855"/>
    <x v="9"/>
    <n v="0"/>
    <d v="2025-06-30T00:00:00"/>
    <x v="0"/>
  </r>
  <r>
    <x v="4"/>
    <s v="Administración de personal"/>
    <n v="45855"/>
    <n v="45863"/>
    <n v="3"/>
    <n v="3"/>
    <n v="16"/>
    <n v="3.2"/>
    <n v="0.42857142857142855"/>
    <x v="10"/>
    <n v="0"/>
    <d v="2025-06-30T00:00:00"/>
    <x v="0"/>
  </r>
  <r>
    <x v="4"/>
    <s v="Administración de personal"/>
    <n v="45855"/>
    <n v="45863"/>
    <n v="3"/>
    <n v="3"/>
    <n v="16"/>
    <n v="3.2"/>
    <n v="0.42857142857142855"/>
    <x v="11"/>
    <n v="0"/>
    <d v="2025-06-30T00:00:00"/>
    <x v="0"/>
  </r>
  <r>
    <x v="4"/>
    <s v="Capacitación y desarrollo"/>
    <n v="45848"/>
    <n v="45855"/>
    <n v="3"/>
    <n v="3"/>
    <n v="10"/>
    <n v="2"/>
    <n v="0.5"/>
    <x v="0"/>
    <n v="0"/>
    <d v="2025-06-30T00:00:00"/>
    <x v="0"/>
  </r>
  <r>
    <x v="4"/>
    <s v="Capacitación y desarrollo"/>
    <n v="45848"/>
    <n v="45855"/>
    <n v="3"/>
    <n v="3"/>
    <n v="10"/>
    <n v="2"/>
    <n v="0.5"/>
    <x v="1"/>
    <n v="1"/>
    <d v="2025-07-07T00:00:00"/>
    <x v="1"/>
  </r>
  <r>
    <x v="4"/>
    <s v="Capacitación y desarrollo"/>
    <n v="45848"/>
    <n v="45855"/>
    <n v="3"/>
    <n v="3"/>
    <n v="10"/>
    <n v="2"/>
    <n v="0.5"/>
    <x v="2"/>
    <n v="2"/>
    <d v="2025-07-14T00:00:00"/>
    <x v="2"/>
  </r>
  <r>
    <x v="4"/>
    <s v="Capacitación y desarrollo"/>
    <n v="45848"/>
    <n v="45855"/>
    <n v="3"/>
    <n v="3"/>
    <n v="10"/>
    <n v="2"/>
    <n v="0.5"/>
    <x v="3"/>
    <n v="0"/>
    <d v="2025-07-21T00:00:00"/>
    <x v="3"/>
  </r>
  <r>
    <x v="4"/>
    <s v="Capacitación y desarrollo"/>
    <n v="45848"/>
    <n v="45855"/>
    <n v="3"/>
    <n v="3"/>
    <n v="10"/>
    <n v="2"/>
    <n v="0.5"/>
    <x v="4"/>
    <n v="0"/>
    <d v="2025-07-28T00:00:00"/>
    <x v="4"/>
  </r>
  <r>
    <x v="4"/>
    <s v="Capacitación y desarrollo"/>
    <n v="45848"/>
    <n v="45855"/>
    <n v="3"/>
    <n v="3"/>
    <n v="10"/>
    <n v="2"/>
    <n v="0.5"/>
    <x v="5"/>
    <n v="0"/>
    <d v="2025-08-04T00:00:00"/>
    <x v="5"/>
  </r>
  <r>
    <x v="4"/>
    <s v="Capacitación y desarrollo"/>
    <n v="45848"/>
    <n v="45855"/>
    <n v="3"/>
    <n v="3"/>
    <n v="10"/>
    <n v="2"/>
    <n v="0.5"/>
    <x v="6"/>
    <n v="0"/>
    <d v="2025-08-11T00:00:00"/>
    <x v="6"/>
  </r>
  <r>
    <x v="4"/>
    <s v="Capacitación y desarrollo"/>
    <n v="45848"/>
    <n v="45855"/>
    <n v="3"/>
    <n v="3"/>
    <n v="10"/>
    <n v="2"/>
    <n v="0.5"/>
    <x v="7"/>
    <n v="0"/>
    <d v="2025-08-18T00:00:00"/>
    <x v="7"/>
  </r>
  <r>
    <x v="4"/>
    <s v="Capacitación y desarrollo"/>
    <n v="45848"/>
    <n v="45855"/>
    <n v="3"/>
    <n v="3"/>
    <n v="10"/>
    <n v="2"/>
    <n v="0.5"/>
    <x v="8"/>
    <n v="0"/>
    <d v="2025-08-25T00:00:00"/>
    <x v="8"/>
  </r>
  <r>
    <x v="4"/>
    <s v="Capacitación y desarrollo"/>
    <n v="45848"/>
    <n v="45855"/>
    <n v="3"/>
    <n v="3"/>
    <n v="10"/>
    <n v="2"/>
    <n v="0.5"/>
    <x v="9"/>
    <n v="0"/>
    <d v="2025-06-30T00:00:00"/>
    <x v="0"/>
  </r>
  <r>
    <x v="4"/>
    <s v="Capacitación y desarrollo"/>
    <n v="45848"/>
    <n v="45855"/>
    <n v="3"/>
    <n v="3"/>
    <n v="10"/>
    <n v="2"/>
    <n v="0.5"/>
    <x v="10"/>
    <n v="0"/>
    <d v="2025-06-30T00:00:00"/>
    <x v="0"/>
  </r>
  <r>
    <x v="4"/>
    <s v="Capacitación y desarrollo"/>
    <n v="45848"/>
    <n v="45855"/>
    <n v="3"/>
    <n v="3"/>
    <n v="10"/>
    <n v="2"/>
    <n v="0.5"/>
    <x v="11"/>
    <n v="0"/>
    <d v="2025-06-30T00:00:00"/>
    <x v="0"/>
  </r>
  <r>
    <x v="4"/>
    <s v="Evaluación del desempeño"/>
    <n v="45848"/>
    <n v="45855"/>
    <n v="10"/>
    <n v="10"/>
    <n v="10"/>
    <n v="2"/>
    <n v="1.6666666666666667"/>
    <x v="0"/>
    <n v="0"/>
    <d v="2025-06-30T00:00:00"/>
    <x v="0"/>
  </r>
  <r>
    <x v="4"/>
    <s v="Evaluación del desempeño"/>
    <n v="45848"/>
    <n v="45855"/>
    <n v="10"/>
    <n v="10"/>
    <n v="10"/>
    <n v="2"/>
    <n v="1.6666666666666667"/>
    <x v="1"/>
    <n v="3.3333333333333339"/>
    <d v="2025-07-07T00:00:00"/>
    <x v="1"/>
  </r>
  <r>
    <x v="4"/>
    <s v="Evaluación del desempeño"/>
    <n v="45848"/>
    <n v="45855"/>
    <n v="10"/>
    <n v="10"/>
    <n v="10"/>
    <n v="2"/>
    <n v="1.6666666666666667"/>
    <x v="2"/>
    <n v="6.666666666666667"/>
    <d v="2025-07-14T00:00:00"/>
    <x v="2"/>
  </r>
  <r>
    <x v="4"/>
    <s v="Evaluación del desempeño"/>
    <n v="45848"/>
    <n v="45855"/>
    <n v="10"/>
    <n v="10"/>
    <n v="10"/>
    <n v="2"/>
    <n v="1.6666666666666667"/>
    <x v="3"/>
    <n v="0"/>
    <d v="2025-07-21T00:00:00"/>
    <x v="3"/>
  </r>
  <r>
    <x v="4"/>
    <s v="Evaluación del desempeño"/>
    <n v="45848"/>
    <n v="45855"/>
    <n v="10"/>
    <n v="10"/>
    <n v="10"/>
    <n v="2"/>
    <n v="1.6666666666666667"/>
    <x v="4"/>
    <n v="0"/>
    <d v="2025-07-28T00:00:00"/>
    <x v="4"/>
  </r>
  <r>
    <x v="4"/>
    <s v="Evaluación del desempeño"/>
    <n v="45848"/>
    <n v="45855"/>
    <n v="10"/>
    <n v="10"/>
    <n v="10"/>
    <n v="2"/>
    <n v="1.6666666666666667"/>
    <x v="5"/>
    <n v="0"/>
    <d v="2025-08-04T00:00:00"/>
    <x v="5"/>
  </r>
  <r>
    <x v="4"/>
    <s v="Evaluación del desempeño"/>
    <n v="45848"/>
    <n v="45855"/>
    <n v="10"/>
    <n v="10"/>
    <n v="10"/>
    <n v="2"/>
    <n v="1.6666666666666667"/>
    <x v="6"/>
    <n v="0"/>
    <d v="2025-08-11T00:00:00"/>
    <x v="6"/>
  </r>
  <r>
    <x v="4"/>
    <s v="Evaluación del desempeño"/>
    <n v="45848"/>
    <n v="45855"/>
    <n v="10"/>
    <n v="10"/>
    <n v="10"/>
    <n v="2"/>
    <n v="1.6666666666666667"/>
    <x v="7"/>
    <n v="0"/>
    <d v="2025-08-18T00:00:00"/>
    <x v="7"/>
  </r>
  <r>
    <x v="4"/>
    <s v="Evaluación del desempeño"/>
    <n v="45848"/>
    <n v="45855"/>
    <n v="10"/>
    <n v="10"/>
    <n v="10"/>
    <n v="2"/>
    <n v="1.6666666666666667"/>
    <x v="8"/>
    <n v="0"/>
    <d v="2025-08-25T00:00:00"/>
    <x v="8"/>
  </r>
  <r>
    <x v="4"/>
    <s v="Evaluación del desempeño"/>
    <n v="45848"/>
    <n v="45855"/>
    <n v="10"/>
    <n v="10"/>
    <n v="10"/>
    <n v="2"/>
    <n v="1.6666666666666667"/>
    <x v="9"/>
    <n v="0"/>
    <d v="2025-06-30T00:00:00"/>
    <x v="0"/>
  </r>
  <r>
    <x v="4"/>
    <s v="Evaluación del desempeño"/>
    <n v="45848"/>
    <n v="45855"/>
    <n v="10"/>
    <n v="10"/>
    <n v="10"/>
    <n v="2"/>
    <n v="1.6666666666666667"/>
    <x v="10"/>
    <n v="0"/>
    <d v="2025-06-30T00:00:00"/>
    <x v="0"/>
  </r>
  <r>
    <x v="4"/>
    <s v="Evaluación del desempeño"/>
    <n v="45848"/>
    <n v="45855"/>
    <n v="10"/>
    <n v="10"/>
    <n v="10"/>
    <n v="2"/>
    <n v="1.6666666666666667"/>
    <x v="11"/>
    <n v="0"/>
    <d v="2025-06-30T00:00:00"/>
    <x v="0"/>
  </r>
  <r>
    <x v="4"/>
    <s v="Reclutamiento y selección"/>
    <n v="45862"/>
    <n v="45869"/>
    <n v="6"/>
    <n v="6"/>
    <n v="20"/>
    <n v="4"/>
    <n v="1"/>
    <x v="0"/>
    <n v="0"/>
    <d v="2025-06-30T00:00:00"/>
    <x v="0"/>
  </r>
  <r>
    <x v="4"/>
    <s v="Reclutamiento y selección"/>
    <n v="45862"/>
    <n v="45869"/>
    <n v="6"/>
    <n v="6"/>
    <n v="20"/>
    <n v="4"/>
    <n v="1"/>
    <x v="1"/>
    <n v="0"/>
    <d v="2025-07-07T00:00:00"/>
    <x v="1"/>
  </r>
  <r>
    <x v="4"/>
    <s v="Reclutamiento y selección"/>
    <n v="45862"/>
    <n v="45869"/>
    <n v="6"/>
    <n v="6"/>
    <n v="20"/>
    <n v="4"/>
    <n v="1"/>
    <x v="2"/>
    <n v="0"/>
    <d v="2025-07-14T00:00:00"/>
    <x v="2"/>
  </r>
  <r>
    <x v="4"/>
    <s v="Reclutamiento y selección"/>
    <n v="45862"/>
    <n v="45869"/>
    <n v="6"/>
    <n v="6"/>
    <n v="20"/>
    <n v="4"/>
    <n v="1"/>
    <x v="3"/>
    <n v="2"/>
    <d v="2025-07-21T00:00:00"/>
    <x v="3"/>
  </r>
  <r>
    <x v="4"/>
    <s v="Reclutamiento y selección"/>
    <n v="45862"/>
    <n v="45869"/>
    <n v="6"/>
    <n v="6"/>
    <n v="20"/>
    <n v="4"/>
    <n v="1"/>
    <x v="4"/>
    <n v="4"/>
    <d v="2025-07-28T00:00:00"/>
    <x v="4"/>
  </r>
  <r>
    <x v="4"/>
    <s v="Reclutamiento y selección"/>
    <n v="45862"/>
    <n v="45869"/>
    <n v="6"/>
    <n v="6"/>
    <n v="20"/>
    <n v="4"/>
    <n v="1"/>
    <x v="5"/>
    <n v="0"/>
    <d v="2025-08-04T00:00:00"/>
    <x v="5"/>
  </r>
  <r>
    <x v="4"/>
    <s v="Reclutamiento y selección"/>
    <n v="45862"/>
    <n v="45869"/>
    <n v="6"/>
    <n v="6"/>
    <n v="20"/>
    <n v="4"/>
    <n v="1"/>
    <x v="6"/>
    <n v="0"/>
    <d v="2025-08-11T00:00:00"/>
    <x v="6"/>
  </r>
  <r>
    <x v="4"/>
    <s v="Reclutamiento y selección"/>
    <n v="45862"/>
    <n v="45869"/>
    <n v="6"/>
    <n v="6"/>
    <n v="20"/>
    <n v="4"/>
    <n v="1"/>
    <x v="7"/>
    <n v="0"/>
    <d v="2025-08-18T00:00:00"/>
    <x v="7"/>
  </r>
  <r>
    <x v="4"/>
    <s v="Reclutamiento y selección"/>
    <n v="45862"/>
    <n v="45869"/>
    <n v="6"/>
    <n v="6"/>
    <n v="20"/>
    <n v="4"/>
    <n v="1"/>
    <x v="8"/>
    <n v="0"/>
    <d v="2025-08-25T00:00:00"/>
    <x v="8"/>
  </r>
  <r>
    <x v="4"/>
    <s v="Reclutamiento y selección"/>
    <n v="45862"/>
    <n v="45869"/>
    <n v="6"/>
    <n v="6"/>
    <n v="20"/>
    <n v="4"/>
    <n v="1"/>
    <x v="9"/>
    <n v="0"/>
    <d v="2025-06-30T00:00:00"/>
    <x v="0"/>
  </r>
  <r>
    <x v="4"/>
    <s v="Reclutamiento y selección"/>
    <n v="45862"/>
    <n v="45869"/>
    <n v="6"/>
    <n v="6"/>
    <n v="20"/>
    <n v="4"/>
    <n v="1"/>
    <x v="10"/>
    <n v="0"/>
    <d v="2025-06-30T00:00:00"/>
    <x v="0"/>
  </r>
  <r>
    <x v="4"/>
    <s v="Reclutamiento y selección"/>
    <n v="45862"/>
    <n v="45869"/>
    <n v="6"/>
    <n v="6"/>
    <n v="20"/>
    <n v="4"/>
    <n v="1"/>
    <x v="11"/>
    <n v="0"/>
    <d v="2025-06-30T00:00:00"/>
    <x v="0"/>
  </r>
  <r>
    <x v="4"/>
    <s v="Inducción y bienvenida"/>
    <n v="45862"/>
    <n v="45869"/>
    <n v="2.5"/>
    <n v="2.5"/>
    <n v="20"/>
    <n v="4"/>
    <n v="0.41666666666666669"/>
    <x v="0"/>
    <n v="0"/>
    <d v="2025-06-30T00:00:00"/>
    <x v="0"/>
  </r>
  <r>
    <x v="4"/>
    <s v="Inducción y bienvenida"/>
    <n v="45862"/>
    <n v="45869"/>
    <n v="2.5"/>
    <n v="2.5"/>
    <n v="20"/>
    <n v="4"/>
    <n v="0.41666666666666669"/>
    <x v="1"/>
    <n v="0"/>
    <d v="2025-07-07T00:00:00"/>
    <x v="1"/>
  </r>
  <r>
    <x v="4"/>
    <s v="Inducción y bienvenida"/>
    <n v="45862"/>
    <n v="45869"/>
    <n v="2.5"/>
    <n v="2.5"/>
    <n v="20"/>
    <n v="4"/>
    <n v="0.41666666666666669"/>
    <x v="2"/>
    <n v="0"/>
    <d v="2025-07-14T00:00:00"/>
    <x v="2"/>
  </r>
  <r>
    <x v="4"/>
    <s v="Inducción y bienvenida"/>
    <n v="45862"/>
    <n v="45869"/>
    <n v="2.5"/>
    <n v="2.5"/>
    <n v="20"/>
    <n v="4"/>
    <n v="0.41666666666666669"/>
    <x v="3"/>
    <n v="0.83333333333333348"/>
    <d v="2025-07-21T00:00:00"/>
    <x v="3"/>
  </r>
  <r>
    <x v="4"/>
    <s v="Inducción y bienvenida"/>
    <n v="45862"/>
    <n v="45869"/>
    <n v="2.5"/>
    <n v="2.5"/>
    <n v="20"/>
    <n v="4"/>
    <n v="0.41666666666666669"/>
    <x v="4"/>
    <n v="1.6666666666666667"/>
    <d v="2025-07-28T00:00:00"/>
    <x v="4"/>
  </r>
  <r>
    <x v="4"/>
    <s v="Inducción y bienvenida"/>
    <n v="45862"/>
    <n v="45869"/>
    <n v="2.5"/>
    <n v="2.5"/>
    <n v="20"/>
    <n v="4"/>
    <n v="0.41666666666666669"/>
    <x v="5"/>
    <n v="0"/>
    <d v="2025-08-04T00:00:00"/>
    <x v="5"/>
  </r>
  <r>
    <x v="4"/>
    <s v="Inducción y bienvenida"/>
    <n v="45862"/>
    <n v="45869"/>
    <n v="2.5"/>
    <n v="2.5"/>
    <n v="20"/>
    <n v="4"/>
    <n v="0.41666666666666669"/>
    <x v="6"/>
    <n v="0"/>
    <d v="2025-08-11T00:00:00"/>
    <x v="6"/>
  </r>
  <r>
    <x v="4"/>
    <s v="Inducción y bienvenida"/>
    <n v="45862"/>
    <n v="45869"/>
    <n v="2.5"/>
    <n v="2.5"/>
    <n v="20"/>
    <n v="4"/>
    <n v="0.41666666666666669"/>
    <x v="7"/>
    <n v="0"/>
    <d v="2025-08-18T00:00:00"/>
    <x v="7"/>
  </r>
  <r>
    <x v="4"/>
    <s v="Inducción y bienvenida"/>
    <n v="45862"/>
    <n v="45869"/>
    <n v="2.5"/>
    <n v="2.5"/>
    <n v="20"/>
    <n v="4"/>
    <n v="0.41666666666666669"/>
    <x v="8"/>
    <n v="0"/>
    <d v="2025-08-25T00:00:00"/>
    <x v="8"/>
  </r>
  <r>
    <x v="4"/>
    <s v="Inducción y bienvenida"/>
    <n v="45862"/>
    <n v="45869"/>
    <n v="2.5"/>
    <n v="2.5"/>
    <n v="20"/>
    <n v="4"/>
    <n v="0.41666666666666669"/>
    <x v="9"/>
    <n v="0"/>
    <d v="2025-06-30T00:00:00"/>
    <x v="0"/>
  </r>
  <r>
    <x v="4"/>
    <s v="Inducción y bienvenida"/>
    <n v="45862"/>
    <n v="45869"/>
    <n v="2.5"/>
    <n v="2.5"/>
    <n v="20"/>
    <n v="4"/>
    <n v="0.41666666666666669"/>
    <x v="10"/>
    <n v="0"/>
    <d v="2025-06-30T00:00:00"/>
    <x v="0"/>
  </r>
  <r>
    <x v="4"/>
    <s v="Inducción y bienvenida"/>
    <n v="45862"/>
    <n v="45869"/>
    <n v="2.5"/>
    <n v="2.5"/>
    <n v="20"/>
    <n v="4"/>
    <n v="0.41666666666666669"/>
    <x v="11"/>
    <n v="0"/>
    <d v="2025-06-30T00:00:00"/>
    <x v="0"/>
  </r>
  <r>
    <x v="4"/>
    <s v="Gestión del clima laboral"/>
    <n v="45848"/>
    <n v="45855"/>
    <n v="3.5"/>
    <n v="3.5"/>
    <n v="10"/>
    <n v="2"/>
    <n v="0.58333333333333337"/>
    <x v="0"/>
    <n v="0"/>
    <d v="2025-06-30T00:00:00"/>
    <x v="0"/>
  </r>
  <r>
    <x v="4"/>
    <s v="Gestión del clima laboral"/>
    <n v="45848"/>
    <n v="45855"/>
    <n v="3.5"/>
    <n v="3.5"/>
    <n v="10"/>
    <n v="2"/>
    <n v="0.58333333333333337"/>
    <x v="1"/>
    <n v="1.166666666666667"/>
    <d v="2025-07-07T00:00:00"/>
    <x v="1"/>
  </r>
  <r>
    <x v="4"/>
    <s v="Gestión del clima laboral"/>
    <n v="45848"/>
    <n v="45855"/>
    <n v="3.5"/>
    <n v="3.5"/>
    <n v="10"/>
    <n v="2"/>
    <n v="0.58333333333333337"/>
    <x v="2"/>
    <n v="2.3333333333333335"/>
    <d v="2025-07-14T00:00:00"/>
    <x v="2"/>
  </r>
  <r>
    <x v="4"/>
    <s v="Gestión del clima laboral"/>
    <n v="45848"/>
    <n v="45855"/>
    <n v="3.5"/>
    <n v="3.5"/>
    <n v="10"/>
    <n v="2"/>
    <n v="0.58333333333333337"/>
    <x v="3"/>
    <n v="0"/>
    <d v="2025-07-21T00:00:00"/>
    <x v="3"/>
  </r>
  <r>
    <x v="4"/>
    <s v="Gestión del clima laboral"/>
    <n v="45848"/>
    <n v="45855"/>
    <n v="3.5"/>
    <n v="3.5"/>
    <n v="10"/>
    <n v="2"/>
    <n v="0.58333333333333337"/>
    <x v="4"/>
    <n v="0"/>
    <d v="2025-07-28T00:00:00"/>
    <x v="4"/>
  </r>
  <r>
    <x v="4"/>
    <s v="Gestión del clima laboral"/>
    <n v="45848"/>
    <n v="45855"/>
    <n v="3.5"/>
    <n v="3.5"/>
    <n v="10"/>
    <n v="2"/>
    <n v="0.58333333333333337"/>
    <x v="5"/>
    <n v="0"/>
    <d v="2025-08-04T00:00:00"/>
    <x v="5"/>
  </r>
  <r>
    <x v="4"/>
    <s v="Gestión del clima laboral"/>
    <n v="45848"/>
    <n v="45855"/>
    <n v="3.5"/>
    <n v="3.5"/>
    <n v="10"/>
    <n v="2"/>
    <n v="0.58333333333333337"/>
    <x v="6"/>
    <n v="0"/>
    <d v="2025-08-11T00:00:00"/>
    <x v="6"/>
  </r>
  <r>
    <x v="4"/>
    <s v="Gestión del clima laboral"/>
    <n v="45848"/>
    <n v="45855"/>
    <n v="3.5"/>
    <n v="3.5"/>
    <n v="10"/>
    <n v="2"/>
    <n v="0.58333333333333337"/>
    <x v="7"/>
    <n v="0"/>
    <d v="2025-08-18T00:00:00"/>
    <x v="7"/>
  </r>
  <r>
    <x v="4"/>
    <s v="Gestión del clima laboral"/>
    <n v="45848"/>
    <n v="45855"/>
    <n v="3.5"/>
    <n v="3.5"/>
    <n v="10"/>
    <n v="2"/>
    <n v="0.58333333333333337"/>
    <x v="8"/>
    <n v="0"/>
    <d v="2025-08-25T00:00:00"/>
    <x v="8"/>
  </r>
  <r>
    <x v="4"/>
    <s v="Gestión del clima laboral"/>
    <n v="45848"/>
    <n v="45855"/>
    <n v="3.5"/>
    <n v="3.5"/>
    <n v="10"/>
    <n v="2"/>
    <n v="0.58333333333333337"/>
    <x v="9"/>
    <n v="0"/>
    <d v="2025-06-30T00:00:00"/>
    <x v="0"/>
  </r>
  <r>
    <x v="4"/>
    <s v="Gestión del clima laboral"/>
    <n v="45848"/>
    <n v="45855"/>
    <n v="3.5"/>
    <n v="3.5"/>
    <n v="10"/>
    <n v="2"/>
    <n v="0.58333333333333337"/>
    <x v="10"/>
    <n v="0"/>
    <d v="2025-06-30T00:00:00"/>
    <x v="0"/>
  </r>
  <r>
    <x v="4"/>
    <s v="Gestión del clima laboral"/>
    <n v="45848"/>
    <n v="45855"/>
    <n v="3.5"/>
    <n v="3.5"/>
    <n v="10"/>
    <n v="2"/>
    <n v="0.58333333333333337"/>
    <x v="11"/>
    <n v="0"/>
    <d v="2025-06-30T00:00:00"/>
    <x v="0"/>
  </r>
  <r>
    <x v="4"/>
    <s v="Gestión de salud y seguridad ocupacional"/>
    <n v="45848"/>
    <n v="45855"/>
    <n v="2.5"/>
    <n v="2.5"/>
    <n v="10"/>
    <n v="2"/>
    <n v="0.41666666666666669"/>
    <x v="0"/>
    <n v="0"/>
    <d v="2025-06-30T00:00:00"/>
    <x v="0"/>
  </r>
  <r>
    <x v="4"/>
    <s v="Gestión de salud y seguridad ocupacional"/>
    <n v="45848"/>
    <n v="45855"/>
    <n v="2.5"/>
    <n v="2.5"/>
    <n v="10"/>
    <n v="2"/>
    <n v="0.41666666666666669"/>
    <x v="1"/>
    <n v="0.83333333333333348"/>
    <d v="2025-07-07T00:00:00"/>
    <x v="1"/>
  </r>
  <r>
    <x v="4"/>
    <s v="Gestión de salud y seguridad ocupacional"/>
    <n v="45848"/>
    <n v="45855"/>
    <n v="2.5"/>
    <n v="2.5"/>
    <n v="10"/>
    <n v="2"/>
    <n v="0.41666666666666669"/>
    <x v="2"/>
    <n v="1.6666666666666667"/>
    <d v="2025-07-14T00:00:00"/>
    <x v="2"/>
  </r>
  <r>
    <x v="4"/>
    <s v="Gestión de salud y seguridad ocupacional"/>
    <n v="45848"/>
    <n v="45855"/>
    <n v="2.5"/>
    <n v="2.5"/>
    <n v="10"/>
    <n v="2"/>
    <n v="0.41666666666666669"/>
    <x v="3"/>
    <n v="0"/>
    <d v="2025-07-21T00:00:00"/>
    <x v="3"/>
  </r>
  <r>
    <x v="4"/>
    <s v="Gestión de salud y seguridad ocupacional"/>
    <n v="45848"/>
    <n v="45855"/>
    <n v="2.5"/>
    <n v="2.5"/>
    <n v="10"/>
    <n v="2"/>
    <n v="0.41666666666666669"/>
    <x v="4"/>
    <n v="0"/>
    <d v="2025-07-28T00:00:00"/>
    <x v="4"/>
  </r>
  <r>
    <x v="4"/>
    <s v="Gestión de salud y seguridad ocupacional"/>
    <n v="45848"/>
    <n v="45855"/>
    <n v="2.5"/>
    <n v="2.5"/>
    <n v="10"/>
    <n v="2"/>
    <n v="0.41666666666666669"/>
    <x v="5"/>
    <n v="0"/>
    <d v="2025-08-04T00:00:00"/>
    <x v="5"/>
  </r>
  <r>
    <x v="4"/>
    <s v="Gestión de salud y seguridad ocupacional"/>
    <n v="45848"/>
    <n v="45855"/>
    <n v="2.5"/>
    <n v="2.5"/>
    <n v="10"/>
    <n v="2"/>
    <n v="0.41666666666666669"/>
    <x v="6"/>
    <n v="0"/>
    <d v="2025-08-11T00:00:00"/>
    <x v="6"/>
  </r>
  <r>
    <x v="4"/>
    <s v="Gestión de salud y seguridad ocupacional"/>
    <n v="45848"/>
    <n v="45855"/>
    <n v="2.5"/>
    <n v="2.5"/>
    <n v="10"/>
    <n v="2"/>
    <n v="0.41666666666666669"/>
    <x v="7"/>
    <n v="0"/>
    <d v="2025-08-18T00:00:00"/>
    <x v="7"/>
  </r>
  <r>
    <x v="4"/>
    <s v="Gestión de salud y seguridad ocupacional"/>
    <n v="45848"/>
    <n v="45855"/>
    <n v="2.5"/>
    <n v="2.5"/>
    <n v="10"/>
    <n v="2"/>
    <n v="0.41666666666666669"/>
    <x v="8"/>
    <n v="0"/>
    <d v="2025-08-25T00:00:00"/>
    <x v="8"/>
  </r>
  <r>
    <x v="4"/>
    <s v="Gestión de salud y seguridad ocupacional"/>
    <n v="45848"/>
    <n v="45855"/>
    <n v="2.5"/>
    <n v="2.5"/>
    <n v="10"/>
    <n v="2"/>
    <n v="0.41666666666666669"/>
    <x v="9"/>
    <n v="0"/>
    <d v="2025-06-30T00:00:00"/>
    <x v="0"/>
  </r>
  <r>
    <x v="4"/>
    <s v="Gestión de salud y seguridad ocupacional"/>
    <n v="45848"/>
    <n v="45855"/>
    <n v="2.5"/>
    <n v="2.5"/>
    <n v="10"/>
    <n v="2"/>
    <n v="0.41666666666666669"/>
    <x v="10"/>
    <n v="0"/>
    <d v="2025-06-30T00:00:00"/>
    <x v="0"/>
  </r>
  <r>
    <x v="4"/>
    <s v="Gestión de salud y seguridad ocupacional"/>
    <n v="45848"/>
    <n v="45855"/>
    <n v="2.5"/>
    <n v="2.5"/>
    <n v="10"/>
    <n v="2"/>
    <n v="0.41666666666666669"/>
    <x v="11"/>
    <n v="0"/>
    <d v="2025-06-30T00:00:00"/>
    <x v="0"/>
  </r>
  <r>
    <x v="4"/>
    <s v="Cumplimiento legal y normativo"/>
    <n v="45862"/>
    <n v="45869"/>
    <n v="3"/>
    <n v="3"/>
    <n v="20"/>
    <n v="4"/>
    <n v="0.5"/>
    <x v="0"/>
    <n v="0"/>
    <d v="2025-06-30T00:00:00"/>
    <x v="0"/>
  </r>
  <r>
    <x v="4"/>
    <s v="Cumplimiento legal y normativo"/>
    <n v="45862"/>
    <n v="45869"/>
    <n v="3"/>
    <n v="3"/>
    <n v="20"/>
    <n v="4"/>
    <n v="0.5"/>
    <x v="1"/>
    <n v="0"/>
    <d v="2025-07-07T00:00:00"/>
    <x v="1"/>
  </r>
  <r>
    <x v="4"/>
    <s v="Cumplimiento legal y normativo"/>
    <n v="45862"/>
    <n v="45869"/>
    <n v="3"/>
    <n v="3"/>
    <n v="20"/>
    <n v="4"/>
    <n v="0.5"/>
    <x v="2"/>
    <n v="0"/>
    <d v="2025-07-14T00:00:00"/>
    <x v="2"/>
  </r>
  <r>
    <x v="4"/>
    <s v="Cumplimiento legal y normativo"/>
    <n v="45862"/>
    <n v="45869"/>
    <n v="3"/>
    <n v="3"/>
    <n v="20"/>
    <n v="4"/>
    <n v="0.5"/>
    <x v="3"/>
    <n v="1"/>
    <d v="2025-07-21T00:00:00"/>
    <x v="3"/>
  </r>
  <r>
    <x v="4"/>
    <s v="Cumplimiento legal y normativo"/>
    <n v="45862"/>
    <n v="45869"/>
    <n v="3"/>
    <n v="3"/>
    <n v="20"/>
    <n v="4"/>
    <n v="0.5"/>
    <x v="4"/>
    <n v="2"/>
    <d v="2025-07-28T00:00:00"/>
    <x v="4"/>
  </r>
  <r>
    <x v="4"/>
    <s v="Cumplimiento legal y normativo"/>
    <n v="45862"/>
    <n v="45869"/>
    <n v="3"/>
    <n v="3"/>
    <n v="20"/>
    <n v="4"/>
    <n v="0.5"/>
    <x v="5"/>
    <n v="0"/>
    <d v="2025-08-04T00:00:00"/>
    <x v="5"/>
  </r>
  <r>
    <x v="4"/>
    <s v="Cumplimiento legal y normativo"/>
    <n v="45862"/>
    <n v="45869"/>
    <n v="3"/>
    <n v="3"/>
    <n v="20"/>
    <n v="4"/>
    <n v="0.5"/>
    <x v="6"/>
    <n v="0"/>
    <d v="2025-08-11T00:00:00"/>
    <x v="6"/>
  </r>
  <r>
    <x v="4"/>
    <s v="Cumplimiento legal y normativo"/>
    <n v="45862"/>
    <n v="45869"/>
    <n v="3"/>
    <n v="3"/>
    <n v="20"/>
    <n v="4"/>
    <n v="0.5"/>
    <x v="7"/>
    <n v="0"/>
    <d v="2025-08-18T00:00:00"/>
    <x v="7"/>
  </r>
  <r>
    <x v="4"/>
    <s v="Cumplimiento legal y normativo"/>
    <n v="45862"/>
    <n v="45869"/>
    <n v="3"/>
    <n v="3"/>
    <n v="20"/>
    <n v="4"/>
    <n v="0.5"/>
    <x v="8"/>
    <n v="0"/>
    <d v="2025-08-25T00:00:00"/>
    <x v="8"/>
  </r>
  <r>
    <x v="4"/>
    <s v="Cumplimiento legal y normativo"/>
    <n v="45862"/>
    <n v="45869"/>
    <n v="3"/>
    <n v="3"/>
    <n v="20"/>
    <n v="4"/>
    <n v="0.5"/>
    <x v="9"/>
    <n v="0"/>
    <d v="2025-06-30T00:00:00"/>
    <x v="0"/>
  </r>
  <r>
    <x v="4"/>
    <s v="Cumplimiento legal y normativo"/>
    <n v="45862"/>
    <n v="45869"/>
    <n v="3"/>
    <n v="3"/>
    <n v="20"/>
    <n v="4"/>
    <n v="0.5"/>
    <x v="10"/>
    <n v="0"/>
    <d v="2025-06-30T00:00:00"/>
    <x v="0"/>
  </r>
  <r>
    <x v="4"/>
    <s v="Cumplimiento legal y normativo"/>
    <n v="45862"/>
    <n v="45869"/>
    <n v="3"/>
    <n v="3"/>
    <n v="20"/>
    <n v="4"/>
    <n v="0.5"/>
    <x v="11"/>
    <n v="0"/>
    <d v="2025-06-30T00:00:00"/>
    <x v="0"/>
  </r>
  <r>
    <x v="4"/>
    <s v="Gestión de conflictos y relaciones laborales"/>
    <n v="45862"/>
    <n v="45869"/>
    <n v="4"/>
    <n v="4"/>
    <n v="20"/>
    <n v="4"/>
    <n v="0.66666666666666663"/>
    <x v="0"/>
    <n v="0"/>
    <d v="2025-06-30T00:00:00"/>
    <x v="0"/>
  </r>
  <r>
    <x v="4"/>
    <s v="Gestión de conflictos y relaciones laborales"/>
    <n v="45862"/>
    <n v="45869"/>
    <n v="4"/>
    <n v="4"/>
    <n v="20"/>
    <n v="4"/>
    <n v="0.66666666666666663"/>
    <x v="1"/>
    <n v="0"/>
    <d v="2025-07-07T00:00:00"/>
    <x v="1"/>
  </r>
  <r>
    <x v="4"/>
    <s v="Gestión de conflictos y relaciones laborales"/>
    <n v="45862"/>
    <n v="45869"/>
    <n v="4"/>
    <n v="4"/>
    <n v="20"/>
    <n v="4"/>
    <n v="0.66666666666666663"/>
    <x v="2"/>
    <n v="0"/>
    <d v="2025-07-14T00:00:00"/>
    <x v="2"/>
  </r>
  <r>
    <x v="4"/>
    <s v="Gestión de conflictos y relaciones laborales"/>
    <n v="45862"/>
    <n v="45869"/>
    <n v="4"/>
    <n v="4"/>
    <n v="20"/>
    <n v="4"/>
    <n v="0.66666666666666663"/>
    <x v="3"/>
    <n v="1.333333333333333"/>
    <d v="2025-07-21T00:00:00"/>
    <x v="3"/>
  </r>
  <r>
    <x v="4"/>
    <s v="Gestión de conflictos y relaciones laborales"/>
    <n v="45862"/>
    <n v="45869"/>
    <n v="4"/>
    <n v="4"/>
    <n v="20"/>
    <n v="4"/>
    <n v="0.66666666666666663"/>
    <x v="4"/>
    <n v="2.6666666666666665"/>
    <d v="2025-07-28T00:00:00"/>
    <x v="4"/>
  </r>
  <r>
    <x v="4"/>
    <s v="Gestión de conflictos y relaciones laborales"/>
    <n v="45862"/>
    <n v="45869"/>
    <n v="4"/>
    <n v="4"/>
    <n v="20"/>
    <n v="4"/>
    <n v="0.66666666666666663"/>
    <x v="5"/>
    <n v="0"/>
    <d v="2025-08-04T00:00:00"/>
    <x v="5"/>
  </r>
  <r>
    <x v="4"/>
    <s v="Gestión de conflictos y relaciones laborales"/>
    <n v="45862"/>
    <n v="45869"/>
    <n v="4"/>
    <n v="4"/>
    <n v="20"/>
    <n v="4"/>
    <n v="0.66666666666666663"/>
    <x v="6"/>
    <n v="0"/>
    <d v="2025-08-11T00:00:00"/>
    <x v="6"/>
  </r>
  <r>
    <x v="4"/>
    <s v="Gestión de conflictos y relaciones laborales"/>
    <n v="45862"/>
    <n v="45869"/>
    <n v="4"/>
    <n v="4"/>
    <n v="20"/>
    <n v="4"/>
    <n v="0.66666666666666663"/>
    <x v="7"/>
    <n v="0"/>
    <d v="2025-08-18T00:00:00"/>
    <x v="7"/>
  </r>
  <r>
    <x v="4"/>
    <s v="Gestión de conflictos y relaciones laborales"/>
    <n v="45862"/>
    <n v="45869"/>
    <n v="4"/>
    <n v="4"/>
    <n v="20"/>
    <n v="4"/>
    <n v="0.66666666666666663"/>
    <x v="8"/>
    <n v="0"/>
    <d v="2025-08-25T00:00:00"/>
    <x v="8"/>
  </r>
  <r>
    <x v="4"/>
    <s v="Gestión de conflictos y relaciones laborales"/>
    <n v="45862"/>
    <n v="45869"/>
    <n v="4"/>
    <n v="4"/>
    <n v="20"/>
    <n v="4"/>
    <n v="0.66666666666666663"/>
    <x v="9"/>
    <n v="0"/>
    <d v="2025-06-30T00:00:00"/>
    <x v="0"/>
  </r>
  <r>
    <x v="4"/>
    <s v="Gestión de conflictos y relaciones laborales"/>
    <n v="45862"/>
    <n v="45869"/>
    <n v="4"/>
    <n v="4"/>
    <n v="20"/>
    <n v="4"/>
    <n v="0.66666666666666663"/>
    <x v="10"/>
    <n v="0"/>
    <d v="2025-06-30T00:00:00"/>
    <x v="0"/>
  </r>
  <r>
    <x v="4"/>
    <s v="Gestión de conflictos y relaciones laborales"/>
    <n v="45862"/>
    <n v="45869"/>
    <n v="4"/>
    <n v="4"/>
    <n v="20"/>
    <n v="4"/>
    <n v="0.66666666666666663"/>
    <x v="11"/>
    <n v="0"/>
    <d v="2025-06-30T00:00:00"/>
    <x v="0"/>
  </r>
  <r>
    <x v="5"/>
    <s v="Cocinar"/>
    <n v="45844"/>
    <n v="45871"/>
    <n v="70"/>
    <n v="70"/>
    <n v="21"/>
    <n v="4.2"/>
    <n v="3.5"/>
    <x v="0"/>
    <n v="-3.5"/>
    <d v="2025-06-30T00:00:00"/>
    <x v="0"/>
  </r>
  <r>
    <x v="5"/>
    <s v="Cocinar"/>
    <n v="45844"/>
    <n v="45871"/>
    <n v="70"/>
    <n v="70"/>
    <n v="21"/>
    <n v="4.2"/>
    <n v="3.5"/>
    <x v="1"/>
    <n v="17.5"/>
    <d v="2025-07-07T00:00:00"/>
    <x v="1"/>
  </r>
  <r>
    <x v="5"/>
    <s v="Cocinar"/>
    <n v="45844"/>
    <n v="45871"/>
    <n v="70"/>
    <n v="70"/>
    <n v="21"/>
    <n v="4.2"/>
    <n v="3.5"/>
    <x v="2"/>
    <n v="17.5"/>
    <d v="2025-07-14T00:00:00"/>
    <x v="2"/>
  </r>
  <r>
    <x v="5"/>
    <s v="Cocinar"/>
    <n v="45844"/>
    <n v="45871"/>
    <n v="70"/>
    <n v="70"/>
    <n v="21"/>
    <n v="4.2"/>
    <n v="3.5"/>
    <x v="3"/>
    <n v="17.5"/>
    <d v="2025-07-21T00:00:00"/>
    <x v="3"/>
  </r>
  <r>
    <x v="5"/>
    <s v="Cocinar"/>
    <n v="45844"/>
    <n v="45871"/>
    <n v="70"/>
    <n v="70"/>
    <n v="21"/>
    <n v="4.2"/>
    <n v="3.5"/>
    <x v="4"/>
    <n v="21"/>
    <d v="2025-07-28T00:00:00"/>
    <x v="4"/>
  </r>
  <r>
    <x v="5"/>
    <s v="Cocinar"/>
    <n v="45844"/>
    <n v="45871"/>
    <n v="70"/>
    <n v="70"/>
    <n v="21"/>
    <n v="4.2"/>
    <n v="3.5"/>
    <x v="5"/>
    <n v="0"/>
    <d v="2025-08-04T00:00:00"/>
    <x v="5"/>
  </r>
  <r>
    <x v="5"/>
    <s v="Cocinar"/>
    <n v="45844"/>
    <n v="45871"/>
    <n v="70"/>
    <n v="70"/>
    <n v="21"/>
    <n v="4.2"/>
    <n v="3.5"/>
    <x v="6"/>
    <n v="0"/>
    <d v="2025-08-11T00:00:00"/>
    <x v="6"/>
  </r>
  <r>
    <x v="5"/>
    <s v="Cocinar"/>
    <n v="45844"/>
    <n v="45871"/>
    <n v="70"/>
    <n v="70"/>
    <n v="21"/>
    <n v="4.2"/>
    <n v="3.5"/>
    <x v="7"/>
    <n v="0"/>
    <d v="2025-08-18T00:00:00"/>
    <x v="7"/>
  </r>
  <r>
    <x v="5"/>
    <s v="Cocinar"/>
    <n v="45844"/>
    <n v="45871"/>
    <n v="70"/>
    <n v="70"/>
    <n v="21"/>
    <n v="4.2"/>
    <n v="3.5"/>
    <x v="8"/>
    <n v="0"/>
    <d v="2025-08-25T00:00:00"/>
    <x v="8"/>
  </r>
  <r>
    <x v="5"/>
    <s v="Cocinar"/>
    <n v="45844"/>
    <n v="45871"/>
    <n v="70"/>
    <n v="70"/>
    <n v="21"/>
    <n v="4.2"/>
    <n v="3.5"/>
    <x v="9"/>
    <n v="0"/>
    <d v="2025-06-30T00:00:00"/>
    <x v="0"/>
  </r>
  <r>
    <x v="5"/>
    <s v="Cocinar"/>
    <n v="45844"/>
    <n v="45871"/>
    <n v="70"/>
    <n v="70"/>
    <n v="21"/>
    <n v="4.2"/>
    <n v="3.5"/>
    <x v="10"/>
    <n v="0"/>
    <d v="2025-06-30T00:00:00"/>
    <x v="0"/>
  </r>
  <r>
    <x v="5"/>
    <s v="Cocinar"/>
    <n v="45844"/>
    <n v="45871"/>
    <n v="70"/>
    <n v="70"/>
    <n v="21"/>
    <n v="4.2"/>
    <n v="3.5"/>
    <x v="11"/>
    <n v="0"/>
    <d v="2025-06-30T00:00:00"/>
    <x v="0"/>
  </r>
  <r>
    <x v="6"/>
    <s v="Gestión de remuneraciones y beneficios"/>
    <n v="45841"/>
    <n v="45856"/>
    <n v="9"/>
    <n v="6.75"/>
    <n v="11"/>
    <n v="2.2000000000000002"/>
    <n v="0.75"/>
    <x v="0"/>
    <n v="0"/>
    <d v="2025-06-30T00:00:00"/>
    <x v="0"/>
  </r>
  <r>
    <x v="6"/>
    <s v="Gestión de remuneraciones y beneficios"/>
    <n v="45841"/>
    <n v="45856"/>
    <n v="9"/>
    <n v="6.75"/>
    <n v="11"/>
    <n v="2.2000000000000002"/>
    <n v="0.75"/>
    <x v="1"/>
    <n v="3.75"/>
    <d v="2025-07-07T00:00:00"/>
    <x v="1"/>
  </r>
  <r>
    <x v="6"/>
    <s v="Gestión de remuneraciones y beneficios"/>
    <n v="45841"/>
    <n v="45856"/>
    <n v="9"/>
    <n v="6.75"/>
    <n v="11"/>
    <n v="2.2000000000000002"/>
    <n v="0.75"/>
    <x v="2"/>
    <n v="3.75"/>
    <d v="2025-07-14T00:00:00"/>
    <x v="2"/>
  </r>
  <r>
    <x v="6"/>
    <s v="Gestión de remuneraciones y beneficios"/>
    <n v="45841"/>
    <n v="45856"/>
    <n v="9"/>
    <n v="6.75"/>
    <n v="11"/>
    <n v="2.2000000000000002"/>
    <n v="0.75"/>
    <x v="3"/>
    <n v="0"/>
    <d v="2025-07-21T00:00:00"/>
    <x v="3"/>
  </r>
  <r>
    <x v="6"/>
    <s v="Gestión de remuneraciones y beneficios"/>
    <n v="45841"/>
    <n v="45856"/>
    <n v="9"/>
    <n v="6.75"/>
    <n v="11"/>
    <n v="2.2000000000000002"/>
    <n v="0.75"/>
    <x v="4"/>
    <n v="0"/>
    <d v="2025-07-28T00:00:00"/>
    <x v="4"/>
  </r>
  <r>
    <x v="6"/>
    <s v="Gestión de remuneraciones y beneficios"/>
    <n v="45841"/>
    <n v="45856"/>
    <n v="9"/>
    <n v="6.75"/>
    <n v="11"/>
    <n v="2.2000000000000002"/>
    <n v="0.75"/>
    <x v="5"/>
    <n v="0"/>
    <d v="2025-08-04T00:00:00"/>
    <x v="5"/>
  </r>
  <r>
    <x v="6"/>
    <s v="Gestión de remuneraciones y beneficios"/>
    <n v="45841"/>
    <n v="45856"/>
    <n v="9"/>
    <n v="6.75"/>
    <n v="11"/>
    <n v="2.2000000000000002"/>
    <n v="0.75"/>
    <x v="6"/>
    <n v="0"/>
    <d v="2025-08-11T00:00:00"/>
    <x v="6"/>
  </r>
  <r>
    <x v="6"/>
    <s v="Gestión de remuneraciones y beneficios"/>
    <n v="45841"/>
    <n v="45856"/>
    <n v="9"/>
    <n v="6.75"/>
    <n v="11"/>
    <n v="2.2000000000000002"/>
    <n v="0.75"/>
    <x v="7"/>
    <n v="0"/>
    <d v="2025-08-18T00:00:00"/>
    <x v="7"/>
  </r>
  <r>
    <x v="6"/>
    <s v="Gestión de remuneraciones y beneficios"/>
    <n v="45841"/>
    <n v="45856"/>
    <n v="9"/>
    <n v="6.75"/>
    <n v="11"/>
    <n v="2.2000000000000002"/>
    <n v="0.75"/>
    <x v="8"/>
    <n v="0"/>
    <d v="2025-08-25T00:00:00"/>
    <x v="8"/>
  </r>
  <r>
    <x v="6"/>
    <s v="Gestión de remuneraciones y beneficios"/>
    <n v="45841"/>
    <n v="45856"/>
    <n v="9"/>
    <n v="6.75"/>
    <n v="11"/>
    <n v="2.2000000000000002"/>
    <n v="0.75"/>
    <x v="9"/>
    <n v="0"/>
    <d v="2025-06-30T00:00:00"/>
    <x v="0"/>
  </r>
  <r>
    <x v="6"/>
    <s v="Gestión de remuneraciones y beneficios"/>
    <n v="45841"/>
    <n v="45856"/>
    <n v="9"/>
    <n v="6.75"/>
    <n v="11"/>
    <n v="2.2000000000000002"/>
    <n v="0.75"/>
    <x v="10"/>
    <n v="0"/>
    <d v="2025-06-30T00:00:00"/>
    <x v="0"/>
  </r>
  <r>
    <x v="6"/>
    <s v="Gestión de remuneraciones y beneficios"/>
    <n v="45841"/>
    <n v="45856"/>
    <n v="9"/>
    <n v="6.75"/>
    <n v="11"/>
    <n v="2.2000000000000002"/>
    <n v="0.75"/>
    <x v="11"/>
    <n v="0"/>
    <d v="2025-06-30T00:00:00"/>
    <x v="0"/>
  </r>
  <r>
    <x v="6"/>
    <s v="Gestión de remuneraciones y beneficios"/>
    <n v="45855"/>
    <n v="45870"/>
    <n v="9"/>
    <n v="9"/>
    <n v="21"/>
    <n v="4.2"/>
    <n v="0.75"/>
    <x v="0"/>
    <n v="0"/>
    <d v="2025-06-30T00:00:00"/>
    <x v="0"/>
  </r>
  <r>
    <x v="6"/>
    <s v="Gestión de remuneraciones y beneficios"/>
    <n v="45855"/>
    <n v="45870"/>
    <n v="9"/>
    <n v="9"/>
    <n v="21"/>
    <n v="4.2"/>
    <n v="0.75"/>
    <x v="1"/>
    <n v="0"/>
    <d v="2025-07-07T00:00:00"/>
    <x v="1"/>
  </r>
  <r>
    <x v="6"/>
    <s v="Gestión de remuneraciones y beneficios"/>
    <n v="45855"/>
    <n v="45870"/>
    <n v="9"/>
    <n v="9"/>
    <n v="21"/>
    <n v="4.2"/>
    <n v="0.75"/>
    <x v="2"/>
    <n v="1.5"/>
    <d v="2025-07-14T00:00:00"/>
    <x v="2"/>
  </r>
  <r>
    <x v="6"/>
    <s v="Gestión de remuneraciones y beneficios"/>
    <n v="45855"/>
    <n v="45870"/>
    <n v="9"/>
    <n v="9"/>
    <n v="21"/>
    <n v="4.2"/>
    <n v="0.75"/>
    <x v="3"/>
    <n v="3.75"/>
    <d v="2025-07-21T00:00:00"/>
    <x v="3"/>
  </r>
  <r>
    <x v="6"/>
    <s v="Gestión de remuneraciones y beneficios"/>
    <n v="45855"/>
    <n v="45870"/>
    <n v="9"/>
    <n v="9"/>
    <n v="21"/>
    <n v="4.2"/>
    <n v="0.75"/>
    <x v="4"/>
    <n v="3.75"/>
    <d v="2025-07-28T00:00:00"/>
    <x v="4"/>
  </r>
  <r>
    <x v="6"/>
    <s v="Gestión de remuneraciones y beneficios"/>
    <n v="45855"/>
    <n v="45870"/>
    <n v="9"/>
    <n v="9"/>
    <n v="21"/>
    <n v="4.2"/>
    <n v="0.75"/>
    <x v="5"/>
    <n v="0"/>
    <d v="2025-08-04T00:00:00"/>
    <x v="5"/>
  </r>
  <r>
    <x v="6"/>
    <s v="Gestión de remuneraciones y beneficios"/>
    <n v="45855"/>
    <n v="45870"/>
    <n v="9"/>
    <n v="9"/>
    <n v="21"/>
    <n v="4.2"/>
    <n v="0.75"/>
    <x v="6"/>
    <n v="0"/>
    <d v="2025-08-11T00:00:00"/>
    <x v="6"/>
  </r>
  <r>
    <x v="6"/>
    <s v="Gestión de remuneraciones y beneficios"/>
    <n v="45855"/>
    <n v="45870"/>
    <n v="9"/>
    <n v="9"/>
    <n v="21"/>
    <n v="4.2"/>
    <n v="0.75"/>
    <x v="7"/>
    <n v="0"/>
    <d v="2025-08-18T00:00:00"/>
    <x v="7"/>
  </r>
  <r>
    <x v="6"/>
    <s v="Gestión de remuneraciones y beneficios"/>
    <n v="45855"/>
    <n v="45870"/>
    <n v="9"/>
    <n v="9"/>
    <n v="21"/>
    <n v="4.2"/>
    <n v="0.75"/>
    <x v="8"/>
    <n v="0"/>
    <d v="2025-08-25T00:00:00"/>
    <x v="8"/>
  </r>
  <r>
    <x v="6"/>
    <s v="Gestión de remuneraciones y beneficios"/>
    <n v="45855"/>
    <n v="45870"/>
    <n v="9"/>
    <n v="9"/>
    <n v="21"/>
    <n v="4.2"/>
    <n v="0.75"/>
    <x v="9"/>
    <n v="0"/>
    <d v="2025-06-30T00:00:00"/>
    <x v="0"/>
  </r>
  <r>
    <x v="6"/>
    <s v="Gestión de remuneraciones y beneficios"/>
    <n v="45855"/>
    <n v="45870"/>
    <n v="9"/>
    <n v="9"/>
    <n v="21"/>
    <n v="4.2"/>
    <n v="0.75"/>
    <x v="10"/>
    <n v="0"/>
    <d v="2025-06-30T00:00:00"/>
    <x v="0"/>
  </r>
  <r>
    <x v="6"/>
    <s v="Gestión de remuneraciones y beneficios"/>
    <n v="45855"/>
    <n v="45870"/>
    <n v="9"/>
    <n v="9"/>
    <n v="21"/>
    <n v="4.2"/>
    <n v="0.75"/>
    <x v="11"/>
    <n v="0"/>
    <d v="2025-06-30T00:00:00"/>
    <x v="0"/>
  </r>
  <r>
    <x v="6"/>
    <s v="Reclutamiento y selección"/>
    <n v="45848"/>
    <n v="45855"/>
    <n v="6"/>
    <n v="6"/>
    <n v="10"/>
    <n v="2"/>
    <n v="1"/>
    <x v="0"/>
    <n v="0"/>
    <d v="2025-06-30T00:00:00"/>
    <x v="0"/>
  </r>
  <r>
    <x v="6"/>
    <s v="Reclutamiento y selección"/>
    <n v="45848"/>
    <n v="45855"/>
    <n v="6"/>
    <n v="6"/>
    <n v="10"/>
    <n v="2"/>
    <n v="1"/>
    <x v="1"/>
    <n v="2"/>
    <d v="2025-07-07T00:00:00"/>
    <x v="1"/>
  </r>
  <r>
    <x v="6"/>
    <s v="Reclutamiento y selección"/>
    <n v="45848"/>
    <n v="45855"/>
    <n v="6"/>
    <n v="6"/>
    <n v="10"/>
    <n v="2"/>
    <n v="1"/>
    <x v="2"/>
    <n v="4"/>
    <d v="2025-07-14T00:00:00"/>
    <x v="2"/>
  </r>
  <r>
    <x v="6"/>
    <s v="Reclutamiento y selección"/>
    <n v="45848"/>
    <n v="45855"/>
    <n v="6"/>
    <n v="6"/>
    <n v="10"/>
    <n v="2"/>
    <n v="1"/>
    <x v="3"/>
    <n v="0"/>
    <d v="2025-07-21T00:00:00"/>
    <x v="3"/>
  </r>
  <r>
    <x v="6"/>
    <s v="Reclutamiento y selección"/>
    <n v="45848"/>
    <n v="45855"/>
    <n v="6"/>
    <n v="6"/>
    <n v="10"/>
    <n v="2"/>
    <n v="1"/>
    <x v="4"/>
    <n v="0"/>
    <d v="2025-07-28T00:00:00"/>
    <x v="4"/>
  </r>
  <r>
    <x v="6"/>
    <s v="Reclutamiento y selección"/>
    <n v="45848"/>
    <n v="45855"/>
    <n v="6"/>
    <n v="6"/>
    <n v="10"/>
    <n v="2"/>
    <n v="1"/>
    <x v="5"/>
    <n v="0"/>
    <d v="2025-08-04T00:00:00"/>
    <x v="5"/>
  </r>
  <r>
    <x v="6"/>
    <s v="Reclutamiento y selección"/>
    <n v="45848"/>
    <n v="45855"/>
    <n v="6"/>
    <n v="6"/>
    <n v="10"/>
    <n v="2"/>
    <n v="1"/>
    <x v="6"/>
    <n v="0"/>
    <d v="2025-08-11T00:00:00"/>
    <x v="6"/>
  </r>
  <r>
    <x v="6"/>
    <s v="Reclutamiento y selección"/>
    <n v="45848"/>
    <n v="45855"/>
    <n v="6"/>
    <n v="6"/>
    <n v="10"/>
    <n v="2"/>
    <n v="1"/>
    <x v="7"/>
    <n v="0"/>
    <d v="2025-08-18T00:00:00"/>
    <x v="7"/>
  </r>
  <r>
    <x v="6"/>
    <s v="Reclutamiento y selección"/>
    <n v="45848"/>
    <n v="45855"/>
    <n v="6"/>
    <n v="6"/>
    <n v="10"/>
    <n v="2"/>
    <n v="1"/>
    <x v="8"/>
    <n v="0"/>
    <d v="2025-08-25T00:00:00"/>
    <x v="8"/>
  </r>
  <r>
    <x v="6"/>
    <s v="Reclutamiento y selección"/>
    <n v="45848"/>
    <n v="45855"/>
    <n v="6"/>
    <n v="6"/>
    <n v="10"/>
    <n v="2"/>
    <n v="1"/>
    <x v="9"/>
    <n v="0"/>
    <d v="2025-06-30T00:00:00"/>
    <x v="0"/>
  </r>
  <r>
    <x v="6"/>
    <s v="Reclutamiento y selección"/>
    <n v="45848"/>
    <n v="45855"/>
    <n v="6"/>
    <n v="6"/>
    <n v="10"/>
    <n v="2"/>
    <n v="1"/>
    <x v="10"/>
    <n v="0"/>
    <d v="2025-06-30T00:00:00"/>
    <x v="0"/>
  </r>
  <r>
    <x v="6"/>
    <s v="Reclutamiento y selección"/>
    <n v="45848"/>
    <n v="45855"/>
    <n v="6"/>
    <n v="6"/>
    <n v="10"/>
    <n v="2"/>
    <n v="1"/>
    <x v="11"/>
    <n v="0"/>
    <d v="2025-06-30T00:00:00"/>
    <x v="0"/>
  </r>
  <r>
    <x v="6"/>
    <s v="Administración de personal"/>
    <n v="45862"/>
    <n v="45869"/>
    <n v="3"/>
    <n v="3"/>
    <n v="20"/>
    <n v="4"/>
    <n v="0.5"/>
    <x v="0"/>
    <n v="0"/>
    <d v="2025-06-30T00:00:00"/>
    <x v="0"/>
  </r>
  <r>
    <x v="6"/>
    <s v="Administración de personal"/>
    <n v="45862"/>
    <n v="45869"/>
    <n v="3"/>
    <n v="3"/>
    <n v="20"/>
    <n v="4"/>
    <n v="0.5"/>
    <x v="1"/>
    <n v="0"/>
    <d v="2025-07-07T00:00:00"/>
    <x v="1"/>
  </r>
  <r>
    <x v="6"/>
    <s v="Administración de personal"/>
    <n v="45862"/>
    <n v="45869"/>
    <n v="3"/>
    <n v="3"/>
    <n v="20"/>
    <n v="4"/>
    <n v="0.5"/>
    <x v="2"/>
    <n v="0"/>
    <d v="2025-07-14T00:00:00"/>
    <x v="2"/>
  </r>
  <r>
    <x v="6"/>
    <s v="Administración de personal"/>
    <n v="45862"/>
    <n v="45869"/>
    <n v="3"/>
    <n v="3"/>
    <n v="20"/>
    <n v="4"/>
    <n v="0.5"/>
    <x v="3"/>
    <n v="1"/>
    <d v="2025-07-21T00:00:00"/>
    <x v="3"/>
  </r>
  <r>
    <x v="6"/>
    <s v="Administración de personal"/>
    <n v="45862"/>
    <n v="45869"/>
    <n v="3"/>
    <n v="3"/>
    <n v="20"/>
    <n v="4"/>
    <n v="0.5"/>
    <x v="4"/>
    <n v="2"/>
    <d v="2025-07-28T00:00:00"/>
    <x v="4"/>
  </r>
  <r>
    <x v="6"/>
    <s v="Administración de personal"/>
    <n v="45862"/>
    <n v="45869"/>
    <n v="3"/>
    <n v="3"/>
    <n v="20"/>
    <n v="4"/>
    <n v="0.5"/>
    <x v="5"/>
    <n v="0"/>
    <d v="2025-08-04T00:00:00"/>
    <x v="5"/>
  </r>
  <r>
    <x v="6"/>
    <s v="Administración de personal"/>
    <n v="45862"/>
    <n v="45869"/>
    <n v="3"/>
    <n v="3"/>
    <n v="20"/>
    <n v="4"/>
    <n v="0.5"/>
    <x v="6"/>
    <n v="0"/>
    <d v="2025-08-11T00:00:00"/>
    <x v="6"/>
  </r>
  <r>
    <x v="6"/>
    <s v="Administración de personal"/>
    <n v="45862"/>
    <n v="45869"/>
    <n v="3"/>
    <n v="3"/>
    <n v="20"/>
    <n v="4"/>
    <n v="0.5"/>
    <x v="7"/>
    <n v="0"/>
    <d v="2025-08-18T00:00:00"/>
    <x v="7"/>
  </r>
  <r>
    <x v="6"/>
    <s v="Administración de personal"/>
    <n v="45862"/>
    <n v="45869"/>
    <n v="3"/>
    <n v="3"/>
    <n v="20"/>
    <n v="4"/>
    <n v="0.5"/>
    <x v="8"/>
    <n v="0"/>
    <d v="2025-08-25T00:00:00"/>
    <x v="8"/>
  </r>
  <r>
    <x v="6"/>
    <s v="Administración de personal"/>
    <n v="45862"/>
    <n v="45869"/>
    <n v="3"/>
    <n v="3"/>
    <n v="20"/>
    <n v="4"/>
    <n v="0.5"/>
    <x v="9"/>
    <n v="0"/>
    <d v="2025-06-30T00:00:00"/>
    <x v="0"/>
  </r>
  <r>
    <x v="6"/>
    <s v="Administración de personal"/>
    <n v="45862"/>
    <n v="45869"/>
    <n v="3"/>
    <n v="3"/>
    <n v="20"/>
    <n v="4"/>
    <n v="0.5"/>
    <x v="10"/>
    <n v="0"/>
    <d v="2025-06-30T00:00:00"/>
    <x v="0"/>
  </r>
  <r>
    <x v="6"/>
    <s v="Administración de personal"/>
    <n v="45862"/>
    <n v="45869"/>
    <n v="3"/>
    <n v="3"/>
    <n v="20"/>
    <n v="4"/>
    <n v="0.5"/>
    <x v="11"/>
    <n v="0"/>
    <d v="2025-06-30T00:00:00"/>
    <x v="0"/>
  </r>
  <r>
    <x v="6"/>
    <s v="Cumplimiento legal y normativo"/>
    <n v="45848"/>
    <n v="45855"/>
    <n v="3"/>
    <n v="3"/>
    <n v="10"/>
    <n v="2"/>
    <n v="0.5"/>
    <x v="0"/>
    <n v="0"/>
    <d v="2025-06-30T00:00:00"/>
    <x v="0"/>
  </r>
  <r>
    <x v="6"/>
    <s v="Cumplimiento legal y normativo"/>
    <n v="45848"/>
    <n v="45855"/>
    <n v="3"/>
    <n v="3"/>
    <n v="10"/>
    <n v="2"/>
    <n v="0.5"/>
    <x v="1"/>
    <n v="1"/>
    <d v="2025-07-07T00:00:00"/>
    <x v="1"/>
  </r>
  <r>
    <x v="6"/>
    <s v="Cumplimiento legal y normativo"/>
    <n v="45848"/>
    <n v="45855"/>
    <n v="3"/>
    <n v="3"/>
    <n v="10"/>
    <n v="2"/>
    <n v="0.5"/>
    <x v="2"/>
    <n v="2"/>
    <d v="2025-07-14T00:00:00"/>
    <x v="2"/>
  </r>
  <r>
    <x v="6"/>
    <s v="Cumplimiento legal y normativo"/>
    <n v="45848"/>
    <n v="45855"/>
    <n v="3"/>
    <n v="3"/>
    <n v="10"/>
    <n v="2"/>
    <n v="0.5"/>
    <x v="3"/>
    <n v="0"/>
    <d v="2025-07-21T00:00:00"/>
    <x v="3"/>
  </r>
  <r>
    <x v="6"/>
    <s v="Cumplimiento legal y normativo"/>
    <n v="45848"/>
    <n v="45855"/>
    <n v="3"/>
    <n v="3"/>
    <n v="10"/>
    <n v="2"/>
    <n v="0.5"/>
    <x v="4"/>
    <n v="0"/>
    <d v="2025-07-28T00:00:00"/>
    <x v="4"/>
  </r>
  <r>
    <x v="6"/>
    <s v="Cumplimiento legal y normativo"/>
    <n v="45848"/>
    <n v="45855"/>
    <n v="3"/>
    <n v="3"/>
    <n v="10"/>
    <n v="2"/>
    <n v="0.5"/>
    <x v="5"/>
    <n v="0"/>
    <d v="2025-08-04T00:00:00"/>
    <x v="5"/>
  </r>
  <r>
    <x v="6"/>
    <s v="Cumplimiento legal y normativo"/>
    <n v="45848"/>
    <n v="45855"/>
    <n v="3"/>
    <n v="3"/>
    <n v="10"/>
    <n v="2"/>
    <n v="0.5"/>
    <x v="6"/>
    <n v="0"/>
    <d v="2025-08-11T00:00:00"/>
    <x v="6"/>
  </r>
  <r>
    <x v="6"/>
    <s v="Cumplimiento legal y normativo"/>
    <n v="45848"/>
    <n v="45855"/>
    <n v="3"/>
    <n v="3"/>
    <n v="10"/>
    <n v="2"/>
    <n v="0.5"/>
    <x v="7"/>
    <n v="0"/>
    <d v="2025-08-18T00:00:00"/>
    <x v="7"/>
  </r>
  <r>
    <x v="6"/>
    <s v="Cumplimiento legal y normativo"/>
    <n v="45848"/>
    <n v="45855"/>
    <n v="3"/>
    <n v="3"/>
    <n v="10"/>
    <n v="2"/>
    <n v="0.5"/>
    <x v="8"/>
    <n v="0"/>
    <d v="2025-08-25T00:00:00"/>
    <x v="8"/>
  </r>
  <r>
    <x v="6"/>
    <s v="Cumplimiento legal y normativo"/>
    <n v="45848"/>
    <n v="45855"/>
    <n v="3"/>
    <n v="3"/>
    <n v="10"/>
    <n v="2"/>
    <n v="0.5"/>
    <x v="9"/>
    <n v="0"/>
    <d v="2025-06-30T00:00:00"/>
    <x v="0"/>
  </r>
  <r>
    <x v="6"/>
    <s v="Cumplimiento legal y normativo"/>
    <n v="45848"/>
    <n v="45855"/>
    <n v="3"/>
    <n v="3"/>
    <n v="10"/>
    <n v="2"/>
    <n v="0.5"/>
    <x v="10"/>
    <n v="0"/>
    <d v="2025-06-30T00:00:00"/>
    <x v="0"/>
  </r>
  <r>
    <x v="6"/>
    <s v="Cumplimiento legal y normativo"/>
    <n v="45848"/>
    <n v="45855"/>
    <n v="3"/>
    <n v="3"/>
    <n v="10"/>
    <n v="2"/>
    <n v="0.5"/>
    <x v="11"/>
    <n v="0"/>
    <d v="2025-06-30T00:00:00"/>
    <x v="0"/>
  </r>
  <r>
    <x v="6"/>
    <s v="Reclutamiento y selección"/>
    <n v="45862"/>
    <n v="45869"/>
    <n v="6"/>
    <n v="6"/>
    <n v="20"/>
    <n v="4"/>
    <n v="1"/>
    <x v="0"/>
    <n v="0"/>
    <d v="2025-06-30T00:00:00"/>
    <x v="0"/>
  </r>
  <r>
    <x v="6"/>
    <s v="Reclutamiento y selección"/>
    <n v="45862"/>
    <n v="45869"/>
    <n v="6"/>
    <n v="6"/>
    <n v="20"/>
    <n v="4"/>
    <n v="1"/>
    <x v="1"/>
    <n v="0"/>
    <d v="2025-07-07T00:00:00"/>
    <x v="1"/>
  </r>
  <r>
    <x v="6"/>
    <s v="Reclutamiento y selección"/>
    <n v="45862"/>
    <n v="45869"/>
    <n v="6"/>
    <n v="6"/>
    <n v="20"/>
    <n v="4"/>
    <n v="1"/>
    <x v="2"/>
    <n v="0"/>
    <d v="2025-07-14T00:00:00"/>
    <x v="2"/>
  </r>
  <r>
    <x v="6"/>
    <s v="Reclutamiento y selección"/>
    <n v="45862"/>
    <n v="45869"/>
    <n v="6"/>
    <n v="6"/>
    <n v="20"/>
    <n v="4"/>
    <n v="1"/>
    <x v="3"/>
    <n v="2"/>
    <d v="2025-07-21T00:00:00"/>
    <x v="3"/>
  </r>
  <r>
    <x v="6"/>
    <s v="Reclutamiento y selección"/>
    <n v="45862"/>
    <n v="45869"/>
    <n v="6"/>
    <n v="6"/>
    <n v="20"/>
    <n v="4"/>
    <n v="1"/>
    <x v="4"/>
    <n v="4"/>
    <d v="2025-07-28T00:00:00"/>
    <x v="4"/>
  </r>
  <r>
    <x v="6"/>
    <s v="Reclutamiento y selección"/>
    <n v="45862"/>
    <n v="45869"/>
    <n v="6"/>
    <n v="6"/>
    <n v="20"/>
    <n v="4"/>
    <n v="1"/>
    <x v="5"/>
    <n v="0"/>
    <d v="2025-08-04T00:00:00"/>
    <x v="5"/>
  </r>
  <r>
    <x v="6"/>
    <s v="Reclutamiento y selección"/>
    <n v="45862"/>
    <n v="45869"/>
    <n v="6"/>
    <n v="6"/>
    <n v="20"/>
    <n v="4"/>
    <n v="1"/>
    <x v="6"/>
    <n v="0"/>
    <d v="2025-08-11T00:00:00"/>
    <x v="6"/>
  </r>
  <r>
    <x v="6"/>
    <s v="Reclutamiento y selección"/>
    <n v="45862"/>
    <n v="45869"/>
    <n v="6"/>
    <n v="6"/>
    <n v="20"/>
    <n v="4"/>
    <n v="1"/>
    <x v="7"/>
    <n v="0"/>
    <d v="2025-08-18T00:00:00"/>
    <x v="7"/>
  </r>
  <r>
    <x v="6"/>
    <s v="Reclutamiento y selección"/>
    <n v="45862"/>
    <n v="45869"/>
    <n v="6"/>
    <n v="6"/>
    <n v="20"/>
    <n v="4"/>
    <n v="1"/>
    <x v="8"/>
    <n v="0"/>
    <d v="2025-08-25T00:00:00"/>
    <x v="8"/>
  </r>
  <r>
    <x v="6"/>
    <s v="Reclutamiento y selección"/>
    <n v="45862"/>
    <n v="45869"/>
    <n v="6"/>
    <n v="6"/>
    <n v="20"/>
    <n v="4"/>
    <n v="1"/>
    <x v="9"/>
    <n v="0"/>
    <d v="2025-06-30T00:00:00"/>
    <x v="0"/>
  </r>
  <r>
    <x v="6"/>
    <s v="Reclutamiento y selección"/>
    <n v="45862"/>
    <n v="45869"/>
    <n v="6"/>
    <n v="6"/>
    <n v="20"/>
    <n v="4"/>
    <n v="1"/>
    <x v="10"/>
    <n v="0"/>
    <d v="2025-06-30T00:00:00"/>
    <x v="0"/>
  </r>
  <r>
    <x v="6"/>
    <s v="Reclutamiento y selección"/>
    <n v="45862"/>
    <n v="45869"/>
    <n v="6"/>
    <n v="6"/>
    <n v="20"/>
    <n v="4"/>
    <n v="1"/>
    <x v="11"/>
    <n v="0"/>
    <d v="2025-06-30T00:00:00"/>
    <x v="0"/>
  </r>
  <r>
    <x v="7"/>
    <s v="Inducción y bienvenida"/>
    <n v="45841"/>
    <n v="45848"/>
    <n v="2.5"/>
    <n v="1.25"/>
    <n v="5"/>
    <n v="1"/>
    <n v="0.41666666666666669"/>
    <x v="0"/>
    <n v="1.1102230246251565E-16"/>
    <d v="2025-06-30T00:00:00"/>
    <x v="0"/>
  </r>
  <r>
    <x v="7"/>
    <s v="Inducción y bienvenida"/>
    <n v="45841"/>
    <n v="45848"/>
    <n v="2.5"/>
    <n v="1.25"/>
    <n v="5"/>
    <n v="1"/>
    <n v="0.41666666666666669"/>
    <x v="1"/>
    <n v="1.6666666666666667"/>
    <d v="2025-07-07T00:00:00"/>
    <x v="1"/>
  </r>
  <r>
    <x v="7"/>
    <s v="Inducción y bienvenida"/>
    <n v="45841"/>
    <n v="45848"/>
    <n v="2.5"/>
    <n v="1.25"/>
    <n v="5"/>
    <n v="1"/>
    <n v="0.41666666666666669"/>
    <x v="2"/>
    <n v="0"/>
    <d v="2025-07-14T00:00:00"/>
    <x v="2"/>
  </r>
  <r>
    <x v="7"/>
    <s v="Inducción y bienvenida"/>
    <n v="45841"/>
    <n v="45848"/>
    <n v="2.5"/>
    <n v="1.25"/>
    <n v="5"/>
    <n v="1"/>
    <n v="0.41666666666666669"/>
    <x v="3"/>
    <n v="0"/>
    <d v="2025-07-21T00:00:00"/>
    <x v="3"/>
  </r>
  <r>
    <x v="7"/>
    <s v="Inducción y bienvenida"/>
    <n v="45841"/>
    <n v="45848"/>
    <n v="2.5"/>
    <n v="1.25"/>
    <n v="5"/>
    <n v="1"/>
    <n v="0.41666666666666669"/>
    <x v="4"/>
    <n v="0"/>
    <d v="2025-07-28T00:00:00"/>
    <x v="4"/>
  </r>
  <r>
    <x v="7"/>
    <s v="Inducción y bienvenida"/>
    <n v="45841"/>
    <n v="45848"/>
    <n v="2.5"/>
    <n v="1.25"/>
    <n v="5"/>
    <n v="1"/>
    <n v="0.41666666666666669"/>
    <x v="5"/>
    <n v="0"/>
    <d v="2025-08-04T00:00:00"/>
    <x v="5"/>
  </r>
  <r>
    <x v="7"/>
    <s v="Inducción y bienvenida"/>
    <n v="45841"/>
    <n v="45848"/>
    <n v="2.5"/>
    <n v="1.25"/>
    <n v="5"/>
    <n v="1"/>
    <n v="0.41666666666666669"/>
    <x v="6"/>
    <n v="0"/>
    <d v="2025-08-11T00:00:00"/>
    <x v="6"/>
  </r>
  <r>
    <x v="7"/>
    <s v="Inducción y bienvenida"/>
    <n v="45841"/>
    <n v="45848"/>
    <n v="2.5"/>
    <n v="1.25"/>
    <n v="5"/>
    <n v="1"/>
    <n v="0.41666666666666669"/>
    <x v="7"/>
    <n v="0"/>
    <d v="2025-08-18T00:00:00"/>
    <x v="7"/>
  </r>
  <r>
    <x v="7"/>
    <s v="Inducción y bienvenida"/>
    <n v="45841"/>
    <n v="45848"/>
    <n v="2.5"/>
    <n v="1.25"/>
    <n v="5"/>
    <n v="1"/>
    <n v="0.41666666666666669"/>
    <x v="8"/>
    <n v="0"/>
    <d v="2025-08-25T00:00:00"/>
    <x v="8"/>
  </r>
  <r>
    <x v="7"/>
    <s v="Inducción y bienvenida"/>
    <n v="45841"/>
    <n v="45848"/>
    <n v="2.5"/>
    <n v="1.25"/>
    <n v="5"/>
    <n v="1"/>
    <n v="0.41666666666666669"/>
    <x v="9"/>
    <n v="0"/>
    <d v="2025-06-30T00:00:00"/>
    <x v="0"/>
  </r>
  <r>
    <x v="7"/>
    <s v="Inducción y bienvenida"/>
    <n v="45841"/>
    <n v="45848"/>
    <n v="2.5"/>
    <n v="1.25"/>
    <n v="5"/>
    <n v="1"/>
    <n v="0.41666666666666669"/>
    <x v="10"/>
    <n v="0"/>
    <d v="2025-06-30T00:00:00"/>
    <x v="0"/>
  </r>
  <r>
    <x v="7"/>
    <s v="Inducción y bienvenida"/>
    <n v="45841"/>
    <n v="45848"/>
    <n v="2.5"/>
    <n v="1.25"/>
    <n v="5"/>
    <n v="1"/>
    <n v="0.41666666666666669"/>
    <x v="11"/>
    <n v="0"/>
    <d v="2025-06-30T00:00:00"/>
    <x v="0"/>
  </r>
  <r>
    <x v="7"/>
    <s v="Gestión de salud y seguridad ocupacional"/>
    <n v="45841"/>
    <n v="45852"/>
    <n v="2.5"/>
    <n v="1.5625"/>
    <n v="7"/>
    <n v="1.4"/>
    <n v="0.3125"/>
    <x v="0"/>
    <n v="0"/>
    <d v="2025-06-30T00:00:00"/>
    <x v="0"/>
  </r>
  <r>
    <x v="7"/>
    <s v="Gestión de salud y seguridad ocupacional"/>
    <n v="45841"/>
    <n v="45852"/>
    <n v="2.5"/>
    <n v="1.5625"/>
    <n v="7"/>
    <n v="1.4"/>
    <n v="0.3125"/>
    <x v="1"/>
    <n v="1.5625"/>
    <d v="2025-07-07T00:00:00"/>
    <x v="1"/>
  </r>
  <r>
    <x v="7"/>
    <s v="Gestión de salud y seguridad ocupacional"/>
    <n v="45841"/>
    <n v="45852"/>
    <n v="2.5"/>
    <n v="1.5625"/>
    <n v="7"/>
    <n v="1.4"/>
    <n v="0.3125"/>
    <x v="2"/>
    <n v="0.3125"/>
    <d v="2025-07-14T00:00:00"/>
    <x v="2"/>
  </r>
  <r>
    <x v="7"/>
    <s v="Gestión de salud y seguridad ocupacional"/>
    <n v="45841"/>
    <n v="45852"/>
    <n v="2.5"/>
    <n v="1.5625"/>
    <n v="7"/>
    <n v="1.4"/>
    <n v="0.3125"/>
    <x v="3"/>
    <n v="0"/>
    <d v="2025-07-21T00:00:00"/>
    <x v="3"/>
  </r>
  <r>
    <x v="7"/>
    <s v="Gestión de salud y seguridad ocupacional"/>
    <n v="45841"/>
    <n v="45852"/>
    <n v="2.5"/>
    <n v="1.5625"/>
    <n v="7"/>
    <n v="1.4"/>
    <n v="0.3125"/>
    <x v="4"/>
    <n v="0"/>
    <d v="2025-07-28T00:00:00"/>
    <x v="4"/>
  </r>
  <r>
    <x v="7"/>
    <s v="Gestión de salud y seguridad ocupacional"/>
    <n v="45841"/>
    <n v="45852"/>
    <n v="2.5"/>
    <n v="1.5625"/>
    <n v="7"/>
    <n v="1.4"/>
    <n v="0.3125"/>
    <x v="5"/>
    <n v="0"/>
    <d v="2025-08-04T00:00:00"/>
    <x v="5"/>
  </r>
  <r>
    <x v="7"/>
    <s v="Gestión de salud y seguridad ocupacional"/>
    <n v="45841"/>
    <n v="45852"/>
    <n v="2.5"/>
    <n v="1.5625"/>
    <n v="7"/>
    <n v="1.4"/>
    <n v="0.3125"/>
    <x v="6"/>
    <n v="0"/>
    <d v="2025-08-11T00:00:00"/>
    <x v="6"/>
  </r>
  <r>
    <x v="7"/>
    <s v="Gestión de salud y seguridad ocupacional"/>
    <n v="45841"/>
    <n v="45852"/>
    <n v="2.5"/>
    <n v="1.5625"/>
    <n v="7"/>
    <n v="1.4"/>
    <n v="0.3125"/>
    <x v="7"/>
    <n v="0"/>
    <d v="2025-08-18T00:00:00"/>
    <x v="7"/>
  </r>
  <r>
    <x v="7"/>
    <s v="Gestión de salud y seguridad ocupacional"/>
    <n v="45841"/>
    <n v="45852"/>
    <n v="2.5"/>
    <n v="1.5625"/>
    <n v="7"/>
    <n v="1.4"/>
    <n v="0.3125"/>
    <x v="8"/>
    <n v="0"/>
    <d v="2025-08-25T00:00:00"/>
    <x v="8"/>
  </r>
  <r>
    <x v="7"/>
    <s v="Gestión de salud y seguridad ocupacional"/>
    <n v="45841"/>
    <n v="45852"/>
    <n v="2.5"/>
    <n v="1.5625"/>
    <n v="7"/>
    <n v="1.4"/>
    <n v="0.3125"/>
    <x v="9"/>
    <n v="0"/>
    <d v="2025-06-30T00:00:00"/>
    <x v="0"/>
  </r>
  <r>
    <x v="7"/>
    <s v="Gestión de salud y seguridad ocupacional"/>
    <n v="45841"/>
    <n v="45852"/>
    <n v="2.5"/>
    <n v="1.5625"/>
    <n v="7"/>
    <n v="1.4"/>
    <n v="0.3125"/>
    <x v="10"/>
    <n v="0"/>
    <d v="2025-06-30T00:00:00"/>
    <x v="0"/>
  </r>
  <r>
    <x v="7"/>
    <s v="Gestión de salud y seguridad ocupacional"/>
    <n v="45841"/>
    <n v="45852"/>
    <n v="2.5"/>
    <n v="1.5625"/>
    <n v="7"/>
    <n v="1.4"/>
    <n v="0.3125"/>
    <x v="11"/>
    <n v="0"/>
    <d v="2025-06-30T00:00:00"/>
    <x v="0"/>
  </r>
  <r>
    <x v="7"/>
    <s v="Capacitación y desarrollo"/>
    <n v="45841"/>
    <n v="45849"/>
    <n v="3"/>
    <n v="1.7142857142857144"/>
    <n v="6"/>
    <n v="1.2"/>
    <n v="0.42857142857142855"/>
    <x v="0"/>
    <n v="1.1102230246251565E-16"/>
    <d v="2025-06-30T00:00:00"/>
    <x v="0"/>
  </r>
  <r>
    <x v="7"/>
    <s v="Capacitación y desarrollo"/>
    <n v="45841"/>
    <n v="45849"/>
    <n v="3"/>
    <n v="1.7142857142857144"/>
    <n v="6"/>
    <n v="1.2"/>
    <n v="0.42857142857142855"/>
    <x v="1"/>
    <n v="2.1428571428571428"/>
    <d v="2025-07-07T00:00:00"/>
    <x v="1"/>
  </r>
  <r>
    <x v="7"/>
    <s v="Capacitación y desarrollo"/>
    <n v="45841"/>
    <n v="45849"/>
    <n v="3"/>
    <n v="1.7142857142857144"/>
    <n v="6"/>
    <n v="1.2"/>
    <n v="0.42857142857142855"/>
    <x v="2"/>
    <n v="0"/>
    <d v="2025-07-14T00:00:00"/>
    <x v="2"/>
  </r>
  <r>
    <x v="7"/>
    <s v="Capacitación y desarrollo"/>
    <n v="45841"/>
    <n v="45849"/>
    <n v="3"/>
    <n v="1.7142857142857144"/>
    <n v="6"/>
    <n v="1.2"/>
    <n v="0.42857142857142855"/>
    <x v="3"/>
    <n v="0"/>
    <d v="2025-07-21T00:00:00"/>
    <x v="3"/>
  </r>
  <r>
    <x v="7"/>
    <s v="Capacitación y desarrollo"/>
    <n v="45841"/>
    <n v="45849"/>
    <n v="3"/>
    <n v="1.7142857142857144"/>
    <n v="6"/>
    <n v="1.2"/>
    <n v="0.42857142857142855"/>
    <x v="4"/>
    <n v="0"/>
    <d v="2025-07-28T00:00:00"/>
    <x v="4"/>
  </r>
  <r>
    <x v="7"/>
    <s v="Capacitación y desarrollo"/>
    <n v="45841"/>
    <n v="45849"/>
    <n v="3"/>
    <n v="1.7142857142857144"/>
    <n v="6"/>
    <n v="1.2"/>
    <n v="0.42857142857142855"/>
    <x v="5"/>
    <n v="0"/>
    <d v="2025-08-04T00:00:00"/>
    <x v="5"/>
  </r>
  <r>
    <x v="7"/>
    <s v="Capacitación y desarrollo"/>
    <n v="45841"/>
    <n v="45849"/>
    <n v="3"/>
    <n v="1.7142857142857144"/>
    <n v="6"/>
    <n v="1.2"/>
    <n v="0.42857142857142855"/>
    <x v="6"/>
    <n v="0"/>
    <d v="2025-08-11T00:00:00"/>
    <x v="6"/>
  </r>
  <r>
    <x v="7"/>
    <s v="Capacitación y desarrollo"/>
    <n v="45841"/>
    <n v="45849"/>
    <n v="3"/>
    <n v="1.7142857142857144"/>
    <n v="6"/>
    <n v="1.2"/>
    <n v="0.42857142857142855"/>
    <x v="7"/>
    <n v="0"/>
    <d v="2025-08-18T00:00:00"/>
    <x v="7"/>
  </r>
  <r>
    <x v="7"/>
    <s v="Capacitación y desarrollo"/>
    <n v="45841"/>
    <n v="45849"/>
    <n v="3"/>
    <n v="1.7142857142857144"/>
    <n v="6"/>
    <n v="1.2"/>
    <n v="0.42857142857142855"/>
    <x v="8"/>
    <n v="0"/>
    <d v="2025-08-25T00:00:00"/>
    <x v="8"/>
  </r>
  <r>
    <x v="7"/>
    <s v="Capacitación y desarrollo"/>
    <n v="45841"/>
    <n v="45849"/>
    <n v="3"/>
    <n v="1.7142857142857144"/>
    <n v="6"/>
    <n v="1.2"/>
    <n v="0.42857142857142855"/>
    <x v="9"/>
    <n v="0"/>
    <d v="2025-06-30T00:00:00"/>
    <x v="0"/>
  </r>
  <r>
    <x v="7"/>
    <s v="Capacitación y desarrollo"/>
    <n v="45841"/>
    <n v="45849"/>
    <n v="3"/>
    <n v="1.7142857142857144"/>
    <n v="6"/>
    <n v="1.2"/>
    <n v="0.42857142857142855"/>
    <x v="10"/>
    <n v="0"/>
    <d v="2025-06-30T00:00:00"/>
    <x v="0"/>
  </r>
  <r>
    <x v="7"/>
    <s v="Capacitación y desarrollo"/>
    <n v="45841"/>
    <n v="45849"/>
    <n v="3"/>
    <n v="1.7142857142857144"/>
    <n v="6"/>
    <n v="1.2"/>
    <n v="0.42857142857142855"/>
    <x v="11"/>
    <n v="0"/>
    <d v="2025-06-30T00:00:00"/>
    <x v="0"/>
  </r>
  <r>
    <x v="7"/>
    <s v="Inducción y bienvenida"/>
    <n v="45855"/>
    <n v="45862"/>
    <n v="2.5"/>
    <n v="2.5"/>
    <n v="15"/>
    <n v="3"/>
    <n v="0.41666666666666669"/>
    <x v="0"/>
    <n v="0"/>
    <d v="2025-06-30T00:00:00"/>
    <x v="0"/>
  </r>
  <r>
    <x v="7"/>
    <s v="Inducción y bienvenida"/>
    <n v="45855"/>
    <n v="45862"/>
    <n v="2.5"/>
    <n v="2.5"/>
    <n v="15"/>
    <n v="3"/>
    <n v="0.41666666666666669"/>
    <x v="1"/>
    <n v="0"/>
    <d v="2025-07-07T00:00:00"/>
    <x v="1"/>
  </r>
  <r>
    <x v="7"/>
    <s v="Inducción y bienvenida"/>
    <n v="45855"/>
    <n v="45862"/>
    <n v="2.5"/>
    <n v="2.5"/>
    <n v="15"/>
    <n v="3"/>
    <n v="0.41666666666666669"/>
    <x v="2"/>
    <n v="0.83333333333333348"/>
    <d v="2025-07-14T00:00:00"/>
    <x v="2"/>
  </r>
  <r>
    <x v="7"/>
    <s v="Inducción y bienvenida"/>
    <n v="45855"/>
    <n v="45862"/>
    <n v="2.5"/>
    <n v="2.5"/>
    <n v="15"/>
    <n v="3"/>
    <n v="0.41666666666666669"/>
    <x v="3"/>
    <n v="1.6666666666666667"/>
    <d v="2025-07-21T00:00:00"/>
    <x v="3"/>
  </r>
  <r>
    <x v="7"/>
    <s v="Inducción y bienvenida"/>
    <n v="45855"/>
    <n v="45862"/>
    <n v="2.5"/>
    <n v="2.5"/>
    <n v="15"/>
    <n v="3"/>
    <n v="0.41666666666666669"/>
    <x v="4"/>
    <n v="0"/>
    <d v="2025-07-28T00:00:00"/>
    <x v="4"/>
  </r>
  <r>
    <x v="7"/>
    <s v="Inducción y bienvenida"/>
    <n v="45855"/>
    <n v="45862"/>
    <n v="2.5"/>
    <n v="2.5"/>
    <n v="15"/>
    <n v="3"/>
    <n v="0.41666666666666669"/>
    <x v="5"/>
    <n v="0"/>
    <d v="2025-08-04T00:00:00"/>
    <x v="5"/>
  </r>
  <r>
    <x v="7"/>
    <s v="Inducción y bienvenida"/>
    <n v="45855"/>
    <n v="45862"/>
    <n v="2.5"/>
    <n v="2.5"/>
    <n v="15"/>
    <n v="3"/>
    <n v="0.41666666666666669"/>
    <x v="6"/>
    <n v="0"/>
    <d v="2025-08-11T00:00:00"/>
    <x v="6"/>
  </r>
  <r>
    <x v="7"/>
    <s v="Inducción y bienvenida"/>
    <n v="45855"/>
    <n v="45862"/>
    <n v="2.5"/>
    <n v="2.5"/>
    <n v="15"/>
    <n v="3"/>
    <n v="0.41666666666666669"/>
    <x v="7"/>
    <n v="0"/>
    <d v="2025-08-18T00:00:00"/>
    <x v="7"/>
  </r>
  <r>
    <x v="7"/>
    <s v="Inducción y bienvenida"/>
    <n v="45855"/>
    <n v="45862"/>
    <n v="2.5"/>
    <n v="2.5"/>
    <n v="15"/>
    <n v="3"/>
    <n v="0.41666666666666669"/>
    <x v="8"/>
    <n v="0"/>
    <d v="2025-08-25T00:00:00"/>
    <x v="8"/>
  </r>
  <r>
    <x v="7"/>
    <s v="Inducción y bienvenida"/>
    <n v="45855"/>
    <n v="45862"/>
    <n v="2.5"/>
    <n v="2.5"/>
    <n v="15"/>
    <n v="3"/>
    <n v="0.41666666666666669"/>
    <x v="9"/>
    <n v="0"/>
    <d v="2025-06-30T00:00:00"/>
    <x v="0"/>
  </r>
  <r>
    <x v="7"/>
    <s v="Inducción y bienvenida"/>
    <n v="45855"/>
    <n v="45862"/>
    <n v="2.5"/>
    <n v="2.5"/>
    <n v="15"/>
    <n v="3"/>
    <n v="0.41666666666666669"/>
    <x v="10"/>
    <n v="0"/>
    <d v="2025-06-30T00:00:00"/>
    <x v="0"/>
  </r>
  <r>
    <x v="7"/>
    <s v="Inducción y bienvenida"/>
    <n v="45855"/>
    <n v="45862"/>
    <n v="2.5"/>
    <n v="2.5"/>
    <n v="15"/>
    <n v="3"/>
    <n v="0.41666666666666669"/>
    <x v="11"/>
    <n v="0"/>
    <d v="2025-06-30T00:00:00"/>
    <x v="0"/>
  </r>
  <r>
    <x v="7"/>
    <s v="Gestión de salud y seguridad ocupacional"/>
    <n v="45855"/>
    <n v="45866"/>
    <n v="2.5"/>
    <n v="2.5"/>
    <n v="17"/>
    <n v="3.4"/>
    <n v="0.3125"/>
    <x v="0"/>
    <n v="0"/>
    <d v="2025-06-30T00:00:00"/>
    <x v="0"/>
  </r>
  <r>
    <x v="7"/>
    <s v="Gestión de salud y seguridad ocupacional"/>
    <n v="45855"/>
    <n v="45866"/>
    <n v="2.5"/>
    <n v="2.5"/>
    <n v="17"/>
    <n v="3.4"/>
    <n v="0.3125"/>
    <x v="1"/>
    <n v="0"/>
    <d v="2025-07-07T00:00:00"/>
    <x v="1"/>
  </r>
  <r>
    <x v="7"/>
    <s v="Gestión de salud y seguridad ocupacional"/>
    <n v="45855"/>
    <n v="45866"/>
    <n v="2.5"/>
    <n v="2.5"/>
    <n v="17"/>
    <n v="3.4"/>
    <n v="0.3125"/>
    <x v="2"/>
    <n v="0.625"/>
    <d v="2025-07-14T00:00:00"/>
    <x v="2"/>
  </r>
  <r>
    <x v="7"/>
    <s v="Gestión de salud y seguridad ocupacional"/>
    <n v="45855"/>
    <n v="45866"/>
    <n v="2.5"/>
    <n v="2.5"/>
    <n v="17"/>
    <n v="3.4"/>
    <n v="0.3125"/>
    <x v="3"/>
    <n v="1.5625"/>
    <d v="2025-07-21T00:00:00"/>
    <x v="3"/>
  </r>
  <r>
    <x v="7"/>
    <s v="Gestión de salud y seguridad ocupacional"/>
    <n v="45855"/>
    <n v="45866"/>
    <n v="2.5"/>
    <n v="2.5"/>
    <n v="17"/>
    <n v="3.4"/>
    <n v="0.3125"/>
    <x v="4"/>
    <n v="0.3125"/>
    <d v="2025-07-28T00:00:00"/>
    <x v="4"/>
  </r>
  <r>
    <x v="7"/>
    <s v="Gestión de salud y seguridad ocupacional"/>
    <n v="45855"/>
    <n v="45866"/>
    <n v="2.5"/>
    <n v="2.5"/>
    <n v="17"/>
    <n v="3.4"/>
    <n v="0.3125"/>
    <x v="5"/>
    <n v="0"/>
    <d v="2025-08-04T00:00:00"/>
    <x v="5"/>
  </r>
  <r>
    <x v="7"/>
    <s v="Gestión de salud y seguridad ocupacional"/>
    <n v="45855"/>
    <n v="45866"/>
    <n v="2.5"/>
    <n v="2.5"/>
    <n v="17"/>
    <n v="3.4"/>
    <n v="0.3125"/>
    <x v="6"/>
    <n v="0"/>
    <d v="2025-08-11T00:00:00"/>
    <x v="6"/>
  </r>
  <r>
    <x v="7"/>
    <s v="Gestión de salud y seguridad ocupacional"/>
    <n v="45855"/>
    <n v="45866"/>
    <n v="2.5"/>
    <n v="2.5"/>
    <n v="17"/>
    <n v="3.4"/>
    <n v="0.3125"/>
    <x v="7"/>
    <n v="0"/>
    <d v="2025-08-18T00:00:00"/>
    <x v="7"/>
  </r>
  <r>
    <x v="7"/>
    <s v="Gestión de salud y seguridad ocupacional"/>
    <n v="45855"/>
    <n v="45866"/>
    <n v="2.5"/>
    <n v="2.5"/>
    <n v="17"/>
    <n v="3.4"/>
    <n v="0.3125"/>
    <x v="8"/>
    <n v="0"/>
    <d v="2025-08-25T00:00:00"/>
    <x v="8"/>
  </r>
  <r>
    <x v="7"/>
    <s v="Gestión de salud y seguridad ocupacional"/>
    <n v="45855"/>
    <n v="45866"/>
    <n v="2.5"/>
    <n v="2.5"/>
    <n v="17"/>
    <n v="3.4"/>
    <n v="0.3125"/>
    <x v="9"/>
    <n v="0"/>
    <d v="2025-06-30T00:00:00"/>
    <x v="0"/>
  </r>
  <r>
    <x v="7"/>
    <s v="Gestión de salud y seguridad ocupacional"/>
    <n v="45855"/>
    <n v="45866"/>
    <n v="2.5"/>
    <n v="2.5"/>
    <n v="17"/>
    <n v="3.4"/>
    <n v="0.3125"/>
    <x v="10"/>
    <n v="0"/>
    <d v="2025-06-30T00:00:00"/>
    <x v="0"/>
  </r>
  <r>
    <x v="7"/>
    <s v="Gestión de salud y seguridad ocupacional"/>
    <n v="45855"/>
    <n v="45866"/>
    <n v="2.5"/>
    <n v="2.5"/>
    <n v="17"/>
    <n v="3.4"/>
    <n v="0.3125"/>
    <x v="11"/>
    <n v="0"/>
    <d v="2025-06-30T00:00:00"/>
    <x v="0"/>
  </r>
  <r>
    <x v="7"/>
    <s v="Administración de personal"/>
    <n v="45848"/>
    <n v="45855"/>
    <n v="3"/>
    <n v="3"/>
    <n v="10"/>
    <n v="2"/>
    <n v="0.5"/>
    <x v="0"/>
    <n v="0"/>
    <d v="2025-06-30T00:00:00"/>
    <x v="0"/>
  </r>
  <r>
    <x v="7"/>
    <s v="Administración de personal"/>
    <n v="45848"/>
    <n v="45855"/>
    <n v="3"/>
    <n v="3"/>
    <n v="10"/>
    <n v="2"/>
    <n v="0.5"/>
    <x v="1"/>
    <n v="1"/>
    <d v="2025-07-07T00:00:00"/>
    <x v="1"/>
  </r>
  <r>
    <x v="7"/>
    <s v="Administración de personal"/>
    <n v="45848"/>
    <n v="45855"/>
    <n v="3"/>
    <n v="3"/>
    <n v="10"/>
    <n v="2"/>
    <n v="0.5"/>
    <x v="2"/>
    <n v="2"/>
    <d v="2025-07-14T00:00:00"/>
    <x v="2"/>
  </r>
  <r>
    <x v="7"/>
    <s v="Administración de personal"/>
    <n v="45848"/>
    <n v="45855"/>
    <n v="3"/>
    <n v="3"/>
    <n v="10"/>
    <n v="2"/>
    <n v="0.5"/>
    <x v="3"/>
    <n v="0"/>
    <d v="2025-07-21T00:00:00"/>
    <x v="3"/>
  </r>
  <r>
    <x v="7"/>
    <s v="Administración de personal"/>
    <n v="45848"/>
    <n v="45855"/>
    <n v="3"/>
    <n v="3"/>
    <n v="10"/>
    <n v="2"/>
    <n v="0.5"/>
    <x v="4"/>
    <n v="0"/>
    <d v="2025-07-28T00:00:00"/>
    <x v="4"/>
  </r>
  <r>
    <x v="7"/>
    <s v="Administración de personal"/>
    <n v="45848"/>
    <n v="45855"/>
    <n v="3"/>
    <n v="3"/>
    <n v="10"/>
    <n v="2"/>
    <n v="0.5"/>
    <x v="5"/>
    <n v="0"/>
    <d v="2025-08-04T00:00:00"/>
    <x v="5"/>
  </r>
  <r>
    <x v="7"/>
    <s v="Administración de personal"/>
    <n v="45848"/>
    <n v="45855"/>
    <n v="3"/>
    <n v="3"/>
    <n v="10"/>
    <n v="2"/>
    <n v="0.5"/>
    <x v="6"/>
    <n v="0"/>
    <d v="2025-08-11T00:00:00"/>
    <x v="6"/>
  </r>
  <r>
    <x v="7"/>
    <s v="Administración de personal"/>
    <n v="45848"/>
    <n v="45855"/>
    <n v="3"/>
    <n v="3"/>
    <n v="10"/>
    <n v="2"/>
    <n v="0.5"/>
    <x v="7"/>
    <n v="0"/>
    <d v="2025-08-18T00:00:00"/>
    <x v="7"/>
  </r>
  <r>
    <x v="7"/>
    <s v="Administración de personal"/>
    <n v="45848"/>
    <n v="45855"/>
    <n v="3"/>
    <n v="3"/>
    <n v="10"/>
    <n v="2"/>
    <n v="0.5"/>
    <x v="8"/>
    <n v="0"/>
    <d v="2025-08-25T00:00:00"/>
    <x v="8"/>
  </r>
  <r>
    <x v="7"/>
    <s v="Administración de personal"/>
    <n v="45848"/>
    <n v="45855"/>
    <n v="3"/>
    <n v="3"/>
    <n v="10"/>
    <n v="2"/>
    <n v="0.5"/>
    <x v="9"/>
    <n v="0"/>
    <d v="2025-06-30T00:00:00"/>
    <x v="0"/>
  </r>
  <r>
    <x v="7"/>
    <s v="Administración de personal"/>
    <n v="45848"/>
    <n v="45855"/>
    <n v="3"/>
    <n v="3"/>
    <n v="10"/>
    <n v="2"/>
    <n v="0.5"/>
    <x v="10"/>
    <n v="0"/>
    <d v="2025-06-30T00:00:00"/>
    <x v="0"/>
  </r>
  <r>
    <x v="7"/>
    <s v="Administración de personal"/>
    <n v="45848"/>
    <n v="45855"/>
    <n v="3"/>
    <n v="3"/>
    <n v="10"/>
    <n v="2"/>
    <n v="0.5"/>
    <x v="11"/>
    <n v="0"/>
    <d v="2025-06-30T00:00:00"/>
    <x v="0"/>
  </r>
  <r>
    <x v="7"/>
    <s v="Inducción y bienvenida"/>
    <n v="45848"/>
    <n v="45855"/>
    <n v="2.5"/>
    <n v="2.5"/>
    <n v="10"/>
    <n v="2"/>
    <n v="0.41666666666666669"/>
    <x v="0"/>
    <n v="0"/>
    <d v="2025-06-30T00:00:00"/>
    <x v="0"/>
  </r>
  <r>
    <x v="7"/>
    <s v="Inducción y bienvenida"/>
    <n v="45848"/>
    <n v="45855"/>
    <n v="2.5"/>
    <n v="2.5"/>
    <n v="10"/>
    <n v="2"/>
    <n v="0.41666666666666669"/>
    <x v="1"/>
    <n v="0.83333333333333348"/>
    <d v="2025-07-07T00:00:00"/>
    <x v="1"/>
  </r>
  <r>
    <x v="7"/>
    <s v="Inducción y bienvenida"/>
    <n v="45848"/>
    <n v="45855"/>
    <n v="2.5"/>
    <n v="2.5"/>
    <n v="10"/>
    <n v="2"/>
    <n v="0.41666666666666669"/>
    <x v="2"/>
    <n v="1.6666666666666667"/>
    <d v="2025-07-14T00:00:00"/>
    <x v="2"/>
  </r>
  <r>
    <x v="7"/>
    <s v="Inducción y bienvenida"/>
    <n v="45848"/>
    <n v="45855"/>
    <n v="2.5"/>
    <n v="2.5"/>
    <n v="10"/>
    <n v="2"/>
    <n v="0.41666666666666669"/>
    <x v="3"/>
    <n v="0"/>
    <d v="2025-07-21T00:00:00"/>
    <x v="3"/>
  </r>
  <r>
    <x v="7"/>
    <s v="Inducción y bienvenida"/>
    <n v="45848"/>
    <n v="45855"/>
    <n v="2.5"/>
    <n v="2.5"/>
    <n v="10"/>
    <n v="2"/>
    <n v="0.41666666666666669"/>
    <x v="4"/>
    <n v="0"/>
    <d v="2025-07-28T00:00:00"/>
    <x v="4"/>
  </r>
  <r>
    <x v="7"/>
    <s v="Inducción y bienvenida"/>
    <n v="45848"/>
    <n v="45855"/>
    <n v="2.5"/>
    <n v="2.5"/>
    <n v="10"/>
    <n v="2"/>
    <n v="0.41666666666666669"/>
    <x v="5"/>
    <n v="0"/>
    <d v="2025-08-04T00:00:00"/>
    <x v="5"/>
  </r>
  <r>
    <x v="7"/>
    <s v="Inducción y bienvenida"/>
    <n v="45848"/>
    <n v="45855"/>
    <n v="2.5"/>
    <n v="2.5"/>
    <n v="10"/>
    <n v="2"/>
    <n v="0.41666666666666669"/>
    <x v="6"/>
    <n v="0"/>
    <d v="2025-08-11T00:00:00"/>
    <x v="6"/>
  </r>
  <r>
    <x v="7"/>
    <s v="Inducción y bienvenida"/>
    <n v="45848"/>
    <n v="45855"/>
    <n v="2.5"/>
    <n v="2.5"/>
    <n v="10"/>
    <n v="2"/>
    <n v="0.41666666666666669"/>
    <x v="7"/>
    <n v="0"/>
    <d v="2025-08-18T00:00:00"/>
    <x v="7"/>
  </r>
  <r>
    <x v="7"/>
    <s v="Inducción y bienvenida"/>
    <n v="45848"/>
    <n v="45855"/>
    <n v="2.5"/>
    <n v="2.5"/>
    <n v="10"/>
    <n v="2"/>
    <n v="0.41666666666666669"/>
    <x v="8"/>
    <n v="0"/>
    <d v="2025-08-25T00:00:00"/>
    <x v="8"/>
  </r>
  <r>
    <x v="7"/>
    <s v="Inducción y bienvenida"/>
    <n v="45848"/>
    <n v="45855"/>
    <n v="2.5"/>
    <n v="2.5"/>
    <n v="10"/>
    <n v="2"/>
    <n v="0.41666666666666669"/>
    <x v="9"/>
    <n v="0"/>
    <d v="2025-06-30T00:00:00"/>
    <x v="0"/>
  </r>
  <r>
    <x v="7"/>
    <s v="Inducción y bienvenida"/>
    <n v="45848"/>
    <n v="45855"/>
    <n v="2.5"/>
    <n v="2.5"/>
    <n v="10"/>
    <n v="2"/>
    <n v="0.41666666666666669"/>
    <x v="10"/>
    <n v="0"/>
    <d v="2025-06-30T00:00:00"/>
    <x v="0"/>
  </r>
  <r>
    <x v="7"/>
    <s v="Inducción y bienvenida"/>
    <n v="45848"/>
    <n v="45855"/>
    <n v="2.5"/>
    <n v="2.5"/>
    <n v="10"/>
    <n v="2"/>
    <n v="0.41666666666666669"/>
    <x v="11"/>
    <n v="0"/>
    <d v="2025-06-30T00:00:00"/>
    <x v="0"/>
  </r>
  <r>
    <x v="7"/>
    <s v="Gestión de remuneraciones y beneficios"/>
    <n v="45848"/>
    <n v="45855"/>
    <n v="9"/>
    <n v="9"/>
    <n v="10"/>
    <n v="2"/>
    <n v="1.5"/>
    <x v="0"/>
    <n v="0"/>
    <d v="2025-06-30T00:00:00"/>
    <x v="0"/>
  </r>
  <r>
    <x v="7"/>
    <s v="Gestión de remuneraciones y beneficios"/>
    <n v="45848"/>
    <n v="45855"/>
    <n v="9"/>
    <n v="9"/>
    <n v="10"/>
    <n v="2"/>
    <n v="1.5"/>
    <x v="1"/>
    <n v="3"/>
    <d v="2025-07-07T00:00:00"/>
    <x v="1"/>
  </r>
  <r>
    <x v="7"/>
    <s v="Gestión de remuneraciones y beneficios"/>
    <n v="45848"/>
    <n v="45855"/>
    <n v="9"/>
    <n v="9"/>
    <n v="10"/>
    <n v="2"/>
    <n v="1.5"/>
    <x v="2"/>
    <n v="6"/>
    <d v="2025-07-14T00:00:00"/>
    <x v="2"/>
  </r>
  <r>
    <x v="7"/>
    <s v="Gestión de remuneraciones y beneficios"/>
    <n v="45848"/>
    <n v="45855"/>
    <n v="9"/>
    <n v="9"/>
    <n v="10"/>
    <n v="2"/>
    <n v="1.5"/>
    <x v="3"/>
    <n v="0"/>
    <d v="2025-07-21T00:00:00"/>
    <x v="3"/>
  </r>
  <r>
    <x v="7"/>
    <s v="Gestión de remuneraciones y beneficios"/>
    <n v="45848"/>
    <n v="45855"/>
    <n v="9"/>
    <n v="9"/>
    <n v="10"/>
    <n v="2"/>
    <n v="1.5"/>
    <x v="4"/>
    <n v="0"/>
    <d v="2025-07-28T00:00:00"/>
    <x v="4"/>
  </r>
  <r>
    <x v="7"/>
    <s v="Gestión de remuneraciones y beneficios"/>
    <n v="45848"/>
    <n v="45855"/>
    <n v="9"/>
    <n v="9"/>
    <n v="10"/>
    <n v="2"/>
    <n v="1.5"/>
    <x v="5"/>
    <n v="0"/>
    <d v="2025-08-04T00:00:00"/>
    <x v="5"/>
  </r>
  <r>
    <x v="7"/>
    <s v="Gestión de remuneraciones y beneficios"/>
    <n v="45848"/>
    <n v="45855"/>
    <n v="9"/>
    <n v="9"/>
    <n v="10"/>
    <n v="2"/>
    <n v="1.5"/>
    <x v="6"/>
    <n v="0"/>
    <d v="2025-08-11T00:00:00"/>
    <x v="6"/>
  </r>
  <r>
    <x v="7"/>
    <s v="Gestión de remuneraciones y beneficios"/>
    <n v="45848"/>
    <n v="45855"/>
    <n v="9"/>
    <n v="9"/>
    <n v="10"/>
    <n v="2"/>
    <n v="1.5"/>
    <x v="7"/>
    <n v="0"/>
    <d v="2025-08-18T00:00:00"/>
    <x v="7"/>
  </r>
  <r>
    <x v="7"/>
    <s v="Gestión de remuneraciones y beneficios"/>
    <n v="45848"/>
    <n v="45855"/>
    <n v="9"/>
    <n v="9"/>
    <n v="10"/>
    <n v="2"/>
    <n v="1.5"/>
    <x v="8"/>
    <n v="0"/>
    <d v="2025-08-25T00:00:00"/>
    <x v="8"/>
  </r>
  <r>
    <x v="7"/>
    <s v="Gestión de remuneraciones y beneficios"/>
    <n v="45848"/>
    <n v="45855"/>
    <n v="9"/>
    <n v="9"/>
    <n v="10"/>
    <n v="2"/>
    <n v="1.5"/>
    <x v="9"/>
    <n v="0"/>
    <d v="2025-06-30T00:00:00"/>
    <x v="0"/>
  </r>
  <r>
    <x v="7"/>
    <s v="Gestión de remuneraciones y beneficios"/>
    <n v="45848"/>
    <n v="45855"/>
    <n v="9"/>
    <n v="9"/>
    <n v="10"/>
    <n v="2"/>
    <n v="1.5"/>
    <x v="10"/>
    <n v="0"/>
    <d v="2025-06-30T00:00:00"/>
    <x v="0"/>
  </r>
  <r>
    <x v="7"/>
    <s v="Gestión de remuneraciones y beneficios"/>
    <n v="45848"/>
    <n v="45855"/>
    <n v="9"/>
    <n v="9"/>
    <n v="10"/>
    <n v="2"/>
    <n v="1.5"/>
    <x v="11"/>
    <n v="0"/>
    <d v="2025-06-30T00:00:00"/>
    <x v="0"/>
  </r>
  <r>
    <x v="7"/>
    <s v="Gestión de conflictos y relaciones laborales"/>
    <n v="45862"/>
    <n v="45869"/>
    <n v="4"/>
    <n v="4"/>
    <n v="20"/>
    <n v="4"/>
    <n v="0.66666666666666663"/>
    <x v="0"/>
    <n v="0"/>
    <d v="2025-06-30T00:00:00"/>
    <x v="0"/>
  </r>
  <r>
    <x v="7"/>
    <s v="Gestión de conflictos y relaciones laborales"/>
    <n v="45862"/>
    <n v="45869"/>
    <n v="4"/>
    <n v="4"/>
    <n v="20"/>
    <n v="4"/>
    <n v="0.66666666666666663"/>
    <x v="1"/>
    <n v="0"/>
    <d v="2025-07-07T00:00:00"/>
    <x v="1"/>
  </r>
  <r>
    <x v="7"/>
    <s v="Gestión de conflictos y relaciones laborales"/>
    <n v="45862"/>
    <n v="45869"/>
    <n v="4"/>
    <n v="4"/>
    <n v="20"/>
    <n v="4"/>
    <n v="0.66666666666666663"/>
    <x v="2"/>
    <n v="0"/>
    <d v="2025-07-14T00:00:00"/>
    <x v="2"/>
  </r>
  <r>
    <x v="7"/>
    <s v="Gestión de conflictos y relaciones laborales"/>
    <n v="45862"/>
    <n v="45869"/>
    <n v="4"/>
    <n v="4"/>
    <n v="20"/>
    <n v="4"/>
    <n v="0.66666666666666663"/>
    <x v="3"/>
    <n v="1.333333333333333"/>
    <d v="2025-07-21T00:00:00"/>
    <x v="3"/>
  </r>
  <r>
    <x v="7"/>
    <s v="Gestión de conflictos y relaciones laborales"/>
    <n v="45862"/>
    <n v="45869"/>
    <n v="4"/>
    <n v="4"/>
    <n v="20"/>
    <n v="4"/>
    <n v="0.66666666666666663"/>
    <x v="4"/>
    <n v="2.6666666666666665"/>
    <d v="2025-07-28T00:00:00"/>
    <x v="4"/>
  </r>
  <r>
    <x v="7"/>
    <s v="Gestión de conflictos y relaciones laborales"/>
    <n v="45862"/>
    <n v="45869"/>
    <n v="4"/>
    <n v="4"/>
    <n v="20"/>
    <n v="4"/>
    <n v="0.66666666666666663"/>
    <x v="5"/>
    <n v="0"/>
    <d v="2025-08-04T00:00:00"/>
    <x v="5"/>
  </r>
  <r>
    <x v="7"/>
    <s v="Gestión de conflictos y relaciones laborales"/>
    <n v="45862"/>
    <n v="45869"/>
    <n v="4"/>
    <n v="4"/>
    <n v="20"/>
    <n v="4"/>
    <n v="0.66666666666666663"/>
    <x v="6"/>
    <n v="0"/>
    <d v="2025-08-11T00:00:00"/>
    <x v="6"/>
  </r>
  <r>
    <x v="7"/>
    <s v="Gestión de conflictos y relaciones laborales"/>
    <n v="45862"/>
    <n v="45869"/>
    <n v="4"/>
    <n v="4"/>
    <n v="20"/>
    <n v="4"/>
    <n v="0.66666666666666663"/>
    <x v="7"/>
    <n v="0"/>
    <d v="2025-08-18T00:00:00"/>
    <x v="7"/>
  </r>
  <r>
    <x v="7"/>
    <s v="Gestión de conflictos y relaciones laborales"/>
    <n v="45862"/>
    <n v="45869"/>
    <n v="4"/>
    <n v="4"/>
    <n v="20"/>
    <n v="4"/>
    <n v="0.66666666666666663"/>
    <x v="8"/>
    <n v="0"/>
    <d v="2025-08-25T00:00:00"/>
    <x v="8"/>
  </r>
  <r>
    <x v="7"/>
    <s v="Gestión de conflictos y relaciones laborales"/>
    <n v="45862"/>
    <n v="45869"/>
    <n v="4"/>
    <n v="4"/>
    <n v="20"/>
    <n v="4"/>
    <n v="0.66666666666666663"/>
    <x v="9"/>
    <n v="0"/>
    <d v="2025-06-30T00:00:00"/>
    <x v="0"/>
  </r>
  <r>
    <x v="7"/>
    <s v="Gestión de conflictos y relaciones laborales"/>
    <n v="45862"/>
    <n v="45869"/>
    <n v="4"/>
    <n v="4"/>
    <n v="20"/>
    <n v="4"/>
    <n v="0.66666666666666663"/>
    <x v="10"/>
    <n v="0"/>
    <d v="2025-06-30T00:00:00"/>
    <x v="0"/>
  </r>
  <r>
    <x v="7"/>
    <s v="Gestión de conflictos y relaciones laborales"/>
    <n v="45862"/>
    <n v="45869"/>
    <n v="4"/>
    <n v="4"/>
    <n v="20"/>
    <n v="4"/>
    <n v="0.66666666666666663"/>
    <x v="11"/>
    <n v="0"/>
    <d v="2025-06-30T00:00:00"/>
    <x v="0"/>
  </r>
  <r>
    <x v="7"/>
    <s v="Capacitación y desarrollo"/>
    <n v="45848"/>
    <n v="45855"/>
    <n v="3"/>
    <n v="3"/>
    <n v="10"/>
    <n v="2"/>
    <n v="0.5"/>
    <x v="0"/>
    <n v="0"/>
    <d v="2025-06-30T00:00:00"/>
    <x v="0"/>
  </r>
  <r>
    <x v="7"/>
    <s v="Capacitación y desarrollo"/>
    <n v="45848"/>
    <n v="45855"/>
    <n v="3"/>
    <n v="3"/>
    <n v="10"/>
    <n v="2"/>
    <n v="0.5"/>
    <x v="1"/>
    <n v="1"/>
    <d v="2025-07-07T00:00:00"/>
    <x v="1"/>
  </r>
  <r>
    <x v="7"/>
    <s v="Capacitación y desarrollo"/>
    <n v="45848"/>
    <n v="45855"/>
    <n v="3"/>
    <n v="3"/>
    <n v="10"/>
    <n v="2"/>
    <n v="0.5"/>
    <x v="2"/>
    <n v="2"/>
    <d v="2025-07-14T00:00:00"/>
    <x v="2"/>
  </r>
  <r>
    <x v="7"/>
    <s v="Capacitación y desarrollo"/>
    <n v="45848"/>
    <n v="45855"/>
    <n v="3"/>
    <n v="3"/>
    <n v="10"/>
    <n v="2"/>
    <n v="0.5"/>
    <x v="3"/>
    <n v="0"/>
    <d v="2025-07-21T00:00:00"/>
    <x v="3"/>
  </r>
  <r>
    <x v="7"/>
    <s v="Capacitación y desarrollo"/>
    <n v="45848"/>
    <n v="45855"/>
    <n v="3"/>
    <n v="3"/>
    <n v="10"/>
    <n v="2"/>
    <n v="0.5"/>
    <x v="4"/>
    <n v="0"/>
    <d v="2025-07-28T00:00:00"/>
    <x v="4"/>
  </r>
  <r>
    <x v="7"/>
    <s v="Capacitación y desarrollo"/>
    <n v="45848"/>
    <n v="45855"/>
    <n v="3"/>
    <n v="3"/>
    <n v="10"/>
    <n v="2"/>
    <n v="0.5"/>
    <x v="5"/>
    <n v="0"/>
    <d v="2025-08-04T00:00:00"/>
    <x v="5"/>
  </r>
  <r>
    <x v="7"/>
    <s v="Capacitación y desarrollo"/>
    <n v="45848"/>
    <n v="45855"/>
    <n v="3"/>
    <n v="3"/>
    <n v="10"/>
    <n v="2"/>
    <n v="0.5"/>
    <x v="6"/>
    <n v="0"/>
    <d v="2025-08-11T00:00:00"/>
    <x v="6"/>
  </r>
  <r>
    <x v="7"/>
    <s v="Capacitación y desarrollo"/>
    <n v="45848"/>
    <n v="45855"/>
    <n v="3"/>
    <n v="3"/>
    <n v="10"/>
    <n v="2"/>
    <n v="0.5"/>
    <x v="7"/>
    <n v="0"/>
    <d v="2025-08-18T00:00:00"/>
    <x v="7"/>
  </r>
  <r>
    <x v="7"/>
    <s v="Capacitación y desarrollo"/>
    <n v="45848"/>
    <n v="45855"/>
    <n v="3"/>
    <n v="3"/>
    <n v="10"/>
    <n v="2"/>
    <n v="0.5"/>
    <x v="8"/>
    <n v="0"/>
    <d v="2025-08-25T00:00:00"/>
    <x v="8"/>
  </r>
  <r>
    <x v="7"/>
    <s v="Capacitación y desarrollo"/>
    <n v="45848"/>
    <n v="45855"/>
    <n v="3"/>
    <n v="3"/>
    <n v="10"/>
    <n v="2"/>
    <n v="0.5"/>
    <x v="9"/>
    <n v="0"/>
    <d v="2025-06-30T00:00:00"/>
    <x v="0"/>
  </r>
  <r>
    <x v="7"/>
    <s v="Capacitación y desarrollo"/>
    <n v="45848"/>
    <n v="45855"/>
    <n v="3"/>
    <n v="3"/>
    <n v="10"/>
    <n v="2"/>
    <n v="0.5"/>
    <x v="10"/>
    <n v="0"/>
    <d v="2025-06-30T00:00:00"/>
    <x v="0"/>
  </r>
  <r>
    <x v="7"/>
    <s v="Capacitación y desarrollo"/>
    <n v="45848"/>
    <n v="45855"/>
    <n v="3"/>
    <n v="3"/>
    <n v="10"/>
    <n v="2"/>
    <n v="0.5"/>
    <x v="11"/>
    <n v="0"/>
    <d v="2025-06-30T00:00:00"/>
    <x v="0"/>
  </r>
  <r>
    <x v="7"/>
    <s v="Inducción y bienvenida"/>
    <n v="45848"/>
    <n v="45855"/>
    <n v="2.5"/>
    <n v="2.5"/>
    <n v="10"/>
    <n v="2"/>
    <n v="0.41666666666666669"/>
    <x v="0"/>
    <n v="0"/>
    <d v="2025-06-30T00:00:00"/>
    <x v="0"/>
  </r>
  <r>
    <x v="7"/>
    <s v="Inducción y bienvenida"/>
    <n v="45848"/>
    <n v="45855"/>
    <n v="2.5"/>
    <n v="2.5"/>
    <n v="10"/>
    <n v="2"/>
    <n v="0.41666666666666669"/>
    <x v="1"/>
    <n v="0.83333333333333348"/>
    <d v="2025-07-07T00:00:00"/>
    <x v="1"/>
  </r>
  <r>
    <x v="7"/>
    <s v="Inducción y bienvenida"/>
    <n v="45848"/>
    <n v="45855"/>
    <n v="2.5"/>
    <n v="2.5"/>
    <n v="10"/>
    <n v="2"/>
    <n v="0.41666666666666669"/>
    <x v="2"/>
    <n v="1.6666666666666667"/>
    <d v="2025-07-14T00:00:00"/>
    <x v="2"/>
  </r>
  <r>
    <x v="7"/>
    <s v="Inducción y bienvenida"/>
    <n v="45848"/>
    <n v="45855"/>
    <n v="2.5"/>
    <n v="2.5"/>
    <n v="10"/>
    <n v="2"/>
    <n v="0.41666666666666669"/>
    <x v="3"/>
    <n v="0"/>
    <d v="2025-07-21T00:00:00"/>
    <x v="3"/>
  </r>
  <r>
    <x v="7"/>
    <s v="Inducción y bienvenida"/>
    <n v="45848"/>
    <n v="45855"/>
    <n v="2.5"/>
    <n v="2.5"/>
    <n v="10"/>
    <n v="2"/>
    <n v="0.41666666666666669"/>
    <x v="4"/>
    <n v="0"/>
    <d v="2025-07-28T00:00:00"/>
    <x v="4"/>
  </r>
  <r>
    <x v="7"/>
    <s v="Inducción y bienvenida"/>
    <n v="45848"/>
    <n v="45855"/>
    <n v="2.5"/>
    <n v="2.5"/>
    <n v="10"/>
    <n v="2"/>
    <n v="0.41666666666666669"/>
    <x v="5"/>
    <n v="0"/>
    <d v="2025-08-04T00:00:00"/>
    <x v="5"/>
  </r>
  <r>
    <x v="7"/>
    <s v="Inducción y bienvenida"/>
    <n v="45848"/>
    <n v="45855"/>
    <n v="2.5"/>
    <n v="2.5"/>
    <n v="10"/>
    <n v="2"/>
    <n v="0.41666666666666669"/>
    <x v="6"/>
    <n v="0"/>
    <d v="2025-08-11T00:00:00"/>
    <x v="6"/>
  </r>
  <r>
    <x v="7"/>
    <s v="Inducción y bienvenida"/>
    <n v="45848"/>
    <n v="45855"/>
    <n v="2.5"/>
    <n v="2.5"/>
    <n v="10"/>
    <n v="2"/>
    <n v="0.41666666666666669"/>
    <x v="7"/>
    <n v="0"/>
    <d v="2025-08-18T00:00:00"/>
    <x v="7"/>
  </r>
  <r>
    <x v="7"/>
    <s v="Inducción y bienvenida"/>
    <n v="45848"/>
    <n v="45855"/>
    <n v="2.5"/>
    <n v="2.5"/>
    <n v="10"/>
    <n v="2"/>
    <n v="0.41666666666666669"/>
    <x v="8"/>
    <n v="0"/>
    <d v="2025-08-25T00:00:00"/>
    <x v="8"/>
  </r>
  <r>
    <x v="7"/>
    <s v="Inducción y bienvenida"/>
    <n v="45848"/>
    <n v="45855"/>
    <n v="2.5"/>
    <n v="2.5"/>
    <n v="10"/>
    <n v="2"/>
    <n v="0.41666666666666669"/>
    <x v="9"/>
    <n v="0"/>
    <d v="2025-06-30T00:00:00"/>
    <x v="0"/>
  </r>
  <r>
    <x v="7"/>
    <s v="Inducción y bienvenida"/>
    <n v="45848"/>
    <n v="45855"/>
    <n v="2.5"/>
    <n v="2.5"/>
    <n v="10"/>
    <n v="2"/>
    <n v="0.41666666666666669"/>
    <x v="10"/>
    <n v="0"/>
    <d v="2025-06-30T00:00:00"/>
    <x v="0"/>
  </r>
  <r>
    <x v="7"/>
    <s v="Inducción y bienvenida"/>
    <n v="45848"/>
    <n v="45855"/>
    <n v="2.5"/>
    <n v="2.5"/>
    <n v="10"/>
    <n v="2"/>
    <n v="0.41666666666666669"/>
    <x v="11"/>
    <n v="0"/>
    <d v="2025-06-30T00:00:00"/>
    <x v="0"/>
  </r>
  <r>
    <x v="7"/>
    <s v="Evaluación del desempeño"/>
    <n v="45848"/>
    <n v="45855"/>
    <n v="10"/>
    <n v="10"/>
    <n v="10"/>
    <n v="2"/>
    <n v="1.6666666666666667"/>
    <x v="0"/>
    <n v="0"/>
    <d v="2025-06-30T00:00:00"/>
    <x v="0"/>
  </r>
  <r>
    <x v="7"/>
    <s v="Evaluación del desempeño"/>
    <n v="45848"/>
    <n v="45855"/>
    <n v="10"/>
    <n v="10"/>
    <n v="10"/>
    <n v="2"/>
    <n v="1.6666666666666667"/>
    <x v="1"/>
    <n v="3.3333333333333339"/>
    <d v="2025-07-07T00:00:00"/>
    <x v="1"/>
  </r>
  <r>
    <x v="7"/>
    <s v="Evaluación del desempeño"/>
    <n v="45848"/>
    <n v="45855"/>
    <n v="10"/>
    <n v="10"/>
    <n v="10"/>
    <n v="2"/>
    <n v="1.6666666666666667"/>
    <x v="2"/>
    <n v="6.666666666666667"/>
    <d v="2025-07-14T00:00:00"/>
    <x v="2"/>
  </r>
  <r>
    <x v="7"/>
    <s v="Evaluación del desempeño"/>
    <n v="45848"/>
    <n v="45855"/>
    <n v="10"/>
    <n v="10"/>
    <n v="10"/>
    <n v="2"/>
    <n v="1.6666666666666667"/>
    <x v="3"/>
    <n v="0"/>
    <d v="2025-07-21T00:00:00"/>
    <x v="3"/>
  </r>
  <r>
    <x v="7"/>
    <s v="Evaluación del desempeño"/>
    <n v="45848"/>
    <n v="45855"/>
    <n v="10"/>
    <n v="10"/>
    <n v="10"/>
    <n v="2"/>
    <n v="1.6666666666666667"/>
    <x v="4"/>
    <n v="0"/>
    <d v="2025-07-28T00:00:00"/>
    <x v="4"/>
  </r>
  <r>
    <x v="7"/>
    <s v="Evaluación del desempeño"/>
    <n v="45848"/>
    <n v="45855"/>
    <n v="10"/>
    <n v="10"/>
    <n v="10"/>
    <n v="2"/>
    <n v="1.6666666666666667"/>
    <x v="5"/>
    <n v="0"/>
    <d v="2025-08-04T00:00:00"/>
    <x v="5"/>
  </r>
  <r>
    <x v="7"/>
    <s v="Evaluación del desempeño"/>
    <n v="45848"/>
    <n v="45855"/>
    <n v="10"/>
    <n v="10"/>
    <n v="10"/>
    <n v="2"/>
    <n v="1.6666666666666667"/>
    <x v="6"/>
    <n v="0"/>
    <d v="2025-08-11T00:00:00"/>
    <x v="6"/>
  </r>
  <r>
    <x v="7"/>
    <s v="Evaluación del desempeño"/>
    <n v="45848"/>
    <n v="45855"/>
    <n v="10"/>
    <n v="10"/>
    <n v="10"/>
    <n v="2"/>
    <n v="1.6666666666666667"/>
    <x v="7"/>
    <n v="0"/>
    <d v="2025-08-18T00:00:00"/>
    <x v="7"/>
  </r>
  <r>
    <x v="7"/>
    <s v="Evaluación del desempeño"/>
    <n v="45848"/>
    <n v="45855"/>
    <n v="10"/>
    <n v="10"/>
    <n v="10"/>
    <n v="2"/>
    <n v="1.6666666666666667"/>
    <x v="8"/>
    <n v="0"/>
    <d v="2025-08-25T00:00:00"/>
    <x v="8"/>
  </r>
  <r>
    <x v="7"/>
    <s v="Evaluación del desempeño"/>
    <n v="45848"/>
    <n v="45855"/>
    <n v="10"/>
    <n v="10"/>
    <n v="10"/>
    <n v="2"/>
    <n v="1.6666666666666667"/>
    <x v="9"/>
    <n v="0"/>
    <d v="2025-06-30T00:00:00"/>
    <x v="0"/>
  </r>
  <r>
    <x v="7"/>
    <s v="Evaluación del desempeño"/>
    <n v="45848"/>
    <n v="45855"/>
    <n v="10"/>
    <n v="10"/>
    <n v="10"/>
    <n v="2"/>
    <n v="1.6666666666666667"/>
    <x v="10"/>
    <n v="0"/>
    <d v="2025-06-30T00:00:00"/>
    <x v="0"/>
  </r>
  <r>
    <x v="7"/>
    <s v="Evaluación del desempeño"/>
    <n v="45848"/>
    <n v="45855"/>
    <n v="10"/>
    <n v="10"/>
    <n v="10"/>
    <n v="2"/>
    <n v="1.6666666666666667"/>
    <x v="11"/>
    <n v="0"/>
    <d v="2025-06-30T00:00:00"/>
    <x v="0"/>
  </r>
  <r>
    <x v="7"/>
    <s v="Administración de personal"/>
    <n v="45862"/>
    <n v="45869"/>
    <n v="3"/>
    <n v="3"/>
    <n v="20"/>
    <n v="4"/>
    <n v="0.5"/>
    <x v="0"/>
    <n v="0"/>
    <d v="2025-06-30T00:00:00"/>
    <x v="0"/>
  </r>
  <r>
    <x v="7"/>
    <s v="Administración de personal"/>
    <n v="45862"/>
    <n v="45869"/>
    <n v="3"/>
    <n v="3"/>
    <n v="20"/>
    <n v="4"/>
    <n v="0.5"/>
    <x v="1"/>
    <n v="0"/>
    <d v="2025-07-07T00:00:00"/>
    <x v="1"/>
  </r>
  <r>
    <x v="7"/>
    <s v="Administración de personal"/>
    <n v="45862"/>
    <n v="45869"/>
    <n v="3"/>
    <n v="3"/>
    <n v="20"/>
    <n v="4"/>
    <n v="0.5"/>
    <x v="2"/>
    <n v="0"/>
    <d v="2025-07-14T00:00:00"/>
    <x v="2"/>
  </r>
  <r>
    <x v="7"/>
    <s v="Administración de personal"/>
    <n v="45862"/>
    <n v="45869"/>
    <n v="3"/>
    <n v="3"/>
    <n v="20"/>
    <n v="4"/>
    <n v="0.5"/>
    <x v="3"/>
    <n v="1"/>
    <d v="2025-07-21T00:00:00"/>
    <x v="3"/>
  </r>
  <r>
    <x v="7"/>
    <s v="Administración de personal"/>
    <n v="45862"/>
    <n v="45869"/>
    <n v="3"/>
    <n v="3"/>
    <n v="20"/>
    <n v="4"/>
    <n v="0.5"/>
    <x v="4"/>
    <n v="2"/>
    <d v="2025-07-28T00:00:00"/>
    <x v="4"/>
  </r>
  <r>
    <x v="7"/>
    <s v="Administración de personal"/>
    <n v="45862"/>
    <n v="45869"/>
    <n v="3"/>
    <n v="3"/>
    <n v="20"/>
    <n v="4"/>
    <n v="0.5"/>
    <x v="5"/>
    <n v="0"/>
    <d v="2025-08-04T00:00:00"/>
    <x v="5"/>
  </r>
  <r>
    <x v="7"/>
    <s v="Administración de personal"/>
    <n v="45862"/>
    <n v="45869"/>
    <n v="3"/>
    <n v="3"/>
    <n v="20"/>
    <n v="4"/>
    <n v="0.5"/>
    <x v="6"/>
    <n v="0"/>
    <d v="2025-08-11T00:00:00"/>
    <x v="6"/>
  </r>
  <r>
    <x v="7"/>
    <s v="Administración de personal"/>
    <n v="45862"/>
    <n v="45869"/>
    <n v="3"/>
    <n v="3"/>
    <n v="20"/>
    <n v="4"/>
    <n v="0.5"/>
    <x v="7"/>
    <n v="0"/>
    <d v="2025-08-18T00:00:00"/>
    <x v="7"/>
  </r>
  <r>
    <x v="7"/>
    <s v="Administración de personal"/>
    <n v="45862"/>
    <n v="45869"/>
    <n v="3"/>
    <n v="3"/>
    <n v="20"/>
    <n v="4"/>
    <n v="0.5"/>
    <x v="8"/>
    <n v="0"/>
    <d v="2025-08-25T00:00:00"/>
    <x v="8"/>
  </r>
  <r>
    <x v="7"/>
    <s v="Administración de personal"/>
    <n v="45862"/>
    <n v="45869"/>
    <n v="3"/>
    <n v="3"/>
    <n v="20"/>
    <n v="4"/>
    <n v="0.5"/>
    <x v="9"/>
    <n v="0"/>
    <d v="2025-06-30T00:00:00"/>
    <x v="0"/>
  </r>
  <r>
    <x v="7"/>
    <s v="Administración de personal"/>
    <n v="45862"/>
    <n v="45869"/>
    <n v="3"/>
    <n v="3"/>
    <n v="20"/>
    <n v="4"/>
    <n v="0.5"/>
    <x v="10"/>
    <n v="0"/>
    <d v="2025-06-30T00:00:00"/>
    <x v="0"/>
  </r>
  <r>
    <x v="7"/>
    <s v="Administración de personal"/>
    <n v="45862"/>
    <n v="45869"/>
    <n v="3"/>
    <n v="3"/>
    <n v="20"/>
    <n v="4"/>
    <n v="0.5"/>
    <x v="11"/>
    <n v="0"/>
    <d v="2025-06-30T00:00:00"/>
    <x v="0"/>
  </r>
  <r>
    <x v="8"/>
    <m/>
    <m/>
    <m/>
    <m/>
    <m/>
    <m/>
    <m/>
    <m/>
    <x v="12"/>
    <m/>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17FDC-E536-4F3F-A5A6-C01C7F1974DE}"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1">
  <location ref="B168:J180"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x="0"/>
        <item x="1"/>
        <item x="2"/>
        <item x="3"/>
        <item x="4"/>
        <item h="1" x="5"/>
        <item h="1" x="6"/>
        <item h="1" x="7"/>
        <item h="1" x="8"/>
        <item h="1"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1"/>
    </i>
    <i r="1">
      <x v="1"/>
    </i>
    <i>
      <x v="2"/>
    </i>
    <i r="1">
      <x v="2"/>
    </i>
    <i>
      <x v="3"/>
    </i>
    <i r="1">
      <x v="3"/>
    </i>
    <i>
      <x v="4"/>
    </i>
    <i r="1">
      <x v="4"/>
    </i>
    <i>
      <x v="5"/>
    </i>
    <i r="1">
      <x v="5"/>
    </i>
    <i t="grand">
      <x/>
    </i>
  </rowItems>
  <colFields count="1">
    <field x="0"/>
  </colFields>
  <colItems count="9">
    <i>
      <x/>
    </i>
    <i>
      <x v="1"/>
    </i>
    <i>
      <x v="2"/>
    </i>
    <i>
      <x v="3"/>
    </i>
    <i>
      <x v="4"/>
    </i>
    <i>
      <x v="5"/>
    </i>
    <i>
      <x v="6"/>
    </i>
    <i>
      <x v="8"/>
    </i>
    <i t="grand">
      <x/>
    </i>
  </colItems>
  <dataFields count="1">
    <dataField name="Suma de HH" fld="10" baseField="0" baseItem="0"/>
  </dataFields>
  <formats count="2">
    <format dxfId="22">
      <pivotArea outline="0" collapsedLevelsAreSubtotals="1" fieldPosition="0"/>
    </format>
    <format dxfId="21">
      <pivotArea dataOnly="0" labelOnly="1" grandRow="1" outline="0" fieldPosition="0"/>
    </format>
  </formats>
  <chartFormats count="18">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9" format="30" series="1">
      <pivotArea type="data" outline="0" fieldPosition="0">
        <references count="1">
          <reference field="4294967294" count="1" selected="0">
            <x v="0"/>
          </reference>
        </references>
      </pivotArea>
    </chartFormat>
    <chartFormat chart="39" format="31" series="1">
      <pivotArea type="data" outline="0" fieldPosition="0">
        <references count="2">
          <reference field="4294967294" count="1" selected="0">
            <x v="0"/>
          </reference>
          <reference field="0" count="1" selected="0">
            <x v="1"/>
          </reference>
        </references>
      </pivotArea>
    </chartFormat>
    <chartFormat chart="39" format="32" series="1">
      <pivotArea type="data" outline="0" fieldPosition="0">
        <references count="2">
          <reference field="4294967294" count="1" selected="0">
            <x v="0"/>
          </reference>
          <reference field="0" count="1" selected="0">
            <x v="2"/>
          </reference>
        </references>
      </pivotArea>
    </chartFormat>
    <chartFormat chart="39" format="33" series="1">
      <pivotArea type="data" outline="0" fieldPosition="0">
        <references count="2">
          <reference field="4294967294" count="1" selected="0">
            <x v="0"/>
          </reference>
          <reference field="0" count="1" selected="0">
            <x v="3"/>
          </reference>
        </references>
      </pivotArea>
    </chartFormat>
    <chartFormat chart="39" format="34" series="1">
      <pivotArea type="data" outline="0" fieldPosition="0">
        <references count="2">
          <reference field="4294967294" count="1" selected="0">
            <x v="0"/>
          </reference>
          <reference field="0" count="1" selected="0">
            <x v="4"/>
          </reference>
        </references>
      </pivotArea>
    </chartFormat>
    <chartFormat chart="39" format="35" series="1">
      <pivotArea type="data" outline="0" fieldPosition="0">
        <references count="2">
          <reference field="4294967294" count="1" selected="0">
            <x v="0"/>
          </reference>
          <reference field="0" count="1" selected="0">
            <x v="5"/>
          </reference>
        </references>
      </pivotArea>
    </chartFormat>
    <chartFormat chart="39" format="36" series="1">
      <pivotArea type="data" outline="0" fieldPosition="0">
        <references count="2">
          <reference field="4294967294" count="1" selected="0">
            <x v="0"/>
          </reference>
          <reference field="0" count="1" selected="0">
            <x v="6"/>
          </reference>
        </references>
      </pivotArea>
    </chartFormat>
    <chartFormat chart="39" format="37" series="1">
      <pivotArea type="data" outline="0" fieldPosition="0">
        <references count="2">
          <reference field="4294967294" count="1" selected="0">
            <x v="0"/>
          </reference>
          <reference field="0" count="1" selected="0">
            <x v="0"/>
          </reference>
        </references>
      </pivotArea>
    </chartFormat>
    <chartFormat chart="40" format="38" series="1">
      <pivotArea type="data" outline="0" fieldPosition="0">
        <references count="2">
          <reference field="4294967294" count="1" selected="0">
            <x v="0"/>
          </reference>
          <reference field="0" count="1" selected="0">
            <x v="0"/>
          </reference>
        </references>
      </pivotArea>
    </chartFormat>
    <chartFormat chart="40" format="39" series="1">
      <pivotArea type="data" outline="0" fieldPosition="0">
        <references count="2">
          <reference field="4294967294" count="1" selected="0">
            <x v="0"/>
          </reference>
          <reference field="0" count="1" selected="0">
            <x v="1"/>
          </reference>
        </references>
      </pivotArea>
    </chartFormat>
    <chartFormat chart="40" format="40" series="1">
      <pivotArea type="data" outline="0" fieldPosition="0">
        <references count="2">
          <reference field="4294967294" count="1" selected="0">
            <x v="0"/>
          </reference>
          <reference field="0" count="1" selected="0">
            <x v="2"/>
          </reference>
        </references>
      </pivotArea>
    </chartFormat>
    <chartFormat chart="40" format="41" series="1">
      <pivotArea type="data" outline="0" fieldPosition="0">
        <references count="2">
          <reference field="4294967294" count="1" selected="0">
            <x v="0"/>
          </reference>
          <reference field="0" count="1" selected="0">
            <x v="3"/>
          </reference>
        </references>
      </pivotArea>
    </chartFormat>
    <chartFormat chart="40" format="42" series="1">
      <pivotArea type="data" outline="0" fieldPosition="0">
        <references count="2">
          <reference field="4294967294" count="1" selected="0">
            <x v="0"/>
          </reference>
          <reference field="0" count="1" selected="0">
            <x v="4"/>
          </reference>
        </references>
      </pivotArea>
    </chartFormat>
    <chartFormat chart="40" format="43" series="1">
      <pivotArea type="data" outline="0" fieldPosition="0">
        <references count="2">
          <reference field="4294967294" count="1" selected="0">
            <x v="0"/>
          </reference>
          <reference field="0" count="1" selected="0">
            <x v="5"/>
          </reference>
        </references>
      </pivotArea>
    </chartFormat>
    <chartFormat chart="40" format="44" series="1">
      <pivotArea type="data" outline="0" fieldPosition="0">
        <references count="2">
          <reference field="4294967294" count="1" selected="0">
            <x v="0"/>
          </reference>
          <reference field="0" count="1" selected="0">
            <x v="6"/>
          </reference>
        </references>
      </pivotArea>
    </chartFormat>
    <chartFormat chart="40" format="45"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D0D37-FBFA-4FD8-BD77-82088F2F51ED}"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3">
  <location ref="A72:J82"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h="1" x="12"/>
        <item h="1" x="0"/>
        <item h="1" x="1"/>
        <item h="1" x="2"/>
        <item h="1" x="3"/>
        <item x="4"/>
        <item x="5"/>
        <item x="6"/>
        <item x="7"/>
        <item h="1" x="8"/>
        <item h="1" x="9"/>
        <item h="1" x="10"/>
        <item h="1" x="11"/>
        <item t="default"/>
      </items>
    </pivotField>
    <pivotField dataField="1" showAll="0"/>
    <pivotField showAll="0"/>
    <pivotField axis="axisCol" showAll="0">
      <items count="11">
        <item x="9"/>
        <item x="0"/>
        <item x="1"/>
        <item x="2"/>
        <item x="3"/>
        <item x="4"/>
        <item x="5"/>
        <item x="6"/>
        <item x="7"/>
        <item x="8"/>
        <item t="default"/>
      </items>
    </pivotField>
  </pivotFields>
  <rowFields count="1">
    <field x="0"/>
  </rowFields>
  <rowItems count="9">
    <i>
      <x/>
    </i>
    <i>
      <x v="1"/>
    </i>
    <i>
      <x v="2"/>
    </i>
    <i>
      <x v="3"/>
    </i>
    <i>
      <x v="4"/>
    </i>
    <i>
      <x v="5"/>
    </i>
    <i>
      <x v="6"/>
    </i>
    <i>
      <x v="8"/>
    </i>
    <i t="grand">
      <x/>
    </i>
  </rowItems>
  <colFields count="2">
    <field x="9"/>
    <field x="12"/>
  </colFields>
  <colItems count="9">
    <i>
      <x v="5"/>
      <x v="5"/>
    </i>
    <i t="default">
      <x v="5"/>
    </i>
    <i>
      <x v="6"/>
      <x v="6"/>
    </i>
    <i t="default">
      <x v="6"/>
    </i>
    <i>
      <x v="7"/>
      <x v="7"/>
    </i>
    <i t="default">
      <x v="7"/>
    </i>
    <i>
      <x v="8"/>
      <x v="8"/>
    </i>
    <i t="default">
      <x v="8"/>
    </i>
    <i t="grand">
      <x/>
    </i>
  </colItems>
  <dataFields count="1">
    <dataField name="Suma de HH" fld="10" baseField="0" baseItem="0"/>
  </dataFields>
  <formats count="2">
    <format dxfId="24">
      <pivotArea outline="0" collapsedLevelsAreSubtotals="1" fieldPosition="0"/>
    </format>
    <format dxfId="23">
      <pivotArea dataOnly="0" labelOnly="1" grandRow="1" outline="0" fieldPosition="0"/>
    </format>
  </formats>
  <chartFormats count="10">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1" format="97" series="1">
      <pivotArea type="data" outline="0" fieldPosition="0">
        <references count="3">
          <reference field="4294967294" count="1" selected="0">
            <x v="0"/>
          </reference>
          <reference field="9" count="1" selected="0">
            <x v="5"/>
          </reference>
          <reference field="12" count="1" selected="0">
            <x v="5"/>
          </reference>
        </references>
      </pivotArea>
    </chartFormat>
    <chartFormat chart="41" format="98" series="1">
      <pivotArea type="data" outline="0" fieldPosition="0">
        <references count="3">
          <reference field="4294967294" count="1" selected="0">
            <x v="0"/>
          </reference>
          <reference field="9" count="1" selected="0">
            <x v="6"/>
          </reference>
          <reference field="12" count="1" selected="0">
            <x v="6"/>
          </reference>
        </references>
      </pivotArea>
    </chartFormat>
    <chartFormat chart="41" format="99" series="1">
      <pivotArea type="data" outline="0" fieldPosition="0">
        <references count="3">
          <reference field="4294967294" count="1" selected="0">
            <x v="0"/>
          </reference>
          <reference field="9" count="1" selected="0">
            <x v="7"/>
          </reference>
          <reference field="12" count="1" selected="0">
            <x v="7"/>
          </reference>
        </references>
      </pivotArea>
    </chartFormat>
    <chartFormat chart="41" format="100" series="1">
      <pivotArea type="data" outline="0" fieldPosition="0">
        <references count="3">
          <reference field="4294967294" count="1" selected="0">
            <x v="0"/>
          </reference>
          <reference field="9" count="1" selected="0">
            <x v="8"/>
          </reference>
          <reference field="12" count="1" selected="0">
            <x v="8"/>
          </reference>
        </references>
      </pivotArea>
    </chartFormat>
    <chartFormat chart="42" format="101" series="1">
      <pivotArea type="data" outline="0" fieldPosition="0">
        <references count="3">
          <reference field="4294967294" count="1" selected="0">
            <x v="0"/>
          </reference>
          <reference field="9" count="1" selected="0">
            <x v="5"/>
          </reference>
          <reference field="12" count="1" selected="0">
            <x v="5"/>
          </reference>
        </references>
      </pivotArea>
    </chartFormat>
    <chartFormat chart="42" format="102" series="1">
      <pivotArea type="data" outline="0" fieldPosition="0">
        <references count="3">
          <reference field="4294967294" count="1" selected="0">
            <x v="0"/>
          </reference>
          <reference field="9" count="1" selected="0">
            <x v="6"/>
          </reference>
          <reference field="12" count="1" selected="0">
            <x v="6"/>
          </reference>
        </references>
      </pivotArea>
    </chartFormat>
    <chartFormat chart="42" format="103" series="1">
      <pivotArea type="data" outline="0" fieldPosition="0">
        <references count="3">
          <reference field="4294967294" count="1" selected="0">
            <x v="0"/>
          </reference>
          <reference field="9" count="1" selected="0">
            <x v="7"/>
          </reference>
          <reference field="12" count="1" selected="0">
            <x v="7"/>
          </reference>
        </references>
      </pivotArea>
    </chartFormat>
    <chartFormat chart="42" format="104" series="1">
      <pivotArea type="data" outline="0" fieldPosition="0">
        <references count="3">
          <reference field="4294967294" count="1" selected="0">
            <x v="0"/>
          </reference>
          <reference field="9" count="1" selected="0">
            <x v="8"/>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E67D3E-8876-48A4-BF0F-6BC4157DFBEA}"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8">
  <location ref="A93:J103"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h="1" x="12"/>
        <item h="1" x="0"/>
        <item h="1" x="1"/>
        <item h="1" x="2"/>
        <item h="1" x="3"/>
        <item h="1" x="4"/>
        <item h="1" x="5"/>
        <item h="1" x="6"/>
        <item h="1" x="7"/>
        <item x="8"/>
        <item x="9"/>
        <item x="10"/>
        <item x="11"/>
        <item t="default"/>
      </items>
    </pivotField>
    <pivotField dataField="1" showAll="0"/>
    <pivotField showAll="0"/>
    <pivotField axis="axisCol" showAll="0">
      <items count="11">
        <item x="9"/>
        <item x="0"/>
        <item x="1"/>
        <item x="2"/>
        <item x="3"/>
        <item x="4"/>
        <item x="5"/>
        <item x="6"/>
        <item x="7"/>
        <item x="8"/>
        <item t="default"/>
      </items>
    </pivotField>
  </pivotFields>
  <rowFields count="1">
    <field x="0"/>
  </rowFields>
  <rowItems count="9">
    <i>
      <x/>
    </i>
    <i>
      <x v="1"/>
    </i>
    <i>
      <x v="2"/>
    </i>
    <i>
      <x v="3"/>
    </i>
    <i>
      <x v="4"/>
    </i>
    <i>
      <x v="5"/>
    </i>
    <i>
      <x v="6"/>
    </i>
    <i>
      <x v="8"/>
    </i>
    <i t="grand">
      <x/>
    </i>
  </rowItems>
  <colFields count="2">
    <field x="9"/>
    <field x="12"/>
  </colFields>
  <colItems count="9">
    <i>
      <x v="9"/>
      <x v="9"/>
    </i>
    <i t="default">
      <x v="9"/>
    </i>
    <i>
      <x v="10"/>
      <x v="1"/>
    </i>
    <i t="default">
      <x v="10"/>
    </i>
    <i>
      <x v="11"/>
      <x v="1"/>
    </i>
    <i t="default">
      <x v="11"/>
    </i>
    <i>
      <x v="12"/>
      <x v="1"/>
    </i>
    <i t="default">
      <x v="12"/>
    </i>
    <i t="grand">
      <x/>
    </i>
  </colItems>
  <dataFields count="1">
    <dataField name="Suma de HH" fld="10" baseField="0" baseItem="0"/>
  </dataFields>
  <formats count="2">
    <format dxfId="26">
      <pivotArea outline="0" collapsedLevelsAreSubtotals="1" fieldPosition="0"/>
    </format>
    <format dxfId="25">
      <pivotArea dataOnly="0" labelOnly="1" grandRow="1" outline="0" fieldPosition="0"/>
    </format>
  </formats>
  <chartFormats count="10">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4" format="78" series="1">
      <pivotArea type="data" outline="0" fieldPosition="0">
        <references count="3">
          <reference field="4294967294" count="1" selected="0">
            <x v="0"/>
          </reference>
          <reference field="9" count="1" selected="0">
            <x v="9"/>
          </reference>
          <reference field="12" count="1" selected="0">
            <x v="9"/>
          </reference>
        </references>
      </pivotArea>
    </chartFormat>
    <chartFormat chart="44" format="79" series="1">
      <pivotArea type="data" outline="0" fieldPosition="0">
        <references count="3">
          <reference field="4294967294" count="1" selected="0">
            <x v="0"/>
          </reference>
          <reference field="9" count="1" selected="0">
            <x v="10"/>
          </reference>
          <reference field="12" count="1" selected="0">
            <x v="1"/>
          </reference>
        </references>
      </pivotArea>
    </chartFormat>
    <chartFormat chart="44" format="80" series="1">
      <pivotArea type="data" outline="0" fieldPosition="0">
        <references count="3">
          <reference field="4294967294" count="1" selected="0">
            <x v="0"/>
          </reference>
          <reference field="9" count="1" selected="0">
            <x v="11"/>
          </reference>
          <reference field="12" count="1" selected="0">
            <x v="1"/>
          </reference>
        </references>
      </pivotArea>
    </chartFormat>
    <chartFormat chart="44" format="81" series="1">
      <pivotArea type="data" outline="0" fieldPosition="0">
        <references count="3">
          <reference field="4294967294" count="1" selected="0">
            <x v="0"/>
          </reference>
          <reference field="9" count="1" selected="0">
            <x v="12"/>
          </reference>
          <reference field="12" count="1" selected="0">
            <x v="1"/>
          </reference>
        </references>
      </pivotArea>
    </chartFormat>
    <chartFormat chart="45" format="82" series="1">
      <pivotArea type="data" outline="0" fieldPosition="0">
        <references count="3">
          <reference field="4294967294" count="1" selected="0">
            <x v="0"/>
          </reference>
          <reference field="9" count="1" selected="0">
            <x v="9"/>
          </reference>
          <reference field="12" count="1" selected="0">
            <x v="9"/>
          </reference>
        </references>
      </pivotArea>
    </chartFormat>
    <chartFormat chart="45" format="83" series="1">
      <pivotArea type="data" outline="0" fieldPosition="0">
        <references count="3">
          <reference field="4294967294" count="1" selected="0">
            <x v="0"/>
          </reference>
          <reference field="9" count="1" selected="0">
            <x v="10"/>
          </reference>
          <reference field="12" count="1" selected="0">
            <x v="1"/>
          </reference>
        </references>
      </pivotArea>
    </chartFormat>
    <chartFormat chart="45" format="84" series="1">
      <pivotArea type="data" outline="0" fieldPosition="0">
        <references count="3">
          <reference field="4294967294" count="1" selected="0">
            <x v="0"/>
          </reference>
          <reference field="9" count="1" selected="0">
            <x v="11"/>
          </reference>
          <reference field="12" count="1" selected="0">
            <x v="1"/>
          </reference>
        </references>
      </pivotArea>
    </chartFormat>
    <chartFormat chart="45" format="85" series="1">
      <pivotArea type="data" outline="0" fieldPosition="0">
        <references count="3">
          <reference field="4294967294" count="1" selected="0">
            <x v="0"/>
          </reference>
          <reference field="9" count="1" selected="0">
            <x v="1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ECD8F1-A8C6-4D6C-A30D-29E299EFFF43}"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0">
  <location ref="B44:K54"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x="0"/>
        <item h="1" x="9"/>
        <item h="1" x="10"/>
        <item h="1" x="11"/>
        <item x="1"/>
        <item x="2"/>
        <item x="3"/>
        <item h="1" x="4"/>
        <item h="1" x="5"/>
        <item h="1" x="6"/>
        <item h="1" x="7"/>
        <item h="1" x="8"/>
        <item h="1" x="12"/>
        <item t="default"/>
      </items>
    </pivotField>
    <pivotField dataField="1" showAll="0"/>
    <pivotField showAll="0"/>
    <pivotField axis="axisCol" showAll="0">
      <items count="11">
        <item x="5"/>
        <item x="1"/>
        <item x="6"/>
        <item x="2"/>
        <item x="7"/>
        <item x="3"/>
        <item x="8"/>
        <item x="4"/>
        <item x="0"/>
        <item x="9"/>
        <item t="default"/>
      </items>
    </pivotField>
  </pivotFields>
  <rowFields count="1">
    <field x="0"/>
  </rowFields>
  <rowItems count="9">
    <i>
      <x/>
    </i>
    <i>
      <x v="1"/>
    </i>
    <i>
      <x v="2"/>
    </i>
    <i>
      <x v="3"/>
    </i>
    <i>
      <x v="4"/>
    </i>
    <i>
      <x v="5"/>
    </i>
    <i>
      <x v="6"/>
    </i>
    <i>
      <x v="8"/>
    </i>
    <i t="grand">
      <x/>
    </i>
  </rowItems>
  <colFields count="2">
    <field x="9"/>
    <field x="12"/>
  </colFields>
  <colItems count="9">
    <i>
      <x/>
      <x v="8"/>
    </i>
    <i t="default">
      <x/>
    </i>
    <i>
      <x v="4"/>
      <x v="1"/>
    </i>
    <i t="default">
      <x v="4"/>
    </i>
    <i>
      <x v="5"/>
      <x v="3"/>
    </i>
    <i t="default">
      <x v="5"/>
    </i>
    <i>
      <x v="6"/>
      <x v="5"/>
    </i>
    <i t="default">
      <x v="6"/>
    </i>
    <i t="grand">
      <x/>
    </i>
  </colItems>
  <dataFields count="1">
    <dataField name="Suma de HH" fld="10" baseField="0" baseItem="0"/>
  </dataFields>
  <formats count="2">
    <format dxfId="28">
      <pivotArea outline="0" collapsedLevelsAreSubtotals="1" fieldPosition="0"/>
    </format>
    <format dxfId="27">
      <pivotArea dataOnly="0" labelOnly="1" grandRow="1" outline="0" fieldPosition="0"/>
    </format>
  </formats>
  <chartFormats count="19">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9" format="110" series="1">
      <pivotArea type="data" outline="0" fieldPosition="0">
        <references count="1">
          <reference field="4294967294" count="1" selected="0">
            <x v="0"/>
          </reference>
        </references>
      </pivotArea>
    </chartFormat>
    <chartFormat chart="39" format="123" series="1">
      <pivotArea type="data" outline="0" fieldPosition="0">
        <references count="2">
          <reference field="4294967294" count="1" selected="0">
            <x v="0"/>
          </reference>
          <reference field="9" count="1" selected="0">
            <x v="1"/>
          </reference>
        </references>
      </pivotArea>
    </chartFormat>
    <chartFormat chart="39" format="124" series="1">
      <pivotArea type="data" outline="0" fieldPosition="0">
        <references count="2">
          <reference field="4294967294" count="1" selected="0">
            <x v="0"/>
          </reference>
          <reference field="9" count="1" selected="0">
            <x v="2"/>
          </reference>
        </references>
      </pivotArea>
    </chartFormat>
    <chartFormat chart="39" format="125" series="1">
      <pivotArea type="data" outline="0" fieldPosition="0">
        <references count="2">
          <reference field="4294967294" count="1" selected="0">
            <x v="0"/>
          </reference>
          <reference field="9" count="1" selected="0">
            <x v="3"/>
          </reference>
        </references>
      </pivotArea>
    </chartFormat>
    <chartFormat chart="39" format="126" series="1">
      <pivotArea type="data" outline="0" fieldPosition="0">
        <references count="2">
          <reference field="4294967294" count="1" selected="0">
            <x v="0"/>
          </reference>
          <reference field="9" count="1" selected="0">
            <x v="4"/>
          </reference>
        </references>
      </pivotArea>
    </chartFormat>
    <chartFormat chart="39" format="127" series="1">
      <pivotArea type="data" outline="0" fieldPosition="0">
        <references count="2">
          <reference field="4294967294" count="1" selected="0">
            <x v="0"/>
          </reference>
          <reference field="9" count="1" selected="0">
            <x v="5"/>
          </reference>
        </references>
      </pivotArea>
    </chartFormat>
    <chartFormat chart="39" format="128" series="1">
      <pivotArea type="data" outline="0" fieldPosition="0">
        <references count="2">
          <reference field="4294967294" count="1" selected="0">
            <x v="0"/>
          </reference>
          <reference field="9" count="1" selected="0">
            <x v="6"/>
          </reference>
        </references>
      </pivotArea>
    </chartFormat>
    <chartFormat chart="39" format="129" series="1">
      <pivotArea type="data" outline="0" fieldPosition="0">
        <references count="2">
          <reference field="4294967294" count="1" selected="0">
            <x v="0"/>
          </reference>
          <reference field="9" count="1" selected="0">
            <x v="7"/>
          </reference>
        </references>
      </pivotArea>
    </chartFormat>
    <chartFormat chart="39" format="130" series="1">
      <pivotArea type="data" outline="0" fieldPosition="0">
        <references count="2">
          <reference field="4294967294" count="1" selected="0">
            <x v="0"/>
          </reference>
          <reference field="9" count="1" selected="0">
            <x v="8"/>
          </reference>
        </references>
      </pivotArea>
    </chartFormat>
    <chartFormat chart="39" format="131" series="1">
      <pivotArea type="data" outline="0" fieldPosition="0">
        <references count="2">
          <reference field="4294967294" count="1" selected="0">
            <x v="0"/>
          </reference>
          <reference field="9" count="1" selected="0">
            <x v="9"/>
          </reference>
        </references>
      </pivotArea>
    </chartFormat>
    <chartFormat chart="39" format="132" series="1">
      <pivotArea type="data" outline="0" fieldPosition="0">
        <references count="2">
          <reference field="4294967294" count="1" selected="0">
            <x v="0"/>
          </reference>
          <reference field="9" count="1" selected="0">
            <x v="10"/>
          </reference>
        </references>
      </pivotArea>
    </chartFormat>
    <chartFormat chart="39" format="133" series="1">
      <pivotArea type="data" outline="0" fieldPosition="0">
        <references count="2">
          <reference field="4294967294" count="1" selected="0">
            <x v="0"/>
          </reference>
          <reference field="9" count="1" selected="0">
            <x v="11"/>
          </reference>
        </references>
      </pivotArea>
    </chartFormat>
    <chartFormat chart="39" format="134" series="1">
      <pivotArea type="data" outline="0" fieldPosition="0">
        <references count="2">
          <reference field="4294967294" count="1" selected="0">
            <x v="0"/>
          </reference>
          <reference field="9" count="1" selected="0">
            <x v="12"/>
          </reference>
        </references>
      </pivotArea>
    </chartFormat>
    <chartFormat chart="49" format="135" series="1">
      <pivotArea type="data" outline="0" fieldPosition="0">
        <references count="3">
          <reference field="4294967294" count="1" selected="0">
            <x v="0"/>
          </reference>
          <reference field="9" count="1" selected="0">
            <x v="0"/>
          </reference>
          <reference field="12" count="1" selected="0">
            <x v="8"/>
          </reference>
        </references>
      </pivotArea>
    </chartFormat>
    <chartFormat chart="49" format="136" series="1">
      <pivotArea type="data" outline="0" fieldPosition="0">
        <references count="3">
          <reference field="4294967294" count="1" selected="0">
            <x v="0"/>
          </reference>
          <reference field="9" count="1" selected="0">
            <x v="4"/>
          </reference>
          <reference field="12" count="1" selected="0">
            <x v="1"/>
          </reference>
        </references>
      </pivotArea>
    </chartFormat>
    <chartFormat chart="49" format="137" series="1">
      <pivotArea type="data" outline="0" fieldPosition="0">
        <references count="3">
          <reference field="4294967294" count="1" selected="0">
            <x v="0"/>
          </reference>
          <reference field="9" count="1" selected="0">
            <x v="5"/>
          </reference>
          <reference field="12" count="1" selected="0">
            <x v="3"/>
          </reference>
        </references>
      </pivotArea>
    </chartFormat>
    <chartFormat chart="49" format="138" series="1">
      <pivotArea type="data" outline="0" fieldPosition="0">
        <references count="3">
          <reference field="4294967294" count="1" selected="0">
            <x v="0"/>
          </reference>
          <reference field="9" count="1" selected="0">
            <x v="6"/>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AC79B-18F8-4FE2-9C31-532252E0F181}"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3">
  <location ref="B142:J154"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h="1" x="0"/>
        <item h="1" x="1"/>
        <item h="1" x="2"/>
        <item h="1" x="3"/>
        <item h="1" x="4"/>
        <item x="5"/>
        <item x="6"/>
        <item x="7"/>
        <item x="8"/>
        <item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6"/>
    </i>
    <i r="1">
      <x v="6"/>
    </i>
    <i>
      <x v="7"/>
    </i>
    <i r="1">
      <x v="7"/>
    </i>
    <i>
      <x v="8"/>
    </i>
    <i r="1">
      <x v="8"/>
    </i>
    <i>
      <x v="9"/>
    </i>
    <i r="1">
      <x v="9"/>
    </i>
    <i>
      <x v="10"/>
    </i>
    <i r="1">
      <x v="1"/>
    </i>
    <i t="grand">
      <x/>
    </i>
  </rowItems>
  <colFields count="1">
    <field x="0"/>
  </colFields>
  <colItems count="9">
    <i>
      <x/>
    </i>
    <i>
      <x v="1"/>
    </i>
    <i>
      <x v="2"/>
    </i>
    <i>
      <x v="3"/>
    </i>
    <i>
      <x v="4"/>
    </i>
    <i>
      <x v="5"/>
    </i>
    <i>
      <x v="6"/>
    </i>
    <i>
      <x v="8"/>
    </i>
    <i t="grand">
      <x/>
    </i>
  </colItems>
  <dataFields count="1">
    <dataField name="Suma de HH" fld="10" baseField="0" baseItem="0"/>
  </dataFields>
  <formats count="2">
    <format dxfId="30">
      <pivotArea outline="0" collapsedLevelsAreSubtotals="1" fieldPosition="0"/>
    </format>
    <format dxfId="29">
      <pivotArea dataOnly="0" labelOnly="1" grandRow="1" outline="0" fieldPosition="0"/>
    </format>
  </formats>
  <chartFormats count="18">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1" format="126" series="1">
      <pivotArea type="data" outline="0" fieldPosition="0">
        <references count="1">
          <reference field="4294967294" count="1" selected="0">
            <x v="0"/>
          </reference>
        </references>
      </pivotArea>
    </chartFormat>
    <chartFormat chart="31" format="127" series="1">
      <pivotArea type="data" outline="0" fieldPosition="0">
        <references count="2">
          <reference field="4294967294" count="1" selected="0">
            <x v="0"/>
          </reference>
          <reference field="0" count="1" selected="0">
            <x v="1"/>
          </reference>
        </references>
      </pivotArea>
    </chartFormat>
    <chartFormat chart="31" format="128" series="1">
      <pivotArea type="data" outline="0" fieldPosition="0">
        <references count="2">
          <reference field="4294967294" count="1" selected="0">
            <x v="0"/>
          </reference>
          <reference field="0" count="1" selected="0">
            <x v="2"/>
          </reference>
        </references>
      </pivotArea>
    </chartFormat>
    <chartFormat chart="31" format="129" series="1">
      <pivotArea type="data" outline="0" fieldPosition="0">
        <references count="2">
          <reference field="4294967294" count="1" selected="0">
            <x v="0"/>
          </reference>
          <reference field="0" count="1" selected="0">
            <x v="3"/>
          </reference>
        </references>
      </pivotArea>
    </chartFormat>
    <chartFormat chart="31" format="130" series="1">
      <pivotArea type="data" outline="0" fieldPosition="0">
        <references count="2">
          <reference field="4294967294" count="1" selected="0">
            <x v="0"/>
          </reference>
          <reference field="0" count="1" selected="0">
            <x v="4"/>
          </reference>
        </references>
      </pivotArea>
    </chartFormat>
    <chartFormat chart="31" format="131" series="1">
      <pivotArea type="data" outline="0" fieldPosition="0">
        <references count="2">
          <reference field="4294967294" count="1" selected="0">
            <x v="0"/>
          </reference>
          <reference field="0" count="1" selected="0">
            <x v="5"/>
          </reference>
        </references>
      </pivotArea>
    </chartFormat>
    <chartFormat chart="31" format="132" series="1">
      <pivotArea type="data" outline="0" fieldPosition="0">
        <references count="2">
          <reference field="4294967294" count="1" selected="0">
            <x v="0"/>
          </reference>
          <reference field="0" count="1" selected="0">
            <x v="6"/>
          </reference>
        </references>
      </pivotArea>
    </chartFormat>
    <chartFormat chart="31" format="133" series="1">
      <pivotArea type="data" outline="0" fieldPosition="0">
        <references count="2">
          <reference field="4294967294" count="1" selected="0">
            <x v="0"/>
          </reference>
          <reference field="0" count="1" selected="0">
            <x v="0"/>
          </reference>
        </references>
      </pivotArea>
    </chartFormat>
    <chartFormat chart="32" format="134" series="1">
      <pivotArea type="data" outline="0" fieldPosition="0">
        <references count="2">
          <reference field="4294967294" count="1" selected="0">
            <x v="0"/>
          </reference>
          <reference field="0" count="1" selected="0">
            <x v="0"/>
          </reference>
        </references>
      </pivotArea>
    </chartFormat>
    <chartFormat chart="32" format="135" series="1">
      <pivotArea type="data" outline="0" fieldPosition="0">
        <references count="2">
          <reference field="4294967294" count="1" selected="0">
            <x v="0"/>
          </reference>
          <reference field="0" count="1" selected="0">
            <x v="1"/>
          </reference>
        </references>
      </pivotArea>
    </chartFormat>
    <chartFormat chart="32" format="136" series="1">
      <pivotArea type="data" outline="0" fieldPosition="0">
        <references count="2">
          <reference field="4294967294" count="1" selected="0">
            <x v="0"/>
          </reference>
          <reference field="0" count="1" selected="0">
            <x v="2"/>
          </reference>
        </references>
      </pivotArea>
    </chartFormat>
    <chartFormat chart="32" format="137" series="1">
      <pivotArea type="data" outline="0" fieldPosition="0">
        <references count="2">
          <reference field="4294967294" count="1" selected="0">
            <x v="0"/>
          </reference>
          <reference field="0" count="1" selected="0">
            <x v="3"/>
          </reference>
        </references>
      </pivotArea>
    </chartFormat>
    <chartFormat chart="32" format="138" series="1">
      <pivotArea type="data" outline="0" fieldPosition="0">
        <references count="2">
          <reference field="4294967294" count="1" selected="0">
            <x v="0"/>
          </reference>
          <reference field="0" count="1" selected="0">
            <x v="4"/>
          </reference>
        </references>
      </pivotArea>
    </chartFormat>
    <chartFormat chart="32" format="139" series="1">
      <pivotArea type="data" outline="0" fieldPosition="0">
        <references count="2">
          <reference field="4294967294" count="1" selected="0">
            <x v="0"/>
          </reference>
          <reference field="0" count="1" selected="0">
            <x v="5"/>
          </reference>
        </references>
      </pivotArea>
    </chartFormat>
    <chartFormat chart="32" format="140" series="1">
      <pivotArea type="data" outline="0" fieldPosition="0">
        <references count="2">
          <reference field="4294967294" count="1" selected="0">
            <x v="0"/>
          </reference>
          <reference field="0" count="1" selected="0">
            <x v="6"/>
          </reference>
        </references>
      </pivotArea>
    </chartFormat>
    <chartFormat chart="32" format="141"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9A868-7F68-40D8-B27E-0D404F40D376}" name="TablaDinámica1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0">
  <location ref="AM10:AN18" firstHeaderRow="1" firstDataRow="1" firstDataCol="1"/>
  <pivotFields count="13">
    <pivotField axis="axisRow" showAll="0">
      <items count="10">
        <item x="0"/>
        <item x="1"/>
        <item x="2"/>
        <item x="3"/>
        <item x="4"/>
        <item x="6"/>
        <item x="7"/>
        <item h="1" x="8"/>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a de HH" fld="10" baseField="0" baseItem="0" numFmtId="1"/>
  </dataFields>
  <formats count="1">
    <format dxfId="3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0" format="30" series="1">
      <pivotArea type="data" outline="0" fieldPosition="0">
        <references count="1">
          <reference field="4294967294" count="1" selected="0">
            <x v="0"/>
          </reference>
        </references>
      </pivotArea>
    </chartFormat>
    <chartFormat chart="27" format="40" series="1">
      <pivotArea type="data" outline="0" fieldPosition="0">
        <references count="1">
          <reference field="4294967294" count="1" selected="0">
            <x v="0"/>
          </reference>
        </references>
      </pivotArea>
    </chartFormat>
    <chartFormat chart="27" format="41">
      <pivotArea type="data" outline="0" fieldPosition="0">
        <references count="2">
          <reference field="4294967294" count="1" selected="0">
            <x v="0"/>
          </reference>
          <reference field="0" count="1" selected="0">
            <x v="1"/>
          </reference>
        </references>
      </pivotArea>
    </chartFormat>
    <chartFormat chart="27" format="42">
      <pivotArea type="data" outline="0" fieldPosition="0">
        <references count="2">
          <reference field="4294967294" count="1" selected="0">
            <x v="0"/>
          </reference>
          <reference field="0" count="1" selected="0">
            <x v="0"/>
          </reference>
        </references>
      </pivotArea>
    </chartFormat>
    <chartFormat chart="27" format="43">
      <pivotArea type="data" outline="0" fieldPosition="0">
        <references count="2">
          <reference field="4294967294" count="1" selected="0">
            <x v="0"/>
          </reference>
          <reference field="0" count="1" selected="0">
            <x v="3"/>
          </reference>
        </references>
      </pivotArea>
    </chartFormat>
    <chartFormat chart="27" format="44">
      <pivotArea type="data" outline="0" fieldPosition="0">
        <references count="2">
          <reference field="4294967294" count="1" selected="0">
            <x v="0"/>
          </reference>
          <reference field="0" count="1" selected="0">
            <x v="4"/>
          </reference>
        </references>
      </pivotArea>
    </chartFormat>
    <chartFormat chart="27" format="45">
      <pivotArea type="data" outline="0" fieldPosition="0">
        <references count="2">
          <reference field="4294967294" count="1" selected="0">
            <x v="0"/>
          </reference>
          <reference field="0" count="1" selected="0">
            <x v="5"/>
          </reference>
        </references>
      </pivotArea>
    </chartFormat>
    <chartFormat chart="27" format="4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6B6A15-8FB6-4CEE-8D02-0A119C247AEA}"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9">
  <location ref="A116:I128"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x="0"/>
        <item x="1"/>
        <item x="2"/>
        <item x="3"/>
        <item x="4"/>
        <item h="1" x="5"/>
        <item h="1" x="6"/>
        <item h="1" x="7"/>
        <item h="1" x="8"/>
        <item h="1"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1"/>
    </i>
    <i r="1">
      <x v="1"/>
    </i>
    <i>
      <x v="2"/>
    </i>
    <i r="1">
      <x v="2"/>
    </i>
    <i>
      <x v="3"/>
    </i>
    <i r="1">
      <x v="3"/>
    </i>
    <i>
      <x v="4"/>
    </i>
    <i r="1">
      <x v="4"/>
    </i>
    <i>
      <x v="5"/>
    </i>
    <i r="1">
      <x v="5"/>
    </i>
    <i t="grand">
      <x/>
    </i>
  </rowItems>
  <colFields count="1">
    <field x="0"/>
  </colFields>
  <colItems count="9">
    <i>
      <x/>
    </i>
    <i>
      <x v="1"/>
    </i>
    <i>
      <x v="2"/>
    </i>
    <i>
      <x v="3"/>
    </i>
    <i>
      <x v="4"/>
    </i>
    <i>
      <x v="5"/>
    </i>
    <i>
      <x v="6"/>
    </i>
    <i>
      <x v="8"/>
    </i>
    <i t="grand">
      <x/>
    </i>
  </colItems>
  <dataFields count="1">
    <dataField name="Suma de HH" fld="10" baseField="0" baseItem="0"/>
  </dataFields>
  <formats count="2">
    <format dxfId="33">
      <pivotArea outline="0" collapsedLevelsAreSubtotals="1" fieldPosition="0"/>
    </format>
    <format dxfId="32">
      <pivotArea dataOnly="0" labelOnly="1" grandRow="1" outline="0" fieldPosition="0"/>
    </format>
  </formats>
  <chartFormats count="16">
    <chartFormat chart="31" format="96" series="1">
      <pivotArea type="data" outline="0" fieldPosition="0">
        <references count="1">
          <reference field="4294967294" count="1" selected="0">
            <x v="0"/>
          </reference>
        </references>
      </pivotArea>
    </chartFormat>
    <chartFormat chart="31" format="97" series="1">
      <pivotArea type="data" outline="0" fieldPosition="0">
        <references count="2">
          <reference field="4294967294" count="1" selected="0">
            <x v="0"/>
          </reference>
          <reference field="0" count="1" selected="0">
            <x v="1"/>
          </reference>
        </references>
      </pivotArea>
    </chartFormat>
    <chartFormat chart="31" format="98" series="1">
      <pivotArea type="data" outline="0" fieldPosition="0">
        <references count="2">
          <reference field="4294967294" count="1" selected="0">
            <x v="0"/>
          </reference>
          <reference field="0" count="1" selected="0">
            <x v="2"/>
          </reference>
        </references>
      </pivotArea>
    </chartFormat>
    <chartFormat chart="31" format="99" series="1">
      <pivotArea type="data" outline="0" fieldPosition="0">
        <references count="2">
          <reference field="4294967294" count="1" selected="0">
            <x v="0"/>
          </reference>
          <reference field="0" count="1" selected="0">
            <x v="3"/>
          </reference>
        </references>
      </pivotArea>
    </chartFormat>
    <chartFormat chart="31" format="100" series="1">
      <pivotArea type="data" outline="0" fieldPosition="0">
        <references count="2">
          <reference field="4294967294" count="1" selected="0">
            <x v="0"/>
          </reference>
          <reference field="0" count="1" selected="0">
            <x v="4"/>
          </reference>
        </references>
      </pivotArea>
    </chartFormat>
    <chartFormat chart="31" format="101" series="1">
      <pivotArea type="data" outline="0" fieldPosition="0">
        <references count="2">
          <reference field="4294967294" count="1" selected="0">
            <x v="0"/>
          </reference>
          <reference field="0" count="1" selected="0">
            <x v="5"/>
          </reference>
        </references>
      </pivotArea>
    </chartFormat>
    <chartFormat chart="31" format="102" series="1">
      <pivotArea type="data" outline="0" fieldPosition="0">
        <references count="2">
          <reference field="4294967294" count="1" selected="0">
            <x v="0"/>
          </reference>
          <reference field="0" count="1" selected="0">
            <x v="6"/>
          </reference>
        </references>
      </pivotArea>
    </chartFormat>
    <chartFormat chart="31" format="103" series="1">
      <pivotArea type="data" outline="0" fieldPosition="0">
        <references count="2">
          <reference field="4294967294" count="1" selected="0">
            <x v="0"/>
          </reference>
          <reference field="0" count="1" selected="0">
            <x v="0"/>
          </reference>
        </references>
      </pivotArea>
    </chartFormat>
    <chartFormat chart="38" format="104" series="1">
      <pivotArea type="data" outline="0" fieldPosition="0">
        <references count="2">
          <reference field="4294967294" count="1" selected="0">
            <x v="0"/>
          </reference>
          <reference field="0" count="1" selected="0">
            <x v="0"/>
          </reference>
        </references>
      </pivotArea>
    </chartFormat>
    <chartFormat chart="38" format="105" series="1">
      <pivotArea type="data" outline="0" fieldPosition="0">
        <references count="2">
          <reference field="4294967294" count="1" selected="0">
            <x v="0"/>
          </reference>
          <reference field="0" count="1" selected="0">
            <x v="1"/>
          </reference>
        </references>
      </pivotArea>
    </chartFormat>
    <chartFormat chart="38" format="106" series="1">
      <pivotArea type="data" outline="0" fieldPosition="0">
        <references count="2">
          <reference field="4294967294" count="1" selected="0">
            <x v="0"/>
          </reference>
          <reference field="0" count="1" selected="0">
            <x v="2"/>
          </reference>
        </references>
      </pivotArea>
    </chartFormat>
    <chartFormat chart="38" format="107" series="1">
      <pivotArea type="data" outline="0" fieldPosition="0">
        <references count="2">
          <reference field="4294967294" count="1" selected="0">
            <x v="0"/>
          </reference>
          <reference field="0" count="1" selected="0">
            <x v="3"/>
          </reference>
        </references>
      </pivotArea>
    </chartFormat>
    <chartFormat chart="38" format="108" series="1">
      <pivotArea type="data" outline="0" fieldPosition="0">
        <references count="2">
          <reference field="4294967294" count="1" selected="0">
            <x v="0"/>
          </reference>
          <reference field="0" count="1" selected="0">
            <x v="4"/>
          </reference>
        </references>
      </pivotArea>
    </chartFormat>
    <chartFormat chart="38" format="109" series="1">
      <pivotArea type="data" outline="0" fieldPosition="0">
        <references count="2">
          <reference field="4294967294" count="1" selected="0">
            <x v="0"/>
          </reference>
          <reference field="0" count="1" selected="0">
            <x v="5"/>
          </reference>
        </references>
      </pivotArea>
    </chartFormat>
    <chartFormat chart="38" format="110" series="1">
      <pivotArea type="data" outline="0" fieldPosition="0">
        <references count="2">
          <reference field="4294967294" count="1" selected="0">
            <x v="0"/>
          </reference>
          <reference field="0" count="1" selected="0">
            <x v="6"/>
          </reference>
        </references>
      </pivotArea>
    </chartFormat>
    <chartFormat chart="38" format="111"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C7F439-F846-4C33-BFE6-23602BBB53B5}"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9">
  <location ref="J10:K18" firstHeaderRow="1" firstDataRow="1" firstDataCol="1"/>
  <pivotFields count="13">
    <pivotField axis="axisRow" showAll="0">
      <items count="10">
        <item x="0"/>
        <item x="1"/>
        <item x="2"/>
        <item x="3"/>
        <item x="4"/>
        <item x="6"/>
        <item x="7"/>
        <item h="1" x="8"/>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a de HH" fld="10" baseField="0" baseItem="0"/>
  </dataFields>
  <formats count="2">
    <format dxfId="35">
      <pivotArea outline="0" collapsedLevelsAreSubtotals="1" fieldPosition="0"/>
    </format>
    <format dxfId="34">
      <pivotArea dataOnly="0" labelOnly="1" grandRow="1" outline="0" fieldPosition="0"/>
    </format>
  </formats>
  <chartFormats count="11">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59" format="4">
      <pivotArea type="data" outline="0" fieldPosition="0">
        <references count="2">
          <reference field="4294967294" count="1" selected="0">
            <x v="0"/>
          </reference>
          <reference field="0" count="1" selected="0">
            <x v="0"/>
          </reference>
        </references>
      </pivotArea>
    </chartFormat>
    <chartFormat chart="59" format="5">
      <pivotArea type="data" outline="0" fieldPosition="0">
        <references count="2">
          <reference field="4294967294" count="1" selected="0">
            <x v="0"/>
          </reference>
          <reference field="0" count="1" selected="0">
            <x v="1"/>
          </reference>
        </references>
      </pivotArea>
    </chartFormat>
    <chartFormat chart="59" format="6">
      <pivotArea type="data" outline="0" fieldPosition="0">
        <references count="2">
          <reference field="4294967294" count="1" selected="0">
            <x v="0"/>
          </reference>
          <reference field="0" count="1" selected="0">
            <x v="2"/>
          </reference>
        </references>
      </pivotArea>
    </chartFormat>
    <chartFormat chart="59" format="7">
      <pivotArea type="data" outline="0" fieldPosition="0">
        <references count="2">
          <reference field="4294967294" count="1" selected="0">
            <x v="0"/>
          </reference>
          <reference field="0" count="1" selected="0">
            <x v="3"/>
          </reference>
        </references>
      </pivotArea>
    </chartFormat>
    <chartFormat chart="59" format="8">
      <pivotArea type="data" outline="0" fieldPosition="0">
        <references count="2">
          <reference field="4294967294" count="1" selected="0">
            <x v="0"/>
          </reference>
          <reference field="0" count="1" selected="0">
            <x v="4"/>
          </reference>
        </references>
      </pivotArea>
    </chartFormat>
    <chartFormat chart="59" format="9">
      <pivotArea type="data" outline="0" fieldPosition="0">
        <references count="2">
          <reference field="4294967294" count="1" selected="0">
            <x v="0"/>
          </reference>
          <reference field="0" count="1" selected="0">
            <x v="5"/>
          </reference>
        </references>
      </pivotArea>
    </chartFormat>
    <chartFormat chart="59" format="10">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9FDA35-4951-4FF8-B70A-4CB26160FA67}"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9">
  <location ref="A1:B9" firstHeaderRow="1" firstDataRow="1" firstDataCol="1"/>
  <pivotFields count="13">
    <pivotField axis="axisRow" showAll="0">
      <items count="10">
        <item x="0"/>
        <item x="1"/>
        <item x="2"/>
        <item x="3"/>
        <item x="4"/>
        <item x="6"/>
        <item x="7"/>
        <item h="1" x="8"/>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a de HH" fld="10" baseField="0" baseItem="0"/>
  </dataFields>
  <formats count="2">
    <format dxfId="4">
      <pivotArea outline="0" collapsedLevelsAreSubtotals="1" fieldPosition="0"/>
    </format>
    <format dxfId="3">
      <pivotArea dataOnly="0" labelOnly="1" grandRow="1" outline="0" fieldPosition="0"/>
    </format>
  </formats>
  <chartFormats count="3">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E2622A-B0F3-4F1C-B972-CD6359B7B90C}"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8">
  <location ref="A144:I156"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x="0"/>
        <item x="1"/>
        <item x="2"/>
        <item x="3"/>
        <item x="4"/>
        <item h="1" x="5"/>
        <item h="1" x="6"/>
        <item h="1" x="7"/>
        <item h="1" x="8"/>
        <item h="1"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1"/>
    </i>
    <i r="1">
      <x v="1"/>
    </i>
    <i>
      <x v="2"/>
    </i>
    <i r="1">
      <x v="2"/>
    </i>
    <i>
      <x v="3"/>
    </i>
    <i r="1">
      <x v="3"/>
    </i>
    <i>
      <x v="4"/>
    </i>
    <i r="1">
      <x v="4"/>
    </i>
    <i>
      <x v="5"/>
    </i>
    <i r="1">
      <x v="5"/>
    </i>
    <i t="grand">
      <x/>
    </i>
  </rowItems>
  <colFields count="1">
    <field x="0"/>
  </colFields>
  <colItems count="9">
    <i>
      <x/>
    </i>
    <i>
      <x v="1"/>
    </i>
    <i>
      <x v="2"/>
    </i>
    <i>
      <x v="3"/>
    </i>
    <i>
      <x v="4"/>
    </i>
    <i>
      <x v="5"/>
    </i>
    <i>
      <x v="6"/>
    </i>
    <i>
      <x v="8"/>
    </i>
    <i t="grand">
      <x/>
    </i>
  </colItems>
  <dataFields count="1">
    <dataField name="Suma de HH" fld="10" baseField="0" baseItem="0"/>
  </dataFields>
  <formats count="2">
    <format dxfId="6">
      <pivotArea outline="0" collapsedLevelsAreSubtotals="1" fieldPosition="0"/>
    </format>
    <format dxfId="5">
      <pivotArea dataOnly="0" labelOnly="1" grandRow="1" outline="0" fieldPosition="0"/>
    </format>
  </formats>
  <chartFormats count="9">
    <chartFormat chart="31" format="96" series="1">
      <pivotArea type="data" outline="0" fieldPosition="0">
        <references count="1">
          <reference field="4294967294" count="1" selected="0">
            <x v="0"/>
          </reference>
        </references>
      </pivotArea>
    </chartFormat>
    <chartFormat chart="31" format="97" series="1">
      <pivotArea type="data" outline="0" fieldPosition="0">
        <references count="2">
          <reference field="4294967294" count="1" selected="0">
            <x v="0"/>
          </reference>
          <reference field="0" count="1" selected="0">
            <x v="1"/>
          </reference>
        </references>
      </pivotArea>
    </chartFormat>
    <chartFormat chart="31" format="98" series="1">
      <pivotArea type="data" outline="0" fieldPosition="0">
        <references count="2">
          <reference field="4294967294" count="1" selected="0">
            <x v="0"/>
          </reference>
          <reference field="0" count="1" selected="0">
            <x v="2"/>
          </reference>
        </references>
      </pivotArea>
    </chartFormat>
    <chartFormat chart="31" format="99" series="1">
      <pivotArea type="data" outline="0" fieldPosition="0">
        <references count="2">
          <reference field="4294967294" count="1" selected="0">
            <x v="0"/>
          </reference>
          <reference field="0" count="1" selected="0">
            <x v="3"/>
          </reference>
        </references>
      </pivotArea>
    </chartFormat>
    <chartFormat chart="31" format="100" series="1">
      <pivotArea type="data" outline="0" fieldPosition="0">
        <references count="2">
          <reference field="4294967294" count="1" selected="0">
            <x v="0"/>
          </reference>
          <reference field="0" count="1" selected="0">
            <x v="4"/>
          </reference>
        </references>
      </pivotArea>
    </chartFormat>
    <chartFormat chart="31" format="101" series="1">
      <pivotArea type="data" outline="0" fieldPosition="0">
        <references count="2">
          <reference field="4294967294" count="1" selected="0">
            <x v="0"/>
          </reference>
          <reference field="0" count="1" selected="0">
            <x v="5"/>
          </reference>
        </references>
      </pivotArea>
    </chartFormat>
    <chartFormat chart="31" format="102" series="1">
      <pivotArea type="data" outline="0" fieldPosition="0">
        <references count="2">
          <reference field="4294967294" count="1" selected="0">
            <x v="0"/>
          </reference>
          <reference field="0" count="1" selected="0">
            <x v="6"/>
          </reference>
        </references>
      </pivotArea>
    </chartFormat>
    <chartFormat chart="31" format="103" series="1">
      <pivotArea type="data" outline="0" fieldPosition="0">
        <references count="2">
          <reference field="4294967294" count="1" selected="0">
            <x v="0"/>
          </reference>
          <reference field="0" count="1" selected="0">
            <x v="0"/>
          </reference>
        </references>
      </pivotArea>
    </chartFormat>
    <chartFormat chart="31" format="104"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E3E7CB-2913-4F9B-8D82-CCEC12432CBD}"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location ref="A89:J99"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h="1" x="12"/>
        <item h="1" x="0"/>
        <item h="1" x="1"/>
        <item h="1" x="2"/>
        <item h="1" x="3"/>
        <item x="4"/>
        <item x="5"/>
        <item x="6"/>
        <item x="7"/>
        <item h="1" x="8"/>
        <item h="1" x="9"/>
        <item h="1" x="10"/>
        <item h="1" x="11"/>
        <item t="default"/>
      </items>
    </pivotField>
    <pivotField dataField="1" showAll="0"/>
    <pivotField showAll="0"/>
    <pivotField axis="axisCol" showAll="0">
      <items count="11">
        <item x="9"/>
        <item x="0"/>
        <item x="1"/>
        <item x="2"/>
        <item x="3"/>
        <item x="4"/>
        <item x="5"/>
        <item x="6"/>
        <item x="7"/>
        <item x="8"/>
        <item t="default"/>
      </items>
    </pivotField>
  </pivotFields>
  <rowFields count="1">
    <field x="0"/>
  </rowFields>
  <rowItems count="9">
    <i>
      <x/>
    </i>
    <i>
      <x v="1"/>
    </i>
    <i>
      <x v="2"/>
    </i>
    <i>
      <x v="3"/>
    </i>
    <i>
      <x v="4"/>
    </i>
    <i>
      <x v="5"/>
    </i>
    <i>
      <x v="6"/>
    </i>
    <i>
      <x v="8"/>
    </i>
    <i t="grand">
      <x/>
    </i>
  </rowItems>
  <colFields count="2">
    <field x="9"/>
    <field x="12"/>
  </colFields>
  <colItems count="9">
    <i>
      <x v="5"/>
      <x v="5"/>
    </i>
    <i t="default">
      <x v="5"/>
    </i>
    <i>
      <x v="6"/>
      <x v="6"/>
    </i>
    <i t="default">
      <x v="6"/>
    </i>
    <i>
      <x v="7"/>
      <x v="7"/>
    </i>
    <i t="default">
      <x v="7"/>
    </i>
    <i>
      <x v="8"/>
      <x v="8"/>
    </i>
    <i t="default">
      <x v="8"/>
    </i>
    <i t="grand">
      <x/>
    </i>
  </colItems>
  <dataFields count="1">
    <dataField name="Suma de HH" fld="10" baseField="0" baseItem="0"/>
  </dataFields>
  <formats count="2">
    <format dxfId="8">
      <pivotArea outline="0" collapsedLevelsAreSubtotals="1" fieldPosition="0"/>
    </format>
    <format dxfId="7">
      <pivotArea dataOnly="0" labelOnly="1" grandRow="1" outline="0" fieldPosition="0"/>
    </format>
  </formats>
  <chartFormats count="6">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1" format="97" series="1">
      <pivotArea type="data" outline="0" fieldPosition="0">
        <references count="3">
          <reference field="4294967294" count="1" selected="0">
            <x v="0"/>
          </reference>
          <reference field="9" count="1" selected="0">
            <x v="5"/>
          </reference>
          <reference field="12" count="1" selected="0">
            <x v="5"/>
          </reference>
        </references>
      </pivotArea>
    </chartFormat>
    <chartFormat chart="41" format="98" series="1">
      <pivotArea type="data" outline="0" fieldPosition="0">
        <references count="3">
          <reference field="4294967294" count="1" selected="0">
            <x v="0"/>
          </reference>
          <reference field="9" count="1" selected="0">
            <x v="6"/>
          </reference>
          <reference field="12" count="1" selected="0">
            <x v="6"/>
          </reference>
        </references>
      </pivotArea>
    </chartFormat>
    <chartFormat chart="41" format="99" series="1">
      <pivotArea type="data" outline="0" fieldPosition="0">
        <references count="3">
          <reference field="4294967294" count="1" selected="0">
            <x v="0"/>
          </reference>
          <reference field="9" count="1" selected="0">
            <x v="7"/>
          </reference>
          <reference field="12" count="1" selected="0">
            <x v="7"/>
          </reference>
        </references>
      </pivotArea>
    </chartFormat>
    <chartFormat chart="41" format="100" series="1">
      <pivotArea type="data" outline="0" fieldPosition="0">
        <references count="3">
          <reference field="4294967294" count="1" selected="0">
            <x v="0"/>
          </reference>
          <reference field="9" count="1" selected="0">
            <x v="8"/>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E64271-6148-42B9-AD64-E00AED349156}"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9">
  <location ref="A62:J72"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x="0"/>
        <item h="1" x="9"/>
        <item h="1" x="10"/>
        <item h="1" x="11"/>
        <item x="1"/>
        <item x="2"/>
        <item x="3"/>
        <item h="1" x="4"/>
        <item h="1" x="5"/>
        <item h="1" x="6"/>
        <item h="1" x="7"/>
        <item h="1" x="8"/>
        <item h="1" x="12"/>
        <item t="default"/>
      </items>
    </pivotField>
    <pivotField dataField="1" showAll="0"/>
    <pivotField showAll="0"/>
    <pivotField axis="axisCol" showAll="0">
      <items count="11">
        <item x="5"/>
        <item x="1"/>
        <item x="6"/>
        <item x="2"/>
        <item x="7"/>
        <item x="3"/>
        <item x="8"/>
        <item x="4"/>
        <item x="0"/>
        <item x="9"/>
        <item t="default"/>
      </items>
    </pivotField>
  </pivotFields>
  <rowFields count="1">
    <field x="0"/>
  </rowFields>
  <rowItems count="9">
    <i>
      <x/>
    </i>
    <i>
      <x v="1"/>
    </i>
    <i>
      <x v="2"/>
    </i>
    <i>
      <x v="3"/>
    </i>
    <i>
      <x v="4"/>
    </i>
    <i>
      <x v="5"/>
    </i>
    <i>
      <x v="6"/>
    </i>
    <i>
      <x v="8"/>
    </i>
    <i t="grand">
      <x/>
    </i>
  </rowItems>
  <colFields count="2">
    <field x="9"/>
    <field x="12"/>
  </colFields>
  <colItems count="9">
    <i>
      <x/>
      <x v="8"/>
    </i>
    <i t="default">
      <x/>
    </i>
    <i>
      <x v="4"/>
      <x v="1"/>
    </i>
    <i t="default">
      <x v="4"/>
    </i>
    <i>
      <x v="5"/>
      <x v="3"/>
    </i>
    <i t="default">
      <x v="5"/>
    </i>
    <i>
      <x v="6"/>
      <x v="5"/>
    </i>
    <i t="default">
      <x v="6"/>
    </i>
    <i t="grand">
      <x/>
    </i>
  </colItems>
  <dataFields count="1">
    <dataField name="Suma de HH" fld="10" baseField="0" baseItem="0"/>
  </dataFields>
  <formats count="2">
    <format dxfId="10">
      <pivotArea outline="0" collapsedLevelsAreSubtotals="1" fieldPosition="0"/>
    </format>
    <format dxfId="9">
      <pivotArea dataOnly="0" labelOnly="1" grandRow="1" outline="0" fieldPosition="0"/>
    </format>
  </formats>
  <chartFormats count="15">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9" format="110" series="1">
      <pivotArea type="data" outline="0" fieldPosition="0">
        <references count="1">
          <reference field="4294967294" count="1" selected="0">
            <x v="0"/>
          </reference>
        </references>
      </pivotArea>
    </chartFormat>
    <chartFormat chart="39" format="123" series="1">
      <pivotArea type="data" outline="0" fieldPosition="0">
        <references count="2">
          <reference field="4294967294" count="1" selected="0">
            <x v="0"/>
          </reference>
          <reference field="9" count="1" selected="0">
            <x v="1"/>
          </reference>
        </references>
      </pivotArea>
    </chartFormat>
    <chartFormat chart="39" format="124" series="1">
      <pivotArea type="data" outline="0" fieldPosition="0">
        <references count="2">
          <reference field="4294967294" count="1" selected="0">
            <x v="0"/>
          </reference>
          <reference field="9" count="1" selected="0">
            <x v="2"/>
          </reference>
        </references>
      </pivotArea>
    </chartFormat>
    <chartFormat chart="39" format="125" series="1">
      <pivotArea type="data" outline="0" fieldPosition="0">
        <references count="2">
          <reference field="4294967294" count="1" selected="0">
            <x v="0"/>
          </reference>
          <reference field="9" count="1" selected="0">
            <x v="3"/>
          </reference>
        </references>
      </pivotArea>
    </chartFormat>
    <chartFormat chart="39" format="126" series="1">
      <pivotArea type="data" outline="0" fieldPosition="0">
        <references count="2">
          <reference field="4294967294" count="1" selected="0">
            <x v="0"/>
          </reference>
          <reference field="9" count="1" selected="0">
            <x v="4"/>
          </reference>
        </references>
      </pivotArea>
    </chartFormat>
    <chartFormat chart="39" format="127" series="1">
      <pivotArea type="data" outline="0" fieldPosition="0">
        <references count="2">
          <reference field="4294967294" count="1" selected="0">
            <x v="0"/>
          </reference>
          <reference field="9" count="1" selected="0">
            <x v="5"/>
          </reference>
        </references>
      </pivotArea>
    </chartFormat>
    <chartFormat chart="39" format="128" series="1">
      <pivotArea type="data" outline="0" fieldPosition="0">
        <references count="2">
          <reference field="4294967294" count="1" selected="0">
            <x v="0"/>
          </reference>
          <reference field="9" count="1" selected="0">
            <x v="6"/>
          </reference>
        </references>
      </pivotArea>
    </chartFormat>
    <chartFormat chart="39" format="129" series="1">
      <pivotArea type="data" outline="0" fieldPosition="0">
        <references count="2">
          <reference field="4294967294" count="1" selected="0">
            <x v="0"/>
          </reference>
          <reference field="9" count="1" selected="0">
            <x v="7"/>
          </reference>
        </references>
      </pivotArea>
    </chartFormat>
    <chartFormat chart="39" format="130" series="1">
      <pivotArea type="data" outline="0" fieldPosition="0">
        <references count="2">
          <reference field="4294967294" count="1" selected="0">
            <x v="0"/>
          </reference>
          <reference field="9" count="1" selected="0">
            <x v="8"/>
          </reference>
        </references>
      </pivotArea>
    </chartFormat>
    <chartFormat chart="39" format="131" series="1">
      <pivotArea type="data" outline="0" fieldPosition="0">
        <references count="2">
          <reference field="4294967294" count="1" selected="0">
            <x v="0"/>
          </reference>
          <reference field="9" count="1" selected="0">
            <x v="9"/>
          </reference>
        </references>
      </pivotArea>
    </chartFormat>
    <chartFormat chart="39" format="132" series="1">
      <pivotArea type="data" outline="0" fieldPosition="0">
        <references count="2">
          <reference field="4294967294" count="1" selected="0">
            <x v="0"/>
          </reference>
          <reference field="9" count="1" selected="0">
            <x v="10"/>
          </reference>
        </references>
      </pivotArea>
    </chartFormat>
    <chartFormat chart="39" format="133" series="1">
      <pivotArea type="data" outline="0" fieldPosition="0">
        <references count="2">
          <reference field="4294967294" count="1" selected="0">
            <x v="0"/>
          </reference>
          <reference field="9" count="1" selected="0">
            <x v="11"/>
          </reference>
        </references>
      </pivotArea>
    </chartFormat>
    <chartFormat chart="39" format="134" series="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A767CE-C509-49D4-8C70-D0F1CFA7C059}"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0">
  <location ref="A198:I210"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x="0"/>
        <item x="1"/>
        <item x="2"/>
        <item x="3"/>
        <item x="4"/>
        <item h="1" x="5"/>
        <item h="1" x="6"/>
        <item h="1" x="7"/>
        <item h="1" x="8"/>
        <item h="1"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1"/>
    </i>
    <i r="1">
      <x v="1"/>
    </i>
    <i>
      <x v="2"/>
    </i>
    <i r="1">
      <x v="2"/>
    </i>
    <i>
      <x v="3"/>
    </i>
    <i r="1">
      <x v="3"/>
    </i>
    <i>
      <x v="4"/>
    </i>
    <i r="1">
      <x v="4"/>
    </i>
    <i>
      <x v="5"/>
    </i>
    <i r="1">
      <x v="5"/>
    </i>
    <i t="grand">
      <x/>
    </i>
  </rowItems>
  <colFields count="1">
    <field x="0"/>
  </colFields>
  <colItems count="9">
    <i>
      <x/>
    </i>
    <i>
      <x v="1"/>
    </i>
    <i>
      <x v="2"/>
    </i>
    <i>
      <x v="3"/>
    </i>
    <i>
      <x v="4"/>
    </i>
    <i>
      <x v="5"/>
    </i>
    <i>
      <x v="6"/>
    </i>
    <i>
      <x v="8"/>
    </i>
    <i t="grand">
      <x/>
    </i>
  </colItems>
  <dataFields count="1">
    <dataField name="Suma de HH" fld="10" baseField="0" baseItem="0"/>
  </dataFields>
  <formats count="2">
    <format dxfId="12">
      <pivotArea outline="0" collapsedLevelsAreSubtotals="1" fieldPosition="0"/>
    </format>
    <format dxfId="11">
      <pivotArea dataOnly="0" labelOnly="1" grandRow="1" outline="0" fieldPosition="0"/>
    </format>
  </formats>
  <chartFormats count="11">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9" format="30" series="1">
      <pivotArea type="data" outline="0" fieldPosition="0">
        <references count="1">
          <reference field="4294967294" count="1" selected="0">
            <x v="0"/>
          </reference>
        </references>
      </pivotArea>
    </chartFormat>
    <chartFormat chart="39" format="31" series="1">
      <pivotArea type="data" outline="0" fieldPosition="0">
        <references count="2">
          <reference field="4294967294" count="1" selected="0">
            <x v="0"/>
          </reference>
          <reference field="0" count="1" selected="0">
            <x v="1"/>
          </reference>
        </references>
      </pivotArea>
    </chartFormat>
    <chartFormat chart="39" format="32" series="1">
      <pivotArea type="data" outline="0" fieldPosition="0">
        <references count="2">
          <reference field="4294967294" count="1" selected="0">
            <x v="0"/>
          </reference>
          <reference field="0" count="1" selected="0">
            <x v="2"/>
          </reference>
        </references>
      </pivotArea>
    </chartFormat>
    <chartFormat chart="39" format="33" series="1">
      <pivotArea type="data" outline="0" fieldPosition="0">
        <references count="2">
          <reference field="4294967294" count="1" selected="0">
            <x v="0"/>
          </reference>
          <reference field="0" count="1" selected="0">
            <x v="3"/>
          </reference>
        </references>
      </pivotArea>
    </chartFormat>
    <chartFormat chart="39" format="34" series="1">
      <pivotArea type="data" outline="0" fieldPosition="0">
        <references count="2">
          <reference field="4294967294" count="1" selected="0">
            <x v="0"/>
          </reference>
          <reference field="0" count="1" selected="0">
            <x v="4"/>
          </reference>
        </references>
      </pivotArea>
    </chartFormat>
    <chartFormat chart="39" format="35" series="1">
      <pivotArea type="data" outline="0" fieldPosition="0">
        <references count="2">
          <reference field="4294967294" count="1" selected="0">
            <x v="0"/>
          </reference>
          <reference field="0" count="1" selected="0">
            <x v="5"/>
          </reference>
        </references>
      </pivotArea>
    </chartFormat>
    <chartFormat chart="39" format="36" series="1">
      <pivotArea type="data" outline="0" fieldPosition="0">
        <references count="2">
          <reference field="4294967294" count="1" selected="0">
            <x v="0"/>
          </reference>
          <reference field="0" count="1" selected="0">
            <x v="6"/>
          </reference>
        </references>
      </pivotArea>
    </chartFormat>
    <chartFormat chart="39" format="37" series="1">
      <pivotArea type="data" outline="0" fieldPosition="0">
        <references count="2">
          <reference field="4294967294" count="1" selected="0">
            <x v="0"/>
          </reference>
          <reference field="0" count="1" selected="0">
            <x v="0"/>
          </reference>
        </references>
      </pivotArea>
    </chartFormat>
    <chartFormat chart="39" format="38"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AB047B-B1F2-4253-9B3D-2E22D51EB696}" name="TablaDinámica1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7">
  <location ref="A29:B37" firstHeaderRow="1" firstDataRow="1" firstDataCol="1"/>
  <pivotFields count="13">
    <pivotField axis="axisRow" showAll="0">
      <items count="10">
        <item x="0"/>
        <item x="1"/>
        <item x="2"/>
        <item x="3"/>
        <item x="4"/>
        <item x="6"/>
        <item x="7"/>
        <item h="1" x="8"/>
        <item h="1"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a de HH" fld="10" baseField="0" baseItem="0" numFmtId="1"/>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0"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EBEDE3-AD97-4854-AAA4-DE1006A9AABB}"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5">
  <location ref="A118:J128" firstHeaderRow="1" firstDataRow="3" firstDataCol="1"/>
  <pivotFields count="13">
    <pivotField axis="axisRow"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Col" showAll="0">
      <items count="14">
        <item h="1" x="12"/>
        <item h="1" x="0"/>
        <item h="1" x="1"/>
        <item h="1" x="2"/>
        <item h="1" x="3"/>
        <item h="1" x="4"/>
        <item h="1" x="5"/>
        <item h="1" x="6"/>
        <item h="1" x="7"/>
        <item x="8"/>
        <item x="9"/>
        <item x="10"/>
        <item x="11"/>
        <item t="default"/>
      </items>
    </pivotField>
    <pivotField dataField="1" showAll="0"/>
    <pivotField showAll="0"/>
    <pivotField axis="axisCol" showAll="0">
      <items count="11">
        <item x="9"/>
        <item x="0"/>
        <item x="1"/>
        <item x="2"/>
        <item x="3"/>
        <item x="4"/>
        <item x="5"/>
        <item x="6"/>
        <item x="7"/>
        <item x="8"/>
        <item t="default"/>
      </items>
    </pivotField>
  </pivotFields>
  <rowFields count="1">
    <field x="0"/>
  </rowFields>
  <rowItems count="9">
    <i>
      <x/>
    </i>
    <i>
      <x v="1"/>
    </i>
    <i>
      <x v="2"/>
    </i>
    <i>
      <x v="3"/>
    </i>
    <i>
      <x v="4"/>
    </i>
    <i>
      <x v="5"/>
    </i>
    <i>
      <x v="6"/>
    </i>
    <i>
      <x v="8"/>
    </i>
    <i t="grand">
      <x/>
    </i>
  </rowItems>
  <colFields count="2">
    <field x="9"/>
    <field x="12"/>
  </colFields>
  <colItems count="9">
    <i>
      <x v="9"/>
      <x v="9"/>
    </i>
    <i t="default">
      <x v="9"/>
    </i>
    <i>
      <x v="10"/>
      <x v="1"/>
    </i>
    <i t="default">
      <x v="10"/>
    </i>
    <i>
      <x v="11"/>
      <x v="1"/>
    </i>
    <i t="default">
      <x v="11"/>
    </i>
    <i>
      <x v="12"/>
      <x v="1"/>
    </i>
    <i t="default">
      <x v="12"/>
    </i>
    <i t="grand">
      <x/>
    </i>
  </colItems>
  <dataFields count="1">
    <dataField name="Suma de HH" fld="10" baseField="0" baseItem="0"/>
  </dataFields>
  <formats count="2">
    <format dxfId="15">
      <pivotArea outline="0" collapsedLevelsAreSubtotals="1" fieldPosition="0"/>
    </format>
    <format dxfId="14">
      <pivotArea dataOnly="0" labelOnly="1" grandRow="1" outline="0" fieldPosition="0"/>
    </format>
  </formats>
  <chartFormats count="6">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44" format="78" series="1">
      <pivotArea type="data" outline="0" fieldPosition="0">
        <references count="3">
          <reference field="4294967294" count="1" selected="0">
            <x v="0"/>
          </reference>
          <reference field="9" count="1" selected="0">
            <x v="9"/>
          </reference>
          <reference field="12" count="1" selected="0">
            <x v="9"/>
          </reference>
        </references>
      </pivotArea>
    </chartFormat>
    <chartFormat chart="44" format="79" series="1">
      <pivotArea type="data" outline="0" fieldPosition="0">
        <references count="3">
          <reference field="4294967294" count="1" selected="0">
            <x v="0"/>
          </reference>
          <reference field="9" count="1" selected="0">
            <x v="10"/>
          </reference>
          <reference field="12" count="1" selected="0">
            <x v="1"/>
          </reference>
        </references>
      </pivotArea>
    </chartFormat>
    <chartFormat chart="44" format="80" series="1">
      <pivotArea type="data" outline="0" fieldPosition="0">
        <references count="3">
          <reference field="4294967294" count="1" selected="0">
            <x v="0"/>
          </reference>
          <reference field="9" count="1" selected="0">
            <x v="11"/>
          </reference>
          <reference field="12" count="1" selected="0">
            <x v="1"/>
          </reference>
        </references>
      </pivotArea>
    </chartFormat>
    <chartFormat chart="44" format="81" series="1">
      <pivotArea type="data" outline="0" fieldPosition="0">
        <references count="3">
          <reference field="4294967294" count="1" selected="0">
            <x v="0"/>
          </reference>
          <reference field="9" count="1" selected="0">
            <x v="1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BF240B-02A1-45EE-BAD8-0FDEB604C5A5}"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2">
  <location ref="A171:I183" firstHeaderRow="1" firstDataRow="2" firstDataCol="1"/>
  <pivotFields count="13">
    <pivotField axis="axisCol" showAll="0">
      <items count="10">
        <item x="0"/>
        <item x="1"/>
        <item x="2"/>
        <item x="3"/>
        <item x="4"/>
        <item x="6"/>
        <item x="7"/>
        <item x="8"/>
        <item x="5"/>
        <item t="default"/>
      </items>
    </pivotField>
    <pivotField showAll="0"/>
    <pivotField showAll="0"/>
    <pivotField showAll="0"/>
    <pivotField showAll="0"/>
    <pivotField showAll="0"/>
    <pivotField showAll="0"/>
    <pivotField showAll="0"/>
    <pivotField showAll="0"/>
    <pivotField axis="axisRow" showAll="0">
      <items count="14">
        <item h="1" x="12"/>
        <item h="1" x="0"/>
        <item h="1" x="1"/>
        <item h="1" x="2"/>
        <item h="1" x="3"/>
        <item h="1" x="4"/>
        <item x="5"/>
        <item x="6"/>
        <item x="7"/>
        <item x="8"/>
        <item x="9"/>
        <item h="1" x="10"/>
        <item h="1" x="11"/>
        <item t="default"/>
      </items>
    </pivotField>
    <pivotField dataField="1" showAll="0"/>
    <pivotField showAll="0"/>
    <pivotField axis="axisRow" showAll="0">
      <items count="11">
        <item x="9"/>
        <item x="0"/>
        <item x="1"/>
        <item x="2"/>
        <item x="3"/>
        <item x="4"/>
        <item x="5"/>
        <item x="6"/>
        <item x="7"/>
        <item x="8"/>
        <item t="default"/>
      </items>
    </pivotField>
  </pivotFields>
  <rowFields count="2">
    <field x="9"/>
    <field x="12"/>
  </rowFields>
  <rowItems count="11">
    <i>
      <x v="6"/>
    </i>
    <i r="1">
      <x v="6"/>
    </i>
    <i>
      <x v="7"/>
    </i>
    <i r="1">
      <x v="7"/>
    </i>
    <i>
      <x v="8"/>
    </i>
    <i r="1">
      <x v="8"/>
    </i>
    <i>
      <x v="9"/>
    </i>
    <i r="1">
      <x v="9"/>
    </i>
    <i>
      <x v="10"/>
    </i>
    <i r="1">
      <x v="1"/>
    </i>
    <i t="grand">
      <x/>
    </i>
  </rowItems>
  <colFields count="1">
    <field x="0"/>
  </colFields>
  <colItems count="9">
    <i>
      <x/>
    </i>
    <i>
      <x v="1"/>
    </i>
    <i>
      <x v="2"/>
    </i>
    <i>
      <x v="3"/>
    </i>
    <i>
      <x v="4"/>
    </i>
    <i>
      <x v="5"/>
    </i>
    <i>
      <x v="6"/>
    </i>
    <i>
      <x v="8"/>
    </i>
    <i t="grand">
      <x/>
    </i>
  </colItems>
  <dataFields count="1">
    <dataField name="Suma de HH" fld="10" baseField="0" baseItem="0"/>
  </dataFields>
  <formats count="2">
    <format dxfId="17">
      <pivotArea outline="0" collapsedLevelsAreSubtotals="1" fieldPosition="0"/>
    </format>
    <format dxfId="16">
      <pivotArea dataOnly="0" labelOnly="1" grandRow="1" outline="0" fieldPosition="0"/>
    </format>
  </formats>
  <chartFormats count="11">
    <chartFormat chart="13" format="62" series="1">
      <pivotArea type="data" outline="0" fieldPosition="0"/>
    </chartFormat>
    <chartFormat chart="13" format="74" series="1">
      <pivotArea type="data" outline="0" fieldPosition="0">
        <references count="1">
          <reference field="4294967294" count="1" selected="0">
            <x v="0"/>
          </reference>
        </references>
      </pivotArea>
    </chartFormat>
    <chartFormat chart="31" format="126" series="1">
      <pivotArea type="data" outline="0" fieldPosition="0">
        <references count="1">
          <reference field="4294967294" count="1" selected="0">
            <x v="0"/>
          </reference>
        </references>
      </pivotArea>
    </chartFormat>
    <chartFormat chart="31" format="127" series="1">
      <pivotArea type="data" outline="0" fieldPosition="0">
        <references count="2">
          <reference field="4294967294" count="1" selected="0">
            <x v="0"/>
          </reference>
          <reference field="0" count="1" selected="0">
            <x v="1"/>
          </reference>
        </references>
      </pivotArea>
    </chartFormat>
    <chartFormat chart="31" format="128" series="1">
      <pivotArea type="data" outline="0" fieldPosition="0">
        <references count="2">
          <reference field="4294967294" count="1" selected="0">
            <x v="0"/>
          </reference>
          <reference field="0" count="1" selected="0">
            <x v="2"/>
          </reference>
        </references>
      </pivotArea>
    </chartFormat>
    <chartFormat chart="31" format="129" series="1">
      <pivotArea type="data" outline="0" fieldPosition="0">
        <references count="2">
          <reference field="4294967294" count="1" selected="0">
            <x v="0"/>
          </reference>
          <reference field="0" count="1" selected="0">
            <x v="3"/>
          </reference>
        </references>
      </pivotArea>
    </chartFormat>
    <chartFormat chart="31" format="130" series="1">
      <pivotArea type="data" outline="0" fieldPosition="0">
        <references count="2">
          <reference field="4294967294" count="1" selected="0">
            <x v="0"/>
          </reference>
          <reference field="0" count="1" selected="0">
            <x v="4"/>
          </reference>
        </references>
      </pivotArea>
    </chartFormat>
    <chartFormat chart="31" format="131" series="1">
      <pivotArea type="data" outline="0" fieldPosition="0">
        <references count="2">
          <reference field="4294967294" count="1" selected="0">
            <x v="0"/>
          </reference>
          <reference field="0" count="1" selected="0">
            <x v="5"/>
          </reference>
        </references>
      </pivotArea>
    </chartFormat>
    <chartFormat chart="31" format="132" series="1">
      <pivotArea type="data" outline="0" fieldPosition="0">
        <references count="2">
          <reference field="4294967294" count="1" selected="0">
            <x v="0"/>
          </reference>
          <reference field="0" count="1" selected="0">
            <x v="6"/>
          </reference>
        </references>
      </pivotArea>
    </chartFormat>
    <chartFormat chart="31" format="133" series="1">
      <pivotArea type="data" outline="0" fieldPosition="0">
        <references count="2">
          <reference field="4294967294" count="1" selected="0">
            <x v="0"/>
          </reference>
          <reference field="0" count="1" selected="0">
            <x v="0"/>
          </reference>
        </references>
      </pivotArea>
    </chartFormat>
    <chartFormat chart="31" format="134"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0014A8F-127F-47BC-9DF4-95540C8DE360}" autoFormatId="16" applyNumberFormats="0" applyBorderFormats="0" applyFontFormats="0" applyPatternFormats="0" applyAlignmentFormats="0" applyWidthHeightFormats="0">
  <queryTableRefresh nextId="37" unboundColumnsRight="2">
    <queryTableFields count="13">
      <queryTableField id="20" name="Emplado " tableColumnId="1"/>
      <queryTableField id="21" name="Tarea/Actividad" tableColumnId="2"/>
      <queryTableField id="22" name="Fecha de inicio" tableColumnId="3"/>
      <queryTableField id="23" name="Plazo (fecha)" tableColumnId="4"/>
      <queryTableField id="24" name="Tiempo necesario estimado (Horas)" tableColumnId="5"/>
      <queryTableField id="25" name="Tiempo restante" tableColumnId="6"/>
      <queryTableField id="26" name="Días restantes" tableColumnId="7"/>
      <queryTableField id="27" name="Semanas restantes" tableColumnId="8"/>
      <queryTableField id="28" name="HH por día" tableColumnId="9"/>
      <queryTableField id="35" name="NUM SEM" tableColumnId="17"/>
      <queryTableField id="32" name="HH" tableColumnId="15"/>
      <queryTableField id="18" dataBound="0" tableColumnId="11"/>
      <queryTableField id="19"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559C05-7E7D-44C7-A37E-5706262763E0}" name="BD_P_C" displayName="BD_P_C" ref="A1:M1009" tableType="queryTable" totalsRowShown="0">
  <autoFilter ref="A1:M1009" xr:uid="{C4559C05-7E7D-44C7-A37E-5706262763E0}"/>
  <tableColumns count="13">
    <tableColumn id="1" xr3:uid="{8B188106-6151-4B1A-BA4B-B320A57CFBEE}" uniqueName="1" name="Emplado " queryTableFieldId="20"/>
    <tableColumn id="2" xr3:uid="{1D526202-EA7E-494D-86E2-9F0CCF9BA3A8}" uniqueName="2" name="Tarea/Actividad" queryTableFieldId="21"/>
    <tableColumn id="3" xr3:uid="{671E4FA0-7387-4FFC-A199-FAF0AC144F73}" uniqueName="3" name="Fecha de inicio" queryTableFieldId="22"/>
    <tableColumn id="4" xr3:uid="{5B6325A4-5B6B-4C0E-BEC7-8C78E0815FBD}" uniqueName="4" name="Plazo (fecha)" queryTableFieldId="23"/>
    <tableColumn id="5" xr3:uid="{8C73DDB8-00B6-4AB0-92B1-49544376D2B6}" uniqueName="5" name="Tiempo necesario estimado (Horas)" queryTableFieldId="24"/>
    <tableColumn id="6" xr3:uid="{C987D464-8722-446D-9CF4-AAFBCAF12652}" uniqueName="6" name="Tiempo restante" queryTableFieldId="25"/>
    <tableColumn id="7" xr3:uid="{50970C82-A8D6-4DA0-8C00-7B7517DE1C5A}" uniqueName="7" name="Días restantes" queryTableFieldId="26"/>
    <tableColumn id="8" xr3:uid="{A915F14F-EA32-443B-ADB2-237F8C1BC98D}" uniqueName="8" name="Semanas restantes" queryTableFieldId="27"/>
    <tableColumn id="9" xr3:uid="{5CAA16AE-6FC3-4596-B319-D095A65F7EE4}" uniqueName="9" name="HH por día" queryTableFieldId="28"/>
    <tableColumn id="17" xr3:uid="{19E343C8-8864-4F3E-BBF4-E49C0629350E}" uniqueName="17" name="NUM SEM" queryTableFieldId="35" dataDxfId="20"/>
    <tableColumn id="15" xr3:uid="{67484C32-C1D1-44EF-9CE7-DF8A57B0DFCC}" uniqueName="15" name="HH" queryTableFieldId="32"/>
    <tableColumn id="11" xr3:uid="{85CC6EAD-1AAC-4581-B9EC-E484AF0B918C}" uniqueName="11" name="SEMANA2" queryTableFieldId="18" dataDxfId="19">
      <calculatedColumnFormula>IFERROR(VLOOKUP(J2,$O$2:$P$13,2),"")</calculatedColumnFormula>
    </tableColumn>
    <tableColumn id="12" xr3:uid="{AE16A88B-D2A2-4351-A778-4B1AE19E1DE9}" uniqueName="12" name="LUNES a DOMINGO" queryTableFieldId="19" dataDxfId="18">
      <calculatedColumnFormula>IFERROR(TEXT(L2,"dd/mm/yyyy")&amp; " a " &amp; (TEXT(L2+6,"dd/mm/yyyy")),"")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5680-151E-487B-AA55-A8FB3596DD23}">
  <dimension ref="A1:A10"/>
  <sheetViews>
    <sheetView tabSelected="1" zoomScale="119" zoomScaleNormal="111" workbookViewId="0">
      <pane xSplit="1" topLeftCell="S1" activePane="topRight" state="frozen"/>
      <selection pane="topRight" activeCell="A3" sqref="A3"/>
    </sheetView>
  </sheetViews>
  <sheetFormatPr baseColWidth="10" defaultColWidth="11.44140625" defaultRowHeight="15" customHeight="1" x14ac:dyDescent="0.3"/>
  <cols>
    <col min="1" max="1" width="135.88671875" style="4" customWidth="1"/>
    <col min="2" max="16383" width="11.44140625" customWidth="1"/>
    <col min="16384" max="16384" width="25" customWidth="1"/>
  </cols>
  <sheetData>
    <row r="1" spans="1:1" ht="14.4" x14ac:dyDescent="0.3">
      <c r="A1" s="16" t="s">
        <v>0</v>
      </c>
    </row>
    <row r="2" spans="1:1" ht="63" customHeight="1" x14ac:dyDescent="0.3">
      <c r="A2" s="35" t="s">
        <v>1</v>
      </c>
    </row>
    <row r="3" spans="1:1" ht="81" customHeight="1" x14ac:dyDescent="0.3">
      <c r="A3" s="37" t="s">
        <v>2</v>
      </c>
    </row>
    <row r="4" spans="1:1" ht="110.7" customHeight="1" x14ac:dyDescent="0.3">
      <c r="A4" s="36" t="s">
        <v>3</v>
      </c>
    </row>
    <row r="5" spans="1:1" s="5" customFormat="1" ht="14.4" x14ac:dyDescent="0.3">
      <c r="A5" s="38"/>
    </row>
    <row r="6" spans="1:1" s="5" customFormat="1" ht="14.4" x14ac:dyDescent="0.3">
      <c r="A6" s="38"/>
    </row>
    <row r="7" spans="1:1" s="5" customFormat="1" ht="14.4" x14ac:dyDescent="0.3">
      <c r="A7" s="38"/>
    </row>
    <row r="8" spans="1:1" s="5" customFormat="1" ht="14.4" x14ac:dyDescent="0.3">
      <c r="A8" s="38"/>
    </row>
    <row r="9" spans="1:1" s="5" customFormat="1" ht="15" customHeight="1" x14ac:dyDescent="0.3">
      <c r="A9" s="38"/>
    </row>
    <row r="10" spans="1:1" s="5" customFormat="1" ht="15" customHeight="1" x14ac:dyDescent="0.3">
      <c r="A10"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6689-BC31-44C8-9C3D-B153B925D001}">
  <dimension ref="A1:R292"/>
  <sheetViews>
    <sheetView topLeftCell="A35" zoomScale="119" zoomScaleNormal="100" workbookViewId="0">
      <selection activeCell="B36" sqref="B36:B39"/>
    </sheetView>
  </sheetViews>
  <sheetFormatPr baseColWidth="10" defaultColWidth="11.5546875" defaultRowHeight="14.4" x14ac:dyDescent="0.3"/>
  <cols>
    <col min="1" max="1" width="20.33203125" customWidth="1"/>
    <col min="2" max="2" width="29.88671875" style="7" customWidth="1"/>
    <col min="3" max="3" width="17.33203125" style="15" customWidth="1"/>
    <col min="4" max="4" width="13.33203125" style="15" customWidth="1"/>
    <col min="5" max="5" width="17.44140625" style="15" customWidth="1"/>
    <col min="6" max="6" width="12.6640625" customWidth="1"/>
    <col min="7" max="7" width="12.5546875" style="5" bestFit="1" customWidth="1"/>
    <col min="8" max="16" width="11.5546875" style="5"/>
    <col min="17" max="17" width="35.88671875" style="5" bestFit="1" customWidth="1"/>
    <col min="18" max="18" width="21.88671875" style="5" bestFit="1" customWidth="1"/>
    <col min="19" max="16384" width="11.5546875" style="5"/>
  </cols>
  <sheetData>
    <row r="1" spans="1:18" ht="29.4" thickBot="1" x14ac:dyDescent="0.35">
      <c r="A1" s="31" t="s">
        <v>4</v>
      </c>
      <c r="B1" s="29" t="s">
        <v>5</v>
      </c>
      <c r="C1" s="29" t="s">
        <v>6</v>
      </c>
      <c r="D1" s="29" t="s">
        <v>7</v>
      </c>
      <c r="E1" s="29" t="s">
        <v>8</v>
      </c>
      <c r="F1" s="30" t="s">
        <v>9</v>
      </c>
      <c r="I1" s="33"/>
      <c r="J1" s="33"/>
      <c r="K1" s="33"/>
      <c r="L1" s="33"/>
      <c r="M1" s="33"/>
      <c r="N1" s="33"/>
      <c r="O1" s="33"/>
    </row>
    <row r="2" spans="1:18" x14ac:dyDescent="0.3">
      <c r="A2" s="97" t="s">
        <v>10</v>
      </c>
      <c r="B2" s="26" t="s">
        <v>11</v>
      </c>
      <c r="C2" s="27">
        <v>45841</v>
      </c>
      <c r="D2" s="27">
        <v>45847</v>
      </c>
      <c r="E2" s="28">
        <v>6</v>
      </c>
      <c r="F2" s="28" t="s">
        <v>12</v>
      </c>
      <c r="I2" s="22"/>
      <c r="J2" s="22"/>
      <c r="K2" s="22"/>
      <c r="L2" s="22"/>
      <c r="M2" s="22"/>
      <c r="N2" s="22"/>
      <c r="O2" s="22"/>
      <c r="Q2" s="23" t="s">
        <v>13</v>
      </c>
      <c r="R2" s="23" t="s">
        <v>14</v>
      </c>
    </row>
    <row r="3" spans="1:18" x14ac:dyDescent="0.3">
      <c r="A3" s="98" t="s">
        <v>15</v>
      </c>
      <c r="B3" s="18" t="s">
        <v>16</v>
      </c>
      <c r="C3" s="19">
        <v>45841</v>
      </c>
      <c r="D3" s="19">
        <v>45848</v>
      </c>
      <c r="E3" s="20">
        <v>2.5</v>
      </c>
      <c r="F3" s="20" t="s">
        <v>12</v>
      </c>
      <c r="I3" s="22"/>
      <c r="J3" s="22"/>
      <c r="K3" s="22"/>
      <c r="L3" s="22"/>
      <c r="M3" s="22"/>
      <c r="N3" s="22"/>
      <c r="O3" s="22"/>
      <c r="Q3" s="24" t="s">
        <v>11</v>
      </c>
      <c r="R3" s="24">
        <v>6</v>
      </c>
    </row>
    <row r="4" spans="1:18" x14ac:dyDescent="0.3">
      <c r="A4" s="98" t="s">
        <v>17</v>
      </c>
      <c r="B4" s="18" t="s">
        <v>18</v>
      </c>
      <c r="C4" s="19">
        <v>45841</v>
      </c>
      <c r="D4" s="19">
        <v>45848</v>
      </c>
      <c r="E4" s="20">
        <v>3</v>
      </c>
      <c r="F4" s="20" t="s">
        <v>12</v>
      </c>
      <c r="I4" s="22"/>
      <c r="J4" s="22"/>
      <c r="K4" s="22"/>
      <c r="L4" s="22"/>
      <c r="M4" s="22"/>
      <c r="N4" s="22"/>
      <c r="O4" s="22"/>
      <c r="Q4" s="24" t="s">
        <v>16</v>
      </c>
      <c r="R4" s="24">
        <v>2.5</v>
      </c>
    </row>
    <row r="5" spans="1:18" ht="28.8" x14ac:dyDescent="0.3">
      <c r="A5" s="98" t="s">
        <v>19</v>
      </c>
      <c r="B5" s="18" t="s">
        <v>20</v>
      </c>
      <c r="C5" s="19">
        <v>45841</v>
      </c>
      <c r="D5" s="19">
        <v>45856</v>
      </c>
      <c r="E5" s="20">
        <v>9</v>
      </c>
      <c r="F5" s="20" t="s">
        <v>12</v>
      </c>
      <c r="I5" s="22"/>
      <c r="J5" s="22"/>
      <c r="K5" s="22"/>
      <c r="L5" s="22"/>
      <c r="M5" s="22"/>
      <c r="N5" s="22"/>
      <c r="O5" s="22"/>
      <c r="Q5" s="24" t="s">
        <v>18</v>
      </c>
      <c r="R5" s="24">
        <v>3</v>
      </c>
    </row>
    <row r="6" spans="1:18" x14ac:dyDescent="0.3">
      <c r="A6" s="98" t="s">
        <v>21</v>
      </c>
      <c r="B6" s="18" t="s">
        <v>22</v>
      </c>
      <c r="C6" s="19">
        <v>45841</v>
      </c>
      <c r="D6" s="19">
        <v>45856</v>
      </c>
      <c r="E6" s="20">
        <v>3</v>
      </c>
      <c r="F6" s="20" t="s">
        <v>23</v>
      </c>
      <c r="I6" s="22"/>
      <c r="J6" s="22"/>
      <c r="K6" s="22"/>
      <c r="L6" s="22"/>
      <c r="M6" s="22"/>
      <c r="N6" s="22"/>
      <c r="O6" s="22"/>
      <c r="Q6" s="24" t="s">
        <v>20</v>
      </c>
      <c r="R6" s="24">
        <v>9</v>
      </c>
    </row>
    <row r="7" spans="1:18" x14ac:dyDescent="0.3">
      <c r="A7" s="98" t="s">
        <v>24</v>
      </c>
      <c r="B7" s="18" t="s">
        <v>25</v>
      </c>
      <c r="C7" s="19">
        <v>45841</v>
      </c>
      <c r="D7" s="19">
        <v>45849</v>
      </c>
      <c r="E7" s="20">
        <v>10</v>
      </c>
      <c r="F7" s="20" t="s">
        <v>12</v>
      </c>
      <c r="I7" s="22"/>
      <c r="J7" s="22"/>
      <c r="K7" s="22"/>
      <c r="L7" s="22"/>
      <c r="M7" s="22"/>
      <c r="N7" s="22"/>
      <c r="O7" s="22"/>
      <c r="Q7" s="24" t="s">
        <v>22</v>
      </c>
      <c r="R7" s="24">
        <v>3</v>
      </c>
    </row>
    <row r="8" spans="1:18" x14ac:dyDescent="0.3">
      <c r="A8" s="98" t="s">
        <v>26</v>
      </c>
      <c r="B8" s="18" t="s">
        <v>27</v>
      </c>
      <c r="C8" s="19">
        <v>45841</v>
      </c>
      <c r="D8" s="19">
        <v>45849</v>
      </c>
      <c r="E8" s="20">
        <v>3.5</v>
      </c>
      <c r="F8" s="20" t="s">
        <v>12</v>
      </c>
      <c r="I8" s="22"/>
      <c r="J8" s="22"/>
      <c r="K8" s="22"/>
      <c r="L8" s="22"/>
      <c r="M8" s="22"/>
      <c r="N8" s="22"/>
      <c r="O8" s="22"/>
      <c r="Q8" s="24" t="s">
        <v>25</v>
      </c>
      <c r="R8" s="24">
        <v>10</v>
      </c>
    </row>
    <row r="9" spans="1:18" ht="28.8" x14ac:dyDescent="0.3">
      <c r="A9" s="98" t="s">
        <v>10</v>
      </c>
      <c r="B9" s="18" t="s">
        <v>28</v>
      </c>
      <c r="C9" s="19">
        <v>45841</v>
      </c>
      <c r="D9" s="19">
        <v>45852</v>
      </c>
      <c r="E9" s="20">
        <v>4</v>
      </c>
      <c r="F9" s="20" t="s">
        <v>12</v>
      </c>
      <c r="I9" s="22"/>
      <c r="J9" s="22"/>
      <c r="K9" s="22"/>
      <c r="L9" s="22"/>
      <c r="M9" s="22"/>
      <c r="N9" s="22"/>
      <c r="O9" s="22"/>
      <c r="Q9" s="24" t="s">
        <v>27</v>
      </c>
      <c r="R9" s="24">
        <v>3.5</v>
      </c>
    </row>
    <row r="10" spans="1:18" ht="28.8" x14ac:dyDescent="0.3">
      <c r="A10" s="98" t="s">
        <v>15</v>
      </c>
      <c r="B10" s="18" t="s">
        <v>29</v>
      </c>
      <c r="C10" s="19">
        <v>45841</v>
      </c>
      <c r="D10" s="19">
        <v>45852</v>
      </c>
      <c r="E10" s="20">
        <v>2.5</v>
      </c>
      <c r="F10" s="20" t="s">
        <v>12</v>
      </c>
      <c r="I10" s="22"/>
      <c r="J10" s="22"/>
      <c r="K10" s="22"/>
      <c r="L10" s="22"/>
      <c r="M10" s="22"/>
      <c r="N10" s="22"/>
      <c r="O10" s="22"/>
      <c r="Q10" s="24" t="s">
        <v>28</v>
      </c>
      <c r="R10" s="24">
        <v>4</v>
      </c>
    </row>
    <row r="11" spans="1:18" x14ac:dyDescent="0.3">
      <c r="A11" s="98" t="s">
        <v>17</v>
      </c>
      <c r="B11" s="18" t="s">
        <v>30</v>
      </c>
      <c r="C11" s="19">
        <v>45841</v>
      </c>
      <c r="D11" s="19">
        <v>45847</v>
      </c>
      <c r="E11" s="20">
        <v>3</v>
      </c>
      <c r="F11" s="20" t="s">
        <v>12</v>
      </c>
      <c r="I11" s="22"/>
      <c r="J11" s="22"/>
      <c r="K11" s="22"/>
      <c r="L11" s="22"/>
      <c r="M11" s="22"/>
      <c r="N11" s="22"/>
      <c r="O11" s="22"/>
      <c r="Q11" s="24" t="s">
        <v>29</v>
      </c>
      <c r="R11" s="24">
        <v>2.5</v>
      </c>
    </row>
    <row r="12" spans="1:18" x14ac:dyDescent="0.3">
      <c r="A12" s="98" t="s">
        <v>21</v>
      </c>
      <c r="B12" s="18" t="s">
        <v>11</v>
      </c>
      <c r="C12" s="19">
        <v>45841</v>
      </c>
      <c r="D12" s="19">
        <v>45848</v>
      </c>
      <c r="E12" s="20">
        <v>6</v>
      </c>
      <c r="F12" s="20" t="s">
        <v>12</v>
      </c>
      <c r="I12" s="22"/>
      <c r="J12" s="22"/>
      <c r="K12" s="22"/>
      <c r="L12" s="22"/>
      <c r="M12" s="22"/>
      <c r="N12" s="22"/>
      <c r="O12" s="22"/>
      <c r="Q12" s="24" t="s">
        <v>30</v>
      </c>
      <c r="R12" s="24">
        <v>3</v>
      </c>
    </row>
    <row r="13" spans="1:18" x14ac:dyDescent="0.3">
      <c r="A13" s="98" t="s">
        <v>24</v>
      </c>
      <c r="B13" s="18" t="s">
        <v>16</v>
      </c>
      <c r="C13" s="19">
        <v>45841</v>
      </c>
      <c r="D13" s="19">
        <v>45848</v>
      </c>
      <c r="E13" s="20">
        <v>2.5</v>
      </c>
      <c r="F13" s="20" t="s">
        <v>12</v>
      </c>
      <c r="I13" s="22"/>
      <c r="J13" s="22"/>
      <c r="K13" s="22"/>
      <c r="L13" s="22"/>
      <c r="M13" s="22"/>
      <c r="N13" s="22"/>
      <c r="O13" s="22"/>
      <c r="Q13" s="24" t="s">
        <v>31</v>
      </c>
      <c r="R13" s="24">
        <v>1.5</v>
      </c>
    </row>
    <row r="14" spans="1:18" x14ac:dyDescent="0.3">
      <c r="A14" s="98" t="s">
        <v>26</v>
      </c>
      <c r="B14" s="18" t="s">
        <v>18</v>
      </c>
      <c r="C14" s="19">
        <v>45841</v>
      </c>
      <c r="D14" s="19">
        <v>45849</v>
      </c>
      <c r="E14" s="20">
        <v>3</v>
      </c>
      <c r="F14" s="20" t="s">
        <v>12</v>
      </c>
      <c r="I14" s="22"/>
      <c r="J14" s="22"/>
      <c r="K14" s="22"/>
      <c r="L14" s="22"/>
      <c r="M14" s="22"/>
      <c r="N14" s="22"/>
      <c r="O14" s="22"/>
      <c r="Q14" s="24" t="s">
        <v>32</v>
      </c>
      <c r="R14" s="24">
        <v>2.5</v>
      </c>
    </row>
    <row r="15" spans="1:18" ht="28.8" x14ac:dyDescent="0.3">
      <c r="A15" s="98" t="s">
        <v>10</v>
      </c>
      <c r="B15" s="18" t="s">
        <v>20</v>
      </c>
      <c r="C15" s="19">
        <v>45841</v>
      </c>
      <c r="D15" s="19">
        <v>45849</v>
      </c>
      <c r="E15" s="20">
        <v>9</v>
      </c>
      <c r="F15" s="20" t="s">
        <v>12</v>
      </c>
      <c r="I15" s="22"/>
      <c r="J15" s="22"/>
      <c r="K15" s="22"/>
      <c r="L15" s="22"/>
      <c r="M15" s="22"/>
      <c r="N15" s="22"/>
      <c r="O15" s="22"/>
    </row>
    <row r="16" spans="1:18" x14ac:dyDescent="0.3">
      <c r="A16" s="98" t="s">
        <v>15</v>
      </c>
      <c r="B16" s="18" t="s">
        <v>22</v>
      </c>
      <c r="C16" s="19">
        <v>45841</v>
      </c>
      <c r="D16" s="19">
        <v>45849</v>
      </c>
      <c r="E16" s="20">
        <v>3</v>
      </c>
      <c r="F16" s="20" t="s">
        <v>12</v>
      </c>
      <c r="I16" s="22"/>
      <c r="J16" s="22"/>
      <c r="K16" s="22"/>
      <c r="L16" s="22"/>
      <c r="M16" s="22"/>
      <c r="N16" s="22"/>
      <c r="O16" s="22"/>
    </row>
    <row r="17" spans="1:15" x14ac:dyDescent="0.3">
      <c r="A17" s="98" t="s">
        <v>17</v>
      </c>
      <c r="B17" s="18" t="s">
        <v>25</v>
      </c>
      <c r="C17" s="19">
        <v>45841</v>
      </c>
      <c r="D17" s="19">
        <v>45852</v>
      </c>
      <c r="E17" s="20">
        <v>10</v>
      </c>
      <c r="F17" s="20" t="s">
        <v>12</v>
      </c>
      <c r="I17" s="22"/>
      <c r="J17" s="22"/>
      <c r="K17" s="22"/>
      <c r="L17" s="22"/>
      <c r="M17" s="22"/>
      <c r="N17" s="22"/>
      <c r="O17" s="22"/>
    </row>
    <row r="18" spans="1:15" x14ac:dyDescent="0.3">
      <c r="A18" s="98" t="s">
        <v>10</v>
      </c>
      <c r="B18" s="18" t="s">
        <v>11</v>
      </c>
      <c r="C18" s="19">
        <f>C2+14</f>
        <v>45855</v>
      </c>
      <c r="D18" s="19">
        <f>D2+14</f>
        <v>45861</v>
      </c>
      <c r="E18" s="20">
        <v>6</v>
      </c>
      <c r="F18" s="20" t="s">
        <v>12</v>
      </c>
      <c r="G18" s="25"/>
    </row>
    <row r="19" spans="1:15" x14ac:dyDescent="0.3">
      <c r="A19" s="98" t="s">
        <v>15</v>
      </c>
      <c r="B19" s="18" t="s">
        <v>16</v>
      </c>
      <c r="C19" s="19">
        <f t="shared" ref="C19:D19" si="0">C3+14</f>
        <v>45855</v>
      </c>
      <c r="D19" s="19">
        <f t="shared" si="0"/>
        <v>45862</v>
      </c>
      <c r="E19" s="20">
        <v>2.5</v>
      </c>
      <c r="F19" s="20" t="s">
        <v>12</v>
      </c>
    </row>
    <row r="20" spans="1:15" x14ac:dyDescent="0.3">
      <c r="A20" s="98" t="s">
        <v>17</v>
      </c>
      <c r="B20" s="18" t="s">
        <v>18</v>
      </c>
      <c r="C20" s="19">
        <f t="shared" ref="C20:D20" si="1">C4+14</f>
        <v>45855</v>
      </c>
      <c r="D20" s="19">
        <f t="shared" si="1"/>
        <v>45862</v>
      </c>
      <c r="E20" s="20">
        <v>3</v>
      </c>
      <c r="F20" s="20" t="s">
        <v>12</v>
      </c>
    </row>
    <row r="21" spans="1:15" ht="28.8" x14ac:dyDescent="0.3">
      <c r="A21" s="98" t="s">
        <v>19</v>
      </c>
      <c r="B21" s="18" t="s">
        <v>20</v>
      </c>
      <c r="C21" s="19">
        <f t="shared" ref="C21:D21" si="2">C5+14</f>
        <v>45855</v>
      </c>
      <c r="D21" s="19">
        <f t="shared" si="2"/>
        <v>45870</v>
      </c>
      <c r="E21" s="20">
        <v>9</v>
      </c>
      <c r="F21" s="20" t="s">
        <v>12</v>
      </c>
    </row>
    <row r="22" spans="1:15" x14ac:dyDescent="0.3">
      <c r="A22" s="98" t="s">
        <v>21</v>
      </c>
      <c r="B22" s="18" t="s">
        <v>22</v>
      </c>
      <c r="C22" s="19">
        <f t="shared" ref="C22:D22" si="3">C6+14</f>
        <v>45855</v>
      </c>
      <c r="D22" s="19">
        <f t="shared" si="3"/>
        <v>45870</v>
      </c>
      <c r="E22" s="20">
        <v>3</v>
      </c>
      <c r="F22" s="20" t="s">
        <v>12</v>
      </c>
    </row>
    <row r="23" spans="1:15" x14ac:dyDescent="0.3">
      <c r="A23" s="98" t="s">
        <v>24</v>
      </c>
      <c r="B23" s="18" t="s">
        <v>25</v>
      </c>
      <c r="C23" s="19">
        <f t="shared" ref="C23:D23" si="4">C7+14</f>
        <v>45855</v>
      </c>
      <c r="D23" s="19">
        <f t="shared" si="4"/>
        <v>45863</v>
      </c>
      <c r="E23" s="20">
        <v>10</v>
      </c>
      <c r="F23" s="20" t="s">
        <v>12</v>
      </c>
    </row>
    <row r="24" spans="1:15" x14ac:dyDescent="0.3">
      <c r="A24" s="98" t="s">
        <v>26</v>
      </c>
      <c r="B24" s="18" t="s">
        <v>27</v>
      </c>
      <c r="C24" s="19">
        <f t="shared" ref="C24:D24" si="5">C8+14</f>
        <v>45855</v>
      </c>
      <c r="D24" s="19">
        <f t="shared" si="5"/>
        <v>45863</v>
      </c>
      <c r="E24" s="20">
        <v>3.5</v>
      </c>
      <c r="F24" s="20" t="s">
        <v>12</v>
      </c>
    </row>
    <row r="25" spans="1:15" ht="28.8" x14ac:dyDescent="0.3">
      <c r="A25" s="98" t="s">
        <v>10</v>
      </c>
      <c r="B25" s="18" t="s">
        <v>28</v>
      </c>
      <c r="C25" s="19">
        <f t="shared" ref="C25:D25" si="6">C9+14</f>
        <v>45855</v>
      </c>
      <c r="D25" s="19">
        <f t="shared" si="6"/>
        <v>45866</v>
      </c>
      <c r="E25" s="20">
        <v>4</v>
      </c>
      <c r="F25" s="20" t="s">
        <v>12</v>
      </c>
    </row>
    <row r="26" spans="1:15" ht="28.8" x14ac:dyDescent="0.3">
      <c r="A26" s="98" t="s">
        <v>15</v>
      </c>
      <c r="B26" s="18" t="s">
        <v>29</v>
      </c>
      <c r="C26" s="19">
        <f t="shared" ref="C26:D26" si="7">C10+14</f>
        <v>45855</v>
      </c>
      <c r="D26" s="19">
        <f t="shared" si="7"/>
        <v>45866</v>
      </c>
      <c r="E26" s="20">
        <v>2.5</v>
      </c>
      <c r="F26" s="20" t="s">
        <v>12</v>
      </c>
    </row>
    <row r="27" spans="1:15" x14ac:dyDescent="0.3">
      <c r="A27" s="98" t="s">
        <v>17</v>
      </c>
      <c r="B27" s="18" t="s">
        <v>30</v>
      </c>
      <c r="C27" s="19">
        <f t="shared" ref="C27:D27" si="8">C11+14</f>
        <v>45855</v>
      </c>
      <c r="D27" s="19">
        <f t="shared" si="8"/>
        <v>45861</v>
      </c>
      <c r="E27" s="20">
        <v>3</v>
      </c>
      <c r="F27" s="20" t="s">
        <v>12</v>
      </c>
    </row>
    <row r="28" spans="1:15" x14ac:dyDescent="0.3">
      <c r="A28" s="98" t="s">
        <v>21</v>
      </c>
      <c r="B28" s="18" t="s">
        <v>11</v>
      </c>
      <c r="C28" s="19">
        <f t="shared" ref="C28:D28" si="9">C12+14</f>
        <v>45855</v>
      </c>
      <c r="D28" s="19">
        <f t="shared" si="9"/>
        <v>45862</v>
      </c>
      <c r="E28" s="20">
        <v>6</v>
      </c>
      <c r="F28" s="20" t="s">
        <v>12</v>
      </c>
    </row>
    <row r="29" spans="1:15" x14ac:dyDescent="0.3">
      <c r="A29" s="98" t="s">
        <v>24</v>
      </c>
      <c r="B29" s="18" t="s">
        <v>16</v>
      </c>
      <c r="C29" s="19">
        <f t="shared" ref="C29:D29" si="10">C13+14</f>
        <v>45855</v>
      </c>
      <c r="D29" s="19">
        <f t="shared" si="10"/>
        <v>45862</v>
      </c>
      <c r="E29" s="20">
        <v>2.5</v>
      </c>
      <c r="F29" s="20" t="s">
        <v>12</v>
      </c>
    </row>
    <row r="30" spans="1:15" x14ac:dyDescent="0.3">
      <c r="A30" s="98" t="s">
        <v>26</v>
      </c>
      <c r="B30" s="18" t="s">
        <v>18</v>
      </c>
      <c r="C30" s="19">
        <f t="shared" ref="C30:D30" si="11">C14+14</f>
        <v>45855</v>
      </c>
      <c r="D30" s="19">
        <f t="shared" si="11"/>
        <v>45863</v>
      </c>
      <c r="E30" s="20">
        <v>3</v>
      </c>
      <c r="F30" s="20" t="s">
        <v>12</v>
      </c>
    </row>
    <row r="31" spans="1:15" ht="28.8" x14ac:dyDescent="0.3">
      <c r="A31" s="98" t="s">
        <v>10</v>
      </c>
      <c r="B31" s="18" t="s">
        <v>20</v>
      </c>
      <c r="C31" s="19">
        <f t="shared" ref="C31:D31" si="12">C15+14</f>
        <v>45855</v>
      </c>
      <c r="D31" s="19">
        <f t="shared" si="12"/>
        <v>45863</v>
      </c>
      <c r="E31" s="20">
        <v>9</v>
      </c>
      <c r="F31" s="20" t="s">
        <v>12</v>
      </c>
    </row>
    <row r="32" spans="1:15" x14ac:dyDescent="0.3">
      <c r="A32" s="98" t="s">
        <v>15</v>
      </c>
      <c r="B32" s="18" t="s">
        <v>22</v>
      </c>
      <c r="C32" s="19">
        <f t="shared" ref="C32:D32" si="13">C16+14</f>
        <v>45855</v>
      </c>
      <c r="D32" s="19">
        <f t="shared" si="13"/>
        <v>45863</v>
      </c>
      <c r="E32" s="20">
        <v>3</v>
      </c>
      <c r="F32" s="20" t="s">
        <v>23</v>
      </c>
    </row>
    <row r="33" spans="1:6" x14ac:dyDescent="0.3">
      <c r="A33" s="98" t="s">
        <v>17</v>
      </c>
      <c r="B33" s="18" t="s">
        <v>25</v>
      </c>
      <c r="C33" s="19">
        <f t="shared" ref="C33:D33" si="14">C17+14</f>
        <v>45855</v>
      </c>
      <c r="D33" s="19">
        <f t="shared" si="14"/>
        <v>45866</v>
      </c>
      <c r="E33" s="20">
        <v>10</v>
      </c>
      <c r="F33" s="20" t="s">
        <v>12</v>
      </c>
    </row>
    <row r="34" spans="1:6" ht="28.8" x14ac:dyDescent="0.3">
      <c r="A34" s="97" t="s">
        <v>10</v>
      </c>
      <c r="B34" s="18" t="s">
        <v>20</v>
      </c>
      <c r="C34" s="34">
        <f>C2+7</f>
        <v>45848</v>
      </c>
      <c r="D34" s="19">
        <f>C34+7</f>
        <v>45855</v>
      </c>
      <c r="E34" s="20">
        <f>VLOOKUP(B34,$Q$2:$R$14,2,FALSE)</f>
        <v>9</v>
      </c>
      <c r="F34" s="20" t="s">
        <v>12</v>
      </c>
    </row>
    <row r="35" spans="1:6" x14ac:dyDescent="0.3">
      <c r="A35" s="98" t="s">
        <v>15</v>
      </c>
      <c r="B35" s="18" t="s">
        <v>18</v>
      </c>
      <c r="C35" s="34">
        <f t="shared" ref="C35:C59" si="15">C3+7</f>
        <v>45848</v>
      </c>
      <c r="D35" s="19">
        <f t="shared" ref="D35:D85" si="16">C35+7</f>
        <v>45855</v>
      </c>
      <c r="E35" s="20">
        <f t="shared" ref="E35:E84" si="17">VLOOKUP(B35,$Q$2:$R$14,2,FALSE)</f>
        <v>3</v>
      </c>
      <c r="F35" s="20" t="s">
        <v>12</v>
      </c>
    </row>
    <row r="36" spans="1:6" x14ac:dyDescent="0.3">
      <c r="A36" s="98" t="s">
        <v>17</v>
      </c>
      <c r="B36" s="18" t="s">
        <v>16</v>
      </c>
      <c r="C36" s="34">
        <f t="shared" si="15"/>
        <v>45848</v>
      </c>
      <c r="D36" s="19">
        <f t="shared" si="16"/>
        <v>45855</v>
      </c>
      <c r="E36" s="20">
        <f t="shared" si="17"/>
        <v>2.5</v>
      </c>
      <c r="F36" s="20" t="s">
        <v>12</v>
      </c>
    </row>
    <row r="37" spans="1:6" x14ac:dyDescent="0.3">
      <c r="A37" s="98" t="s">
        <v>19</v>
      </c>
      <c r="B37" s="18" t="s">
        <v>11</v>
      </c>
      <c r="C37" s="34">
        <f t="shared" si="15"/>
        <v>45848</v>
      </c>
      <c r="D37" s="19">
        <f t="shared" si="16"/>
        <v>45855</v>
      </c>
      <c r="E37" s="20">
        <f t="shared" si="17"/>
        <v>6</v>
      </c>
      <c r="F37" s="20" t="s">
        <v>12</v>
      </c>
    </row>
    <row r="38" spans="1:6" x14ac:dyDescent="0.3">
      <c r="A38" s="98" t="s">
        <v>21</v>
      </c>
      <c r="B38" s="18" t="s">
        <v>30</v>
      </c>
      <c r="C38" s="34">
        <f t="shared" si="15"/>
        <v>45848</v>
      </c>
      <c r="D38" s="19">
        <f t="shared" si="16"/>
        <v>45855</v>
      </c>
      <c r="E38" s="20">
        <f t="shared" si="17"/>
        <v>3</v>
      </c>
      <c r="F38" s="20" t="s">
        <v>12</v>
      </c>
    </row>
    <row r="39" spans="1:6" ht="28.8" x14ac:dyDescent="0.3">
      <c r="A39" s="98" t="s">
        <v>24</v>
      </c>
      <c r="B39" s="18" t="s">
        <v>28</v>
      </c>
      <c r="C39" s="34">
        <f t="shared" si="15"/>
        <v>45848</v>
      </c>
      <c r="D39" s="19">
        <f t="shared" si="16"/>
        <v>45855</v>
      </c>
      <c r="E39" s="20">
        <f t="shared" si="17"/>
        <v>4</v>
      </c>
      <c r="F39" s="20" t="s">
        <v>12</v>
      </c>
    </row>
    <row r="40" spans="1:6" x14ac:dyDescent="0.3">
      <c r="A40" s="98" t="s">
        <v>26</v>
      </c>
      <c r="B40" s="18" t="s">
        <v>22</v>
      </c>
      <c r="C40" s="34">
        <f t="shared" si="15"/>
        <v>45848</v>
      </c>
      <c r="D40" s="19">
        <f t="shared" si="16"/>
        <v>45855</v>
      </c>
      <c r="E40" s="20">
        <f t="shared" si="17"/>
        <v>3</v>
      </c>
      <c r="F40" s="20" t="s">
        <v>12</v>
      </c>
    </row>
    <row r="41" spans="1:6" x14ac:dyDescent="0.3">
      <c r="A41" s="98" t="s">
        <v>10</v>
      </c>
      <c r="B41" s="18" t="s">
        <v>27</v>
      </c>
      <c r="C41" s="34">
        <f t="shared" si="15"/>
        <v>45848</v>
      </c>
      <c r="D41" s="19">
        <f t="shared" si="16"/>
        <v>45855</v>
      </c>
      <c r="E41" s="20">
        <f t="shared" si="17"/>
        <v>3.5</v>
      </c>
      <c r="F41" s="20" t="s">
        <v>12</v>
      </c>
    </row>
    <row r="42" spans="1:6" x14ac:dyDescent="0.3">
      <c r="A42" s="98" t="s">
        <v>15</v>
      </c>
      <c r="B42" s="18" t="s">
        <v>16</v>
      </c>
      <c r="C42" s="34">
        <f t="shared" si="15"/>
        <v>45848</v>
      </c>
      <c r="D42" s="19">
        <f t="shared" si="16"/>
        <v>45855</v>
      </c>
      <c r="E42" s="20">
        <f t="shared" si="17"/>
        <v>2.5</v>
      </c>
      <c r="F42" s="20" t="s">
        <v>12</v>
      </c>
    </row>
    <row r="43" spans="1:6" x14ac:dyDescent="0.3">
      <c r="A43" s="98" t="s">
        <v>17</v>
      </c>
      <c r="B43" s="18" t="s">
        <v>18</v>
      </c>
      <c r="C43" s="34">
        <f t="shared" si="15"/>
        <v>45848</v>
      </c>
      <c r="D43" s="19">
        <f t="shared" si="16"/>
        <v>45855</v>
      </c>
      <c r="E43" s="20">
        <f t="shared" si="17"/>
        <v>3</v>
      </c>
      <c r="F43" s="20" t="s">
        <v>12</v>
      </c>
    </row>
    <row r="44" spans="1:6" ht="28.8" x14ac:dyDescent="0.3">
      <c r="A44" s="98" t="s">
        <v>21</v>
      </c>
      <c r="B44" s="18" t="s">
        <v>29</v>
      </c>
      <c r="C44" s="34">
        <f t="shared" si="15"/>
        <v>45848</v>
      </c>
      <c r="D44" s="19">
        <f t="shared" si="16"/>
        <v>45855</v>
      </c>
      <c r="E44" s="20">
        <f t="shared" si="17"/>
        <v>2.5</v>
      </c>
      <c r="F44" s="20" t="s">
        <v>12</v>
      </c>
    </row>
    <row r="45" spans="1:6" x14ac:dyDescent="0.3">
      <c r="A45" s="98" t="s">
        <v>24</v>
      </c>
      <c r="B45" s="18" t="s">
        <v>11</v>
      </c>
      <c r="C45" s="34">
        <f t="shared" si="15"/>
        <v>45848</v>
      </c>
      <c r="D45" s="19">
        <f t="shared" si="16"/>
        <v>45855</v>
      </c>
      <c r="E45" s="20">
        <f t="shared" si="17"/>
        <v>6</v>
      </c>
      <c r="F45" s="20" t="s">
        <v>12</v>
      </c>
    </row>
    <row r="46" spans="1:6" x14ac:dyDescent="0.3">
      <c r="A46" s="98" t="s">
        <v>26</v>
      </c>
      <c r="B46" s="18" t="s">
        <v>25</v>
      </c>
      <c r="C46" s="34">
        <f t="shared" si="15"/>
        <v>45848</v>
      </c>
      <c r="D46" s="19">
        <f t="shared" si="16"/>
        <v>45855</v>
      </c>
      <c r="E46" s="20">
        <f t="shared" si="17"/>
        <v>10</v>
      </c>
      <c r="F46" s="20" t="s">
        <v>12</v>
      </c>
    </row>
    <row r="47" spans="1:6" ht="28.8" x14ac:dyDescent="0.3">
      <c r="A47" s="97" t="s">
        <v>10</v>
      </c>
      <c r="B47" s="18" t="s">
        <v>29</v>
      </c>
      <c r="C47" s="34">
        <f t="shared" si="15"/>
        <v>45848</v>
      </c>
      <c r="D47" s="19">
        <f t="shared" si="16"/>
        <v>45855</v>
      </c>
      <c r="E47" s="20">
        <f t="shared" si="17"/>
        <v>2.5</v>
      </c>
      <c r="F47" s="20" t="s">
        <v>12</v>
      </c>
    </row>
    <row r="48" spans="1:6" ht="28.8" x14ac:dyDescent="0.3">
      <c r="A48" s="98" t="s">
        <v>15</v>
      </c>
      <c r="B48" s="18" t="s">
        <v>20</v>
      </c>
      <c r="C48" s="34">
        <f t="shared" si="15"/>
        <v>45848</v>
      </c>
      <c r="D48" s="19">
        <f t="shared" si="16"/>
        <v>45855</v>
      </c>
      <c r="E48" s="20">
        <f t="shared" si="17"/>
        <v>9</v>
      </c>
      <c r="F48" s="20" t="s">
        <v>12</v>
      </c>
    </row>
    <row r="49" spans="1:6" x14ac:dyDescent="0.3">
      <c r="A49" s="98" t="s">
        <v>17</v>
      </c>
      <c r="B49" s="18" t="s">
        <v>16</v>
      </c>
      <c r="C49" s="34">
        <f t="shared" si="15"/>
        <v>45848</v>
      </c>
      <c r="D49" s="19">
        <f t="shared" si="16"/>
        <v>45855</v>
      </c>
      <c r="E49" s="20">
        <f t="shared" si="17"/>
        <v>2.5</v>
      </c>
      <c r="F49" s="20" t="s">
        <v>12</v>
      </c>
    </row>
    <row r="50" spans="1:6" x14ac:dyDescent="0.3">
      <c r="A50" s="98" t="s">
        <v>19</v>
      </c>
      <c r="B50" s="18" t="s">
        <v>18</v>
      </c>
      <c r="C50" s="34">
        <f t="shared" si="15"/>
        <v>45862</v>
      </c>
      <c r="D50" s="19">
        <f t="shared" si="16"/>
        <v>45869</v>
      </c>
      <c r="E50" s="20">
        <f t="shared" si="17"/>
        <v>3</v>
      </c>
      <c r="F50" s="20" t="s">
        <v>12</v>
      </c>
    </row>
    <row r="51" spans="1:6" x14ac:dyDescent="0.3">
      <c r="A51" s="98" t="s">
        <v>21</v>
      </c>
      <c r="B51" s="18" t="s">
        <v>30</v>
      </c>
      <c r="C51" s="34">
        <f t="shared" si="15"/>
        <v>45862</v>
      </c>
      <c r="D51" s="19">
        <f t="shared" si="16"/>
        <v>45869</v>
      </c>
      <c r="E51" s="20">
        <f t="shared" si="17"/>
        <v>3</v>
      </c>
      <c r="F51" s="20" t="s">
        <v>12</v>
      </c>
    </row>
    <row r="52" spans="1:6" x14ac:dyDescent="0.3">
      <c r="A52" s="98" t="s">
        <v>24</v>
      </c>
      <c r="B52" s="18" t="s">
        <v>18</v>
      </c>
      <c r="C52" s="34">
        <f t="shared" si="15"/>
        <v>45862</v>
      </c>
      <c r="D52" s="19">
        <f t="shared" si="16"/>
        <v>45869</v>
      </c>
      <c r="E52" s="20">
        <f t="shared" si="17"/>
        <v>3</v>
      </c>
      <c r="F52" s="20" t="s">
        <v>12</v>
      </c>
    </row>
    <row r="53" spans="1:6" x14ac:dyDescent="0.3">
      <c r="A53" s="98" t="s">
        <v>26</v>
      </c>
      <c r="B53" s="18" t="s">
        <v>11</v>
      </c>
      <c r="C53" s="34">
        <f t="shared" si="15"/>
        <v>45862</v>
      </c>
      <c r="D53" s="19">
        <f t="shared" si="16"/>
        <v>45869</v>
      </c>
      <c r="E53" s="20">
        <f t="shared" si="17"/>
        <v>6</v>
      </c>
      <c r="F53" s="20" t="s">
        <v>12</v>
      </c>
    </row>
    <row r="54" spans="1:6" x14ac:dyDescent="0.3">
      <c r="A54" s="98" t="s">
        <v>10</v>
      </c>
      <c r="B54" s="18" t="s">
        <v>25</v>
      </c>
      <c r="C54" s="34">
        <f t="shared" si="15"/>
        <v>45862</v>
      </c>
      <c r="D54" s="19">
        <f t="shared" si="16"/>
        <v>45869</v>
      </c>
      <c r="E54" s="20">
        <f t="shared" si="17"/>
        <v>10</v>
      </c>
      <c r="F54" s="20" t="s">
        <v>12</v>
      </c>
    </row>
    <row r="55" spans="1:6" ht="28.8" x14ac:dyDescent="0.3">
      <c r="A55" s="98" t="s">
        <v>15</v>
      </c>
      <c r="B55" s="18" t="s">
        <v>28</v>
      </c>
      <c r="C55" s="34">
        <f t="shared" si="15"/>
        <v>45862</v>
      </c>
      <c r="D55" s="19">
        <f t="shared" si="16"/>
        <v>45869</v>
      </c>
      <c r="E55" s="20">
        <f t="shared" si="17"/>
        <v>4</v>
      </c>
      <c r="F55" s="20" t="s">
        <v>12</v>
      </c>
    </row>
    <row r="56" spans="1:6" x14ac:dyDescent="0.3">
      <c r="A56" s="98" t="s">
        <v>17</v>
      </c>
      <c r="B56" s="18" t="s">
        <v>27</v>
      </c>
      <c r="C56" s="34">
        <f t="shared" si="15"/>
        <v>45862</v>
      </c>
      <c r="D56" s="19">
        <f t="shared" si="16"/>
        <v>45869</v>
      </c>
      <c r="E56" s="20">
        <f t="shared" si="17"/>
        <v>3.5</v>
      </c>
      <c r="F56" s="20" t="s">
        <v>12</v>
      </c>
    </row>
    <row r="57" spans="1:6" x14ac:dyDescent="0.3">
      <c r="A57" s="98" t="s">
        <v>21</v>
      </c>
      <c r="B57" s="18" t="s">
        <v>22</v>
      </c>
      <c r="C57" s="34">
        <f t="shared" si="15"/>
        <v>45862</v>
      </c>
      <c r="D57" s="19">
        <f t="shared" si="16"/>
        <v>45869</v>
      </c>
      <c r="E57" s="20">
        <f t="shared" si="17"/>
        <v>3</v>
      </c>
      <c r="F57" s="20" t="s">
        <v>12</v>
      </c>
    </row>
    <row r="58" spans="1:6" x14ac:dyDescent="0.3">
      <c r="A58" s="98" t="s">
        <v>24</v>
      </c>
      <c r="B58" s="18" t="s">
        <v>11</v>
      </c>
      <c r="C58" s="34">
        <f t="shared" si="15"/>
        <v>45862</v>
      </c>
      <c r="D58" s="19">
        <f t="shared" si="16"/>
        <v>45869</v>
      </c>
      <c r="E58" s="20">
        <f t="shared" si="17"/>
        <v>6</v>
      </c>
      <c r="F58" s="20" t="s">
        <v>12</v>
      </c>
    </row>
    <row r="59" spans="1:6" x14ac:dyDescent="0.3">
      <c r="A59" s="98" t="s">
        <v>26</v>
      </c>
      <c r="B59" s="18" t="s">
        <v>16</v>
      </c>
      <c r="C59" s="34">
        <f t="shared" si="15"/>
        <v>45862</v>
      </c>
      <c r="D59" s="19">
        <f t="shared" si="16"/>
        <v>45869</v>
      </c>
      <c r="E59" s="20">
        <f t="shared" si="17"/>
        <v>2.5</v>
      </c>
      <c r="F59" s="20" t="s">
        <v>12</v>
      </c>
    </row>
    <row r="60" spans="1:6" x14ac:dyDescent="0.3">
      <c r="A60" s="97" t="s">
        <v>10</v>
      </c>
      <c r="B60" s="18" t="s">
        <v>11</v>
      </c>
      <c r="C60" s="34">
        <f>C2+7</f>
        <v>45848</v>
      </c>
      <c r="D60" s="19">
        <f t="shared" si="16"/>
        <v>45855</v>
      </c>
      <c r="E60" s="20">
        <f t="shared" si="17"/>
        <v>6</v>
      </c>
      <c r="F60" s="20" t="s">
        <v>12</v>
      </c>
    </row>
    <row r="61" spans="1:6" x14ac:dyDescent="0.3">
      <c r="A61" s="98" t="s">
        <v>15</v>
      </c>
      <c r="B61" s="18" t="s">
        <v>22</v>
      </c>
      <c r="C61" s="34">
        <f t="shared" ref="C61:C84" si="18">C3+7</f>
        <v>45848</v>
      </c>
      <c r="D61" s="19">
        <f t="shared" si="16"/>
        <v>45855</v>
      </c>
      <c r="E61" s="20">
        <f t="shared" si="17"/>
        <v>3</v>
      </c>
      <c r="F61" s="20" t="s">
        <v>12</v>
      </c>
    </row>
    <row r="62" spans="1:6" x14ac:dyDescent="0.3">
      <c r="A62" s="98" t="s">
        <v>17</v>
      </c>
      <c r="B62" s="18" t="s">
        <v>11</v>
      </c>
      <c r="C62" s="34">
        <f t="shared" si="18"/>
        <v>45848</v>
      </c>
      <c r="D62" s="19">
        <f t="shared" si="16"/>
        <v>45855</v>
      </c>
      <c r="E62" s="20">
        <f t="shared" si="17"/>
        <v>6</v>
      </c>
      <c r="F62" s="20" t="s">
        <v>12</v>
      </c>
    </row>
    <row r="63" spans="1:6" x14ac:dyDescent="0.3">
      <c r="A63" s="98" t="s">
        <v>19</v>
      </c>
      <c r="B63" s="18" t="s">
        <v>30</v>
      </c>
      <c r="C63" s="34">
        <f t="shared" si="18"/>
        <v>45848</v>
      </c>
      <c r="D63" s="19">
        <f t="shared" si="16"/>
        <v>45855</v>
      </c>
      <c r="E63" s="20">
        <f t="shared" si="17"/>
        <v>3</v>
      </c>
      <c r="F63" s="20" t="s">
        <v>12</v>
      </c>
    </row>
    <row r="64" spans="1:6" x14ac:dyDescent="0.3">
      <c r="A64" s="98" t="s">
        <v>21</v>
      </c>
      <c r="B64" s="18" t="s">
        <v>18</v>
      </c>
      <c r="C64" s="34">
        <f t="shared" si="18"/>
        <v>45848</v>
      </c>
      <c r="D64" s="19">
        <f t="shared" si="16"/>
        <v>45855</v>
      </c>
      <c r="E64" s="20">
        <f t="shared" si="17"/>
        <v>3</v>
      </c>
      <c r="F64" s="20" t="s">
        <v>12</v>
      </c>
    </row>
    <row r="65" spans="1:6" ht="28.8" x14ac:dyDescent="0.3">
      <c r="A65" s="98" t="s">
        <v>24</v>
      </c>
      <c r="B65" s="18" t="s">
        <v>28</v>
      </c>
      <c r="C65" s="34">
        <f t="shared" si="18"/>
        <v>45848</v>
      </c>
      <c r="D65" s="19">
        <f t="shared" si="16"/>
        <v>45855</v>
      </c>
      <c r="E65" s="20">
        <f t="shared" si="17"/>
        <v>4</v>
      </c>
      <c r="F65" s="20" t="s">
        <v>12</v>
      </c>
    </row>
    <row r="66" spans="1:6" x14ac:dyDescent="0.3">
      <c r="A66" s="98" t="s">
        <v>26</v>
      </c>
      <c r="B66" s="18" t="s">
        <v>27</v>
      </c>
      <c r="C66" s="34">
        <f t="shared" si="18"/>
        <v>45848</v>
      </c>
      <c r="D66" s="19">
        <f t="shared" si="16"/>
        <v>45855</v>
      </c>
      <c r="E66" s="20">
        <f t="shared" si="17"/>
        <v>3.5</v>
      </c>
      <c r="F66" s="20" t="s">
        <v>12</v>
      </c>
    </row>
    <row r="67" spans="1:6" x14ac:dyDescent="0.3">
      <c r="A67" s="98" t="s">
        <v>10</v>
      </c>
      <c r="B67" s="18" t="s">
        <v>18</v>
      </c>
      <c r="C67" s="34">
        <f t="shared" si="18"/>
        <v>45848</v>
      </c>
      <c r="D67" s="19">
        <f t="shared" si="16"/>
        <v>45855</v>
      </c>
      <c r="E67" s="20">
        <f t="shared" si="17"/>
        <v>3</v>
      </c>
      <c r="F67" s="20" t="s">
        <v>12</v>
      </c>
    </row>
    <row r="68" spans="1:6" x14ac:dyDescent="0.3">
      <c r="A68" s="98" t="s">
        <v>15</v>
      </c>
      <c r="B68" s="18" t="s">
        <v>16</v>
      </c>
      <c r="C68" s="34">
        <f t="shared" si="18"/>
        <v>45848</v>
      </c>
      <c r="D68" s="19">
        <f t="shared" si="16"/>
        <v>45855</v>
      </c>
      <c r="E68" s="20">
        <f t="shared" si="17"/>
        <v>2.5</v>
      </c>
      <c r="F68" s="20" t="s">
        <v>12</v>
      </c>
    </row>
    <row r="69" spans="1:6" x14ac:dyDescent="0.3">
      <c r="A69" s="98" t="s">
        <v>17</v>
      </c>
      <c r="B69" s="18" t="s">
        <v>16</v>
      </c>
      <c r="C69" s="34">
        <f t="shared" si="18"/>
        <v>45848</v>
      </c>
      <c r="D69" s="19">
        <f t="shared" si="16"/>
        <v>45855</v>
      </c>
      <c r="E69" s="20">
        <f t="shared" si="17"/>
        <v>2.5</v>
      </c>
      <c r="F69" s="20" t="s">
        <v>12</v>
      </c>
    </row>
    <row r="70" spans="1:6" ht="28.8" x14ac:dyDescent="0.3">
      <c r="A70" s="98" t="s">
        <v>21</v>
      </c>
      <c r="B70" s="18" t="s">
        <v>20</v>
      </c>
      <c r="C70" s="34">
        <f t="shared" si="18"/>
        <v>45848</v>
      </c>
      <c r="D70" s="19">
        <f t="shared" si="16"/>
        <v>45855</v>
      </c>
      <c r="E70" s="20">
        <f t="shared" si="17"/>
        <v>9</v>
      </c>
      <c r="F70" s="20" t="s">
        <v>12</v>
      </c>
    </row>
    <row r="71" spans="1:6" x14ac:dyDescent="0.3">
      <c r="A71" s="98" t="s">
        <v>24</v>
      </c>
      <c r="B71" s="18" t="s">
        <v>25</v>
      </c>
      <c r="C71" s="34">
        <f t="shared" si="18"/>
        <v>45848</v>
      </c>
      <c r="D71" s="19">
        <f t="shared" si="16"/>
        <v>45855</v>
      </c>
      <c r="E71" s="20">
        <f t="shared" si="17"/>
        <v>10</v>
      </c>
      <c r="F71" s="20" t="s">
        <v>12</v>
      </c>
    </row>
    <row r="72" spans="1:6" ht="28.8" x14ac:dyDescent="0.3">
      <c r="A72" s="98" t="s">
        <v>26</v>
      </c>
      <c r="B72" s="18" t="s">
        <v>29</v>
      </c>
      <c r="C72" s="34">
        <f t="shared" si="18"/>
        <v>45848</v>
      </c>
      <c r="D72" s="19">
        <f t="shared" si="16"/>
        <v>45855</v>
      </c>
      <c r="E72" s="20">
        <f t="shared" si="17"/>
        <v>2.5</v>
      </c>
      <c r="F72" s="20" t="s">
        <v>12</v>
      </c>
    </row>
    <row r="73" spans="1:6" x14ac:dyDescent="0.3">
      <c r="A73" s="97" t="s">
        <v>10</v>
      </c>
      <c r="B73" s="18" t="s">
        <v>16</v>
      </c>
      <c r="C73" s="34">
        <f t="shared" si="18"/>
        <v>45848</v>
      </c>
      <c r="D73" s="19">
        <f t="shared" si="16"/>
        <v>45855</v>
      </c>
      <c r="E73" s="20">
        <f t="shared" si="17"/>
        <v>2.5</v>
      </c>
      <c r="F73" s="20" t="s">
        <v>12</v>
      </c>
    </row>
    <row r="74" spans="1:6" x14ac:dyDescent="0.3">
      <c r="A74" s="98" t="s">
        <v>15</v>
      </c>
      <c r="B74" s="18" t="s">
        <v>25</v>
      </c>
      <c r="C74" s="34">
        <f t="shared" si="18"/>
        <v>45848</v>
      </c>
      <c r="D74" s="19">
        <f t="shared" si="16"/>
        <v>45855</v>
      </c>
      <c r="E74" s="20">
        <f t="shared" si="17"/>
        <v>10</v>
      </c>
      <c r="F74" s="20" t="s">
        <v>12</v>
      </c>
    </row>
    <row r="75" spans="1:6" ht="28.8" x14ac:dyDescent="0.3">
      <c r="A75" s="98" t="s">
        <v>17</v>
      </c>
      <c r="B75" s="18" t="s">
        <v>20</v>
      </c>
      <c r="C75" s="34">
        <f t="shared" si="18"/>
        <v>45848</v>
      </c>
      <c r="D75" s="19">
        <f t="shared" si="16"/>
        <v>45855</v>
      </c>
      <c r="E75" s="20">
        <f t="shared" si="17"/>
        <v>9</v>
      </c>
      <c r="F75" s="20" t="s">
        <v>12</v>
      </c>
    </row>
    <row r="76" spans="1:6" x14ac:dyDescent="0.3">
      <c r="A76" s="98" t="s">
        <v>19</v>
      </c>
      <c r="B76" s="18" t="s">
        <v>11</v>
      </c>
      <c r="C76" s="34">
        <f t="shared" si="18"/>
        <v>45862</v>
      </c>
      <c r="D76" s="19">
        <f t="shared" si="16"/>
        <v>45869</v>
      </c>
      <c r="E76" s="20">
        <f t="shared" si="17"/>
        <v>6</v>
      </c>
      <c r="F76" s="20" t="s">
        <v>12</v>
      </c>
    </row>
    <row r="77" spans="1:6" x14ac:dyDescent="0.3">
      <c r="A77" s="98" t="s">
        <v>21</v>
      </c>
      <c r="B77" s="18" t="s">
        <v>18</v>
      </c>
      <c r="C77" s="34">
        <f t="shared" si="18"/>
        <v>45862</v>
      </c>
      <c r="D77" s="19">
        <f t="shared" si="16"/>
        <v>45869</v>
      </c>
      <c r="E77" s="20">
        <f t="shared" si="17"/>
        <v>3</v>
      </c>
      <c r="F77" s="20" t="s">
        <v>12</v>
      </c>
    </row>
    <row r="78" spans="1:6" ht="28.8" x14ac:dyDescent="0.3">
      <c r="A78" s="98" t="s">
        <v>24</v>
      </c>
      <c r="B78" s="18" t="s">
        <v>29</v>
      </c>
      <c r="C78" s="34">
        <f t="shared" si="18"/>
        <v>45862</v>
      </c>
      <c r="D78" s="19">
        <f t="shared" si="16"/>
        <v>45869</v>
      </c>
      <c r="E78" s="20">
        <f t="shared" si="17"/>
        <v>2.5</v>
      </c>
      <c r="F78" s="20" t="s">
        <v>12</v>
      </c>
    </row>
    <row r="79" spans="1:6" x14ac:dyDescent="0.3">
      <c r="A79" s="98" t="s">
        <v>26</v>
      </c>
      <c r="B79" s="18" t="s">
        <v>30</v>
      </c>
      <c r="C79" s="34">
        <f t="shared" si="18"/>
        <v>45862</v>
      </c>
      <c r="D79" s="19">
        <f t="shared" si="16"/>
        <v>45869</v>
      </c>
      <c r="E79" s="20">
        <f t="shared" si="17"/>
        <v>3</v>
      </c>
      <c r="F79" s="20" t="s">
        <v>12</v>
      </c>
    </row>
    <row r="80" spans="1:6" x14ac:dyDescent="0.3">
      <c r="A80" s="98" t="s">
        <v>10</v>
      </c>
      <c r="B80" s="18" t="s">
        <v>16</v>
      </c>
      <c r="C80" s="34">
        <f t="shared" si="18"/>
        <v>45862</v>
      </c>
      <c r="D80" s="19">
        <f t="shared" si="16"/>
        <v>45869</v>
      </c>
      <c r="E80" s="20">
        <f t="shared" si="17"/>
        <v>2.5</v>
      </c>
      <c r="F80" s="20" t="s">
        <v>12</v>
      </c>
    </row>
    <row r="81" spans="1:6" x14ac:dyDescent="0.3">
      <c r="A81" s="98" t="s">
        <v>15</v>
      </c>
      <c r="B81" s="18" t="s">
        <v>18</v>
      </c>
      <c r="C81" s="34">
        <f t="shared" si="18"/>
        <v>45862</v>
      </c>
      <c r="D81" s="19">
        <f t="shared" si="16"/>
        <v>45869</v>
      </c>
      <c r="E81" s="20">
        <f t="shared" si="17"/>
        <v>3</v>
      </c>
      <c r="F81" s="20" t="s">
        <v>12</v>
      </c>
    </row>
    <row r="82" spans="1:6" x14ac:dyDescent="0.3">
      <c r="A82" s="98" t="s">
        <v>17</v>
      </c>
      <c r="B82" s="18" t="s">
        <v>22</v>
      </c>
      <c r="C82" s="34">
        <f t="shared" si="18"/>
        <v>45862</v>
      </c>
      <c r="D82" s="19">
        <f t="shared" si="16"/>
        <v>45869</v>
      </c>
      <c r="E82" s="20">
        <f t="shared" si="17"/>
        <v>3</v>
      </c>
      <c r="F82" s="20" t="s">
        <v>12</v>
      </c>
    </row>
    <row r="83" spans="1:6" x14ac:dyDescent="0.3">
      <c r="A83" s="98" t="s">
        <v>21</v>
      </c>
      <c r="B83" s="18" t="s">
        <v>11</v>
      </c>
      <c r="C83" s="34">
        <f t="shared" si="18"/>
        <v>45862</v>
      </c>
      <c r="D83" s="19">
        <f t="shared" si="16"/>
        <v>45869</v>
      </c>
      <c r="E83" s="20">
        <f t="shared" si="17"/>
        <v>6</v>
      </c>
      <c r="F83" s="20" t="s">
        <v>12</v>
      </c>
    </row>
    <row r="84" spans="1:6" x14ac:dyDescent="0.3">
      <c r="A84" s="98" t="s">
        <v>24</v>
      </c>
      <c r="B84" s="18" t="s">
        <v>27</v>
      </c>
      <c r="C84" s="34">
        <f t="shared" si="18"/>
        <v>45862</v>
      </c>
      <c r="D84" s="19">
        <f t="shared" si="16"/>
        <v>45869</v>
      </c>
      <c r="E84" s="20">
        <f t="shared" si="17"/>
        <v>3.5</v>
      </c>
      <c r="F84" s="20" t="s">
        <v>12</v>
      </c>
    </row>
    <row r="85" spans="1:6" ht="28.8" x14ac:dyDescent="0.3">
      <c r="A85" s="98" t="s">
        <v>26</v>
      </c>
      <c r="B85" s="18" t="s">
        <v>28</v>
      </c>
      <c r="C85" s="34">
        <f>C27+7</f>
        <v>45862</v>
      </c>
      <c r="D85" s="19">
        <f t="shared" si="16"/>
        <v>45869</v>
      </c>
      <c r="E85" s="20">
        <f>VLOOKUP(B85,$Q$2:$R$14,2,FALSE)</f>
        <v>4</v>
      </c>
      <c r="F85" s="20" t="s">
        <v>12</v>
      </c>
    </row>
    <row r="86" spans="1:6" x14ac:dyDescent="0.3">
      <c r="A86" s="97" t="s">
        <v>10</v>
      </c>
      <c r="B86" s="18" t="s">
        <v>33</v>
      </c>
      <c r="C86" s="89">
        <v>45863</v>
      </c>
      <c r="D86" s="89">
        <v>45870</v>
      </c>
      <c r="E86" s="20">
        <v>10</v>
      </c>
      <c r="F86" s="95" t="s">
        <v>12</v>
      </c>
    </row>
    <row r="87" spans="1:6" x14ac:dyDescent="0.3">
      <c r="A87" s="98"/>
      <c r="B87" s="18"/>
      <c r="C87" s="96"/>
      <c r="D87" s="96"/>
      <c r="E87" s="20"/>
      <c r="F87" s="20"/>
    </row>
    <row r="88" spans="1:6" x14ac:dyDescent="0.3">
      <c r="A88" s="32"/>
      <c r="B88" s="18"/>
      <c r="C88" s="20"/>
      <c r="D88" s="20"/>
      <c r="E88" s="20"/>
      <c r="F88" s="21"/>
    </row>
    <row r="89" spans="1:6" x14ac:dyDescent="0.3">
      <c r="A89" s="32"/>
      <c r="B89" s="18"/>
      <c r="C89" s="20"/>
      <c r="D89" s="20"/>
      <c r="E89" s="20"/>
      <c r="F89" s="21"/>
    </row>
    <row r="90" spans="1:6" x14ac:dyDescent="0.3">
      <c r="A90" s="32"/>
      <c r="B90" s="18"/>
      <c r="C90" s="20"/>
      <c r="D90" s="20"/>
      <c r="E90" s="20"/>
      <c r="F90" s="21"/>
    </row>
    <row r="91" spans="1:6" x14ac:dyDescent="0.3">
      <c r="A91" s="32"/>
      <c r="B91" s="18"/>
      <c r="C91" s="20"/>
      <c r="D91" s="20"/>
      <c r="E91" s="20"/>
      <c r="F91" s="21"/>
    </row>
    <row r="92" spans="1:6" x14ac:dyDescent="0.3">
      <c r="A92" s="32"/>
      <c r="B92" s="18"/>
      <c r="C92" s="20"/>
      <c r="D92" s="20"/>
      <c r="E92" s="20"/>
      <c r="F92" s="21"/>
    </row>
    <row r="93" spans="1:6" x14ac:dyDescent="0.3">
      <c r="A93" s="32"/>
      <c r="B93" s="18"/>
      <c r="C93" s="20"/>
      <c r="D93" s="20"/>
      <c r="E93" s="20"/>
      <c r="F93" s="21"/>
    </row>
    <row r="94" spans="1:6" x14ac:dyDescent="0.3">
      <c r="A94" s="32"/>
      <c r="B94" s="18"/>
      <c r="C94" s="20"/>
      <c r="D94" s="20"/>
      <c r="E94" s="20"/>
      <c r="F94" s="21"/>
    </row>
    <row r="95" spans="1:6" x14ac:dyDescent="0.3">
      <c r="A95" s="32"/>
      <c r="B95" s="18"/>
      <c r="C95" s="20"/>
      <c r="D95" s="20"/>
      <c r="E95" s="20"/>
      <c r="F95" s="21"/>
    </row>
    <row r="96" spans="1:6" x14ac:dyDescent="0.3">
      <c r="A96" s="32"/>
      <c r="B96" s="18"/>
      <c r="C96" s="20"/>
      <c r="D96" s="20"/>
      <c r="E96" s="20"/>
      <c r="F96" s="21"/>
    </row>
    <row r="97" spans="1:6" x14ac:dyDescent="0.3">
      <c r="A97" s="32"/>
      <c r="B97" s="18"/>
      <c r="C97" s="20"/>
      <c r="D97" s="20"/>
      <c r="E97" s="20"/>
      <c r="F97" s="21"/>
    </row>
    <row r="98" spans="1:6" x14ac:dyDescent="0.3">
      <c r="A98" s="32"/>
      <c r="B98" s="18"/>
      <c r="C98" s="20"/>
      <c r="D98" s="20"/>
      <c r="E98" s="20"/>
      <c r="F98" s="21"/>
    </row>
    <row r="99" spans="1:6" x14ac:dyDescent="0.3">
      <c r="A99" s="32"/>
      <c r="B99" s="18"/>
      <c r="C99" s="20"/>
      <c r="D99" s="20"/>
      <c r="E99" s="20"/>
      <c r="F99" s="21"/>
    </row>
    <row r="100" spans="1:6" x14ac:dyDescent="0.3">
      <c r="A100" s="32"/>
      <c r="B100" s="18"/>
      <c r="C100" s="20"/>
      <c r="D100" s="20"/>
      <c r="E100" s="20"/>
      <c r="F100" s="21"/>
    </row>
    <row r="101" spans="1:6" x14ac:dyDescent="0.3">
      <c r="A101" s="32"/>
      <c r="B101" s="18"/>
      <c r="C101" s="20"/>
      <c r="D101" s="20"/>
      <c r="E101" s="20"/>
      <c r="F101" s="21"/>
    </row>
    <row r="102" spans="1:6" x14ac:dyDescent="0.3">
      <c r="A102" s="32"/>
      <c r="B102" s="18"/>
      <c r="C102" s="20"/>
      <c r="D102" s="20"/>
      <c r="E102" s="20"/>
      <c r="F102" s="21"/>
    </row>
    <row r="103" spans="1:6" x14ac:dyDescent="0.3">
      <c r="A103" s="32"/>
      <c r="B103" s="18"/>
      <c r="C103" s="20"/>
      <c r="D103" s="20"/>
      <c r="E103" s="20"/>
      <c r="F103" s="21"/>
    </row>
    <row r="104" spans="1:6" x14ac:dyDescent="0.3">
      <c r="A104" s="32"/>
      <c r="B104" s="18"/>
      <c r="C104" s="20"/>
      <c r="D104" s="20"/>
      <c r="E104" s="20"/>
      <c r="F104" s="21"/>
    </row>
    <row r="105" spans="1:6" x14ac:dyDescent="0.3">
      <c r="A105" s="32"/>
      <c r="B105" s="18"/>
      <c r="C105" s="20"/>
      <c r="D105" s="20"/>
      <c r="E105" s="20"/>
      <c r="F105" s="21"/>
    </row>
    <row r="106" spans="1:6" x14ac:dyDescent="0.3">
      <c r="A106" s="32"/>
      <c r="B106" s="18"/>
      <c r="C106" s="20"/>
      <c r="D106" s="20"/>
      <c r="E106" s="20"/>
      <c r="F106" s="21"/>
    </row>
    <row r="107" spans="1:6" x14ac:dyDescent="0.3">
      <c r="A107" s="32"/>
      <c r="B107" s="18"/>
      <c r="C107" s="20"/>
      <c r="D107" s="20"/>
      <c r="E107" s="20"/>
      <c r="F107" s="21"/>
    </row>
    <row r="108" spans="1:6" x14ac:dyDescent="0.3">
      <c r="A108" s="32"/>
      <c r="B108" s="18"/>
      <c r="C108" s="20"/>
      <c r="D108" s="20"/>
      <c r="E108" s="20"/>
      <c r="F108" s="21"/>
    </row>
    <row r="109" spans="1:6" x14ac:dyDescent="0.3">
      <c r="A109" s="32"/>
      <c r="B109" s="18"/>
      <c r="C109" s="20"/>
      <c r="D109" s="20"/>
      <c r="E109" s="20"/>
      <c r="F109" s="21"/>
    </row>
    <row r="110" spans="1:6" x14ac:dyDescent="0.3">
      <c r="A110" s="32"/>
      <c r="B110" s="18"/>
      <c r="C110" s="20"/>
      <c r="D110" s="20"/>
      <c r="E110" s="20"/>
      <c r="F110" s="21"/>
    </row>
    <row r="111" spans="1:6" x14ac:dyDescent="0.3">
      <c r="A111" s="32"/>
      <c r="B111" s="18"/>
      <c r="C111" s="20"/>
      <c r="D111" s="20"/>
      <c r="E111" s="20"/>
      <c r="F111" s="21"/>
    </row>
    <row r="112" spans="1:6" x14ac:dyDescent="0.3">
      <c r="A112" s="32"/>
      <c r="B112" s="18"/>
      <c r="C112" s="20"/>
      <c r="D112" s="20"/>
      <c r="E112" s="20"/>
      <c r="F112" s="21"/>
    </row>
    <row r="113" spans="1:6" x14ac:dyDescent="0.3">
      <c r="A113" s="32"/>
      <c r="B113" s="18"/>
      <c r="C113" s="20"/>
      <c r="D113" s="20"/>
      <c r="E113" s="20"/>
      <c r="F113" s="21"/>
    </row>
    <row r="114" spans="1:6" x14ac:dyDescent="0.3">
      <c r="A114" s="32"/>
      <c r="B114" s="18"/>
      <c r="C114" s="20"/>
      <c r="D114" s="20"/>
      <c r="E114" s="20"/>
      <c r="F114" s="21"/>
    </row>
    <row r="115" spans="1:6" x14ac:dyDescent="0.3">
      <c r="A115" s="32"/>
      <c r="B115" s="18"/>
      <c r="C115" s="20"/>
      <c r="D115" s="20"/>
      <c r="E115" s="20"/>
      <c r="F115" s="21"/>
    </row>
    <row r="116" spans="1:6" x14ac:dyDescent="0.3">
      <c r="A116" s="32"/>
      <c r="B116" s="18"/>
      <c r="C116" s="20"/>
      <c r="D116" s="20"/>
      <c r="E116" s="20"/>
      <c r="F116" s="21"/>
    </row>
    <row r="117" spans="1:6" x14ac:dyDescent="0.3">
      <c r="A117" s="32"/>
      <c r="B117" s="18"/>
      <c r="C117" s="20"/>
      <c r="D117" s="20"/>
      <c r="E117" s="20"/>
      <c r="F117" s="21"/>
    </row>
    <row r="118" spans="1:6" x14ac:dyDescent="0.3">
      <c r="A118" s="32"/>
      <c r="B118" s="18"/>
      <c r="C118" s="20"/>
      <c r="D118" s="20"/>
      <c r="E118" s="20"/>
      <c r="F118" s="21"/>
    </row>
    <row r="119" spans="1:6" x14ac:dyDescent="0.3">
      <c r="A119" s="32"/>
      <c r="B119" s="18"/>
      <c r="C119" s="20"/>
      <c r="D119" s="20"/>
      <c r="E119" s="20"/>
      <c r="F119" s="21"/>
    </row>
    <row r="120" spans="1:6" x14ac:dyDescent="0.3">
      <c r="A120" s="32"/>
      <c r="B120" s="18"/>
      <c r="C120" s="20"/>
      <c r="D120" s="20"/>
      <c r="E120" s="20"/>
      <c r="F120" s="21"/>
    </row>
    <row r="121" spans="1:6" x14ac:dyDescent="0.3">
      <c r="A121" s="32"/>
      <c r="B121" s="18"/>
      <c r="C121" s="20"/>
      <c r="D121" s="20"/>
      <c r="E121" s="20"/>
      <c r="F121" s="21"/>
    </row>
    <row r="122" spans="1:6" x14ac:dyDescent="0.3">
      <c r="A122" s="32"/>
      <c r="B122" s="18"/>
      <c r="C122" s="20"/>
      <c r="D122" s="20"/>
      <c r="E122" s="20"/>
      <c r="F122" s="21"/>
    </row>
    <row r="123" spans="1:6" x14ac:dyDescent="0.3">
      <c r="A123" s="32"/>
      <c r="B123" s="18"/>
      <c r="C123" s="20"/>
      <c r="D123" s="20"/>
      <c r="E123" s="20"/>
      <c r="F123" s="21"/>
    </row>
    <row r="124" spans="1:6" x14ac:dyDescent="0.3">
      <c r="A124" s="32"/>
      <c r="B124" s="18"/>
      <c r="C124" s="20"/>
      <c r="D124" s="20"/>
      <c r="E124" s="20"/>
      <c r="F124" s="21"/>
    </row>
    <row r="125" spans="1:6" x14ac:dyDescent="0.3">
      <c r="A125" s="32"/>
      <c r="B125" s="18"/>
      <c r="C125" s="20"/>
      <c r="D125" s="20"/>
      <c r="E125" s="20"/>
      <c r="F125" s="21"/>
    </row>
    <row r="126" spans="1:6" x14ac:dyDescent="0.3">
      <c r="A126" s="32"/>
      <c r="B126" s="18"/>
      <c r="C126" s="20"/>
      <c r="D126" s="20"/>
      <c r="E126" s="20"/>
      <c r="F126" s="21"/>
    </row>
    <row r="127" spans="1:6" x14ac:dyDescent="0.3">
      <c r="A127" s="32"/>
      <c r="B127" s="18"/>
      <c r="C127" s="20"/>
      <c r="D127" s="20"/>
      <c r="E127" s="20"/>
      <c r="F127" s="21"/>
    </row>
    <row r="128" spans="1:6" x14ac:dyDescent="0.3">
      <c r="A128" s="32"/>
      <c r="B128" s="18"/>
      <c r="C128" s="20"/>
      <c r="D128" s="20"/>
      <c r="E128" s="20"/>
      <c r="F128" s="21"/>
    </row>
    <row r="129" spans="1:6" x14ac:dyDescent="0.3">
      <c r="A129" s="32"/>
      <c r="B129" s="18"/>
      <c r="C129" s="20"/>
      <c r="D129" s="20"/>
      <c r="E129" s="20"/>
      <c r="F129" s="21"/>
    </row>
    <row r="130" spans="1:6" x14ac:dyDescent="0.3">
      <c r="A130" s="32"/>
      <c r="B130" s="18"/>
      <c r="C130" s="20"/>
      <c r="D130" s="20"/>
      <c r="E130" s="20"/>
      <c r="F130" s="21"/>
    </row>
    <row r="131" spans="1:6" x14ac:dyDescent="0.3">
      <c r="A131" s="32"/>
      <c r="B131" s="18"/>
      <c r="C131" s="20"/>
      <c r="D131" s="20"/>
      <c r="E131" s="20"/>
      <c r="F131" s="21"/>
    </row>
    <row r="132" spans="1:6" x14ac:dyDescent="0.3">
      <c r="A132" s="32"/>
      <c r="B132" s="18"/>
      <c r="C132" s="20"/>
      <c r="D132" s="20"/>
      <c r="E132" s="20"/>
      <c r="F132" s="21"/>
    </row>
    <row r="133" spans="1:6" x14ac:dyDescent="0.3">
      <c r="A133" s="32"/>
      <c r="B133" s="18"/>
      <c r="C133" s="20"/>
      <c r="D133" s="20"/>
      <c r="E133" s="20"/>
      <c r="F133" s="21"/>
    </row>
    <row r="134" spans="1:6" x14ac:dyDescent="0.3">
      <c r="A134" s="32"/>
      <c r="B134" s="18"/>
      <c r="C134" s="20"/>
      <c r="D134" s="20"/>
      <c r="E134" s="20"/>
      <c r="F134" s="21"/>
    </row>
    <row r="135" spans="1:6" x14ac:dyDescent="0.3">
      <c r="A135" s="32"/>
      <c r="B135" s="18"/>
      <c r="C135" s="20"/>
      <c r="D135" s="20"/>
      <c r="E135" s="20"/>
      <c r="F135" s="21"/>
    </row>
    <row r="136" spans="1:6" x14ac:dyDescent="0.3">
      <c r="A136" s="32"/>
      <c r="B136" s="18"/>
      <c r="C136" s="20"/>
      <c r="D136" s="20"/>
      <c r="E136" s="20"/>
      <c r="F136" s="21"/>
    </row>
    <row r="137" spans="1:6" x14ac:dyDescent="0.3">
      <c r="A137" s="32"/>
      <c r="B137" s="18"/>
      <c r="C137" s="20"/>
      <c r="D137" s="20"/>
      <c r="E137" s="20"/>
      <c r="F137" s="21"/>
    </row>
    <row r="138" spans="1:6" x14ac:dyDescent="0.3">
      <c r="A138" s="32"/>
      <c r="B138" s="18"/>
      <c r="C138" s="20"/>
      <c r="D138" s="20"/>
      <c r="E138" s="20"/>
      <c r="F138" s="21"/>
    </row>
    <row r="139" spans="1:6" x14ac:dyDescent="0.3">
      <c r="A139" s="32"/>
      <c r="B139" s="18"/>
      <c r="C139" s="20"/>
      <c r="D139" s="20"/>
      <c r="E139" s="20"/>
      <c r="F139" s="21"/>
    </row>
    <row r="140" spans="1:6" x14ac:dyDescent="0.3">
      <c r="A140" s="32"/>
      <c r="B140" s="18"/>
      <c r="C140" s="20"/>
      <c r="D140" s="20"/>
      <c r="E140" s="20"/>
      <c r="F140" s="21"/>
    </row>
    <row r="141" spans="1:6" x14ac:dyDescent="0.3">
      <c r="A141" s="32"/>
      <c r="B141" s="18"/>
      <c r="C141" s="20"/>
      <c r="D141" s="20"/>
      <c r="E141" s="20"/>
      <c r="F141" s="21"/>
    </row>
    <row r="142" spans="1:6" x14ac:dyDescent="0.3">
      <c r="A142" s="32"/>
      <c r="B142" s="18"/>
      <c r="C142" s="20"/>
      <c r="D142" s="20"/>
      <c r="E142" s="20"/>
      <c r="F142" s="21"/>
    </row>
    <row r="143" spans="1:6" x14ac:dyDescent="0.3">
      <c r="A143" s="32"/>
      <c r="B143" s="18"/>
      <c r="C143" s="20"/>
      <c r="D143" s="20"/>
      <c r="E143" s="20"/>
      <c r="F143" s="21"/>
    </row>
    <row r="144" spans="1:6" x14ac:dyDescent="0.3">
      <c r="A144" s="32"/>
      <c r="B144" s="18"/>
      <c r="C144" s="20"/>
      <c r="D144" s="20"/>
      <c r="E144" s="20"/>
      <c r="F144" s="21"/>
    </row>
    <row r="145" spans="1:6" x14ac:dyDescent="0.3">
      <c r="A145" s="32"/>
      <c r="B145" s="18"/>
      <c r="C145" s="20"/>
      <c r="D145" s="20"/>
      <c r="E145" s="20"/>
      <c r="F145" s="21"/>
    </row>
    <row r="146" spans="1:6" x14ac:dyDescent="0.3">
      <c r="A146" s="32"/>
      <c r="B146" s="18"/>
      <c r="C146" s="20"/>
      <c r="D146" s="20"/>
      <c r="E146" s="20"/>
      <c r="F146" s="21"/>
    </row>
    <row r="147" spans="1:6" x14ac:dyDescent="0.3">
      <c r="A147" s="32"/>
      <c r="B147" s="18"/>
      <c r="C147" s="20"/>
      <c r="D147" s="20"/>
      <c r="E147" s="20"/>
      <c r="F147" s="21"/>
    </row>
    <row r="148" spans="1:6" x14ac:dyDescent="0.3">
      <c r="A148" s="32"/>
      <c r="B148" s="18"/>
      <c r="C148" s="20"/>
      <c r="D148" s="20"/>
      <c r="E148" s="20"/>
      <c r="F148" s="21"/>
    </row>
    <row r="149" spans="1:6" x14ac:dyDescent="0.3">
      <c r="A149" s="32"/>
      <c r="B149" s="18"/>
      <c r="C149" s="20"/>
      <c r="D149" s="20"/>
      <c r="E149" s="20"/>
      <c r="F149" s="21"/>
    </row>
    <row r="150" spans="1:6" x14ac:dyDescent="0.3">
      <c r="A150" s="32"/>
      <c r="B150" s="18"/>
      <c r="C150" s="20"/>
      <c r="D150" s="20"/>
      <c r="E150" s="20"/>
      <c r="F150" s="21"/>
    </row>
    <row r="151" spans="1:6" x14ac:dyDescent="0.3">
      <c r="A151" s="32"/>
      <c r="B151" s="18"/>
      <c r="C151" s="20"/>
      <c r="D151" s="20"/>
      <c r="E151" s="20"/>
      <c r="F151" s="21"/>
    </row>
    <row r="152" spans="1:6" x14ac:dyDescent="0.3">
      <c r="A152" s="32"/>
      <c r="B152" s="18"/>
      <c r="C152" s="20"/>
      <c r="D152" s="20"/>
      <c r="E152" s="20"/>
      <c r="F152" s="21"/>
    </row>
    <row r="153" spans="1:6" x14ac:dyDescent="0.3">
      <c r="A153" s="32"/>
      <c r="B153" s="18"/>
      <c r="C153" s="20"/>
      <c r="D153" s="20"/>
      <c r="E153" s="20"/>
      <c r="F153" s="21"/>
    </row>
    <row r="154" spans="1:6" x14ac:dyDescent="0.3">
      <c r="A154" s="32"/>
      <c r="B154" s="18"/>
      <c r="C154" s="20"/>
      <c r="D154" s="20"/>
      <c r="E154" s="20"/>
      <c r="F154" s="21"/>
    </row>
    <row r="155" spans="1:6" x14ac:dyDescent="0.3">
      <c r="A155" s="32"/>
      <c r="B155" s="18"/>
      <c r="C155" s="20"/>
      <c r="D155" s="20"/>
      <c r="E155" s="20"/>
      <c r="F155" s="21"/>
    </row>
    <row r="156" spans="1:6" x14ac:dyDescent="0.3">
      <c r="A156" s="32"/>
      <c r="B156" s="18"/>
      <c r="C156" s="20"/>
      <c r="D156" s="20"/>
      <c r="E156" s="20"/>
      <c r="F156" s="21"/>
    </row>
    <row r="157" spans="1:6" x14ac:dyDescent="0.3">
      <c r="A157" s="32"/>
      <c r="B157" s="18"/>
      <c r="C157" s="20"/>
      <c r="D157" s="20"/>
      <c r="E157" s="20"/>
      <c r="F157" s="21"/>
    </row>
    <row r="158" spans="1:6" x14ac:dyDescent="0.3">
      <c r="A158" s="32"/>
      <c r="B158" s="18"/>
      <c r="C158" s="20"/>
      <c r="D158" s="20"/>
      <c r="E158" s="20"/>
      <c r="F158" s="21"/>
    </row>
    <row r="159" spans="1:6" x14ac:dyDescent="0.3">
      <c r="A159" s="32"/>
      <c r="B159" s="18"/>
      <c r="C159" s="20"/>
      <c r="D159" s="20"/>
      <c r="E159" s="20"/>
      <c r="F159" s="21"/>
    </row>
    <row r="160" spans="1:6" x14ac:dyDescent="0.3">
      <c r="A160" s="32"/>
      <c r="B160" s="18"/>
      <c r="C160" s="20"/>
      <c r="D160" s="20"/>
      <c r="E160" s="20"/>
      <c r="F160" s="21"/>
    </row>
    <row r="161" spans="1:6" x14ac:dyDescent="0.3">
      <c r="A161" s="32"/>
      <c r="B161" s="18"/>
      <c r="C161" s="20"/>
      <c r="D161" s="20"/>
      <c r="E161" s="20"/>
      <c r="F161" s="21"/>
    </row>
    <row r="162" spans="1:6" x14ac:dyDescent="0.3">
      <c r="A162" s="32"/>
      <c r="B162" s="18"/>
      <c r="C162" s="20"/>
      <c r="D162" s="20"/>
      <c r="E162" s="20"/>
      <c r="F162" s="21"/>
    </row>
    <row r="163" spans="1:6" x14ac:dyDescent="0.3">
      <c r="A163" s="32"/>
      <c r="B163" s="18"/>
      <c r="C163" s="20"/>
      <c r="D163" s="20"/>
      <c r="E163" s="20"/>
      <c r="F163" s="21"/>
    </row>
    <row r="164" spans="1:6" x14ac:dyDescent="0.3">
      <c r="A164" s="32"/>
      <c r="B164" s="18"/>
      <c r="C164" s="20"/>
      <c r="D164" s="20"/>
      <c r="E164" s="20"/>
      <c r="F164" s="21"/>
    </row>
    <row r="165" spans="1:6" x14ac:dyDescent="0.3">
      <c r="A165" s="32"/>
      <c r="B165" s="18"/>
      <c r="C165" s="20"/>
      <c r="D165" s="20"/>
      <c r="E165" s="20"/>
      <c r="F165" s="21"/>
    </row>
    <row r="166" spans="1:6" x14ac:dyDescent="0.3">
      <c r="A166" s="32"/>
      <c r="B166" s="18"/>
      <c r="C166" s="20"/>
      <c r="D166" s="20"/>
      <c r="E166" s="20"/>
      <c r="F166" s="21"/>
    </row>
    <row r="167" spans="1:6" x14ac:dyDescent="0.3">
      <c r="A167" s="32"/>
      <c r="B167" s="18"/>
      <c r="C167" s="20"/>
      <c r="D167" s="20"/>
      <c r="E167" s="20"/>
      <c r="F167" s="21"/>
    </row>
    <row r="168" spans="1:6" x14ac:dyDescent="0.3">
      <c r="A168" s="32"/>
      <c r="B168" s="18"/>
      <c r="C168" s="20"/>
      <c r="D168" s="20"/>
      <c r="E168" s="20"/>
      <c r="F168" s="21"/>
    </row>
    <row r="169" spans="1:6" x14ac:dyDescent="0.3">
      <c r="A169" s="32"/>
      <c r="B169" s="18"/>
      <c r="C169" s="20"/>
      <c r="D169" s="20"/>
      <c r="E169" s="20"/>
      <c r="F169" s="21"/>
    </row>
    <row r="170" spans="1:6" x14ac:dyDescent="0.3">
      <c r="A170" s="32"/>
      <c r="B170" s="18"/>
      <c r="C170" s="20"/>
      <c r="D170" s="20"/>
      <c r="E170" s="20"/>
      <c r="F170" s="21"/>
    </row>
    <row r="171" spans="1:6" x14ac:dyDescent="0.3">
      <c r="A171" s="32"/>
      <c r="B171" s="18"/>
      <c r="C171" s="20"/>
      <c r="D171" s="20"/>
      <c r="E171" s="20"/>
      <c r="F171" s="21"/>
    </row>
    <row r="172" spans="1:6" x14ac:dyDescent="0.3">
      <c r="A172" s="32"/>
      <c r="B172" s="18"/>
      <c r="C172" s="20"/>
      <c r="D172" s="20"/>
      <c r="E172" s="20"/>
      <c r="F172" s="21"/>
    </row>
    <row r="173" spans="1:6" x14ac:dyDescent="0.3">
      <c r="A173" s="32"/>
      <c r="B173" s="18"/>
      <c r="C173" s="20"/>
      <c r="D173" s="20"/>
      <c r="E173" s="20"/>
      <c r="F173" s="21"/>
    </row>
    <row r="174" spans="1:6" x14ac:dyDescent="0.3">
      <c r="A174" s="32"/>
      <c r="B174" s="18"/>
      <c r="C174" s="20"/>
      <c r="D174" s="20"/>
      <c r="E174" s="20"/>
      <c r="F174" s="21"/>
    </row>
    <row r="175" spans="1:6" x14ac:dyDescent="0.3">
      <c r="A175" s="32"/>
      <c r="B175" s="18"/>
      <c r="C175" s="20"/>
      <c r="D175" s="20"/>
      <c r="E175" s="20"/>
      <c r="F175" s="21"/>
    </row>
    <row r="176" spans="1:6" x14ac:dyDescent="0.3">
      <c r="A176" s="32"/>
      <c r="B176" s="18"/>
      <c r="C176" s="20"/>
      <c r="D176" s="20"/>
      <c r="E176" s="20"/>
      <c r="F176" s="21"/>
    </row>
    <row r="177" spans="1:6" x14ac:dyDescent="0.3">
      <c r="A177" s="32"/>
      <c r="B177" s="18"/>
      <c r="C177" s="20"/>
      <c r="D177" s="20"/>
      <c r="E177" s="20"/>
      <c r="F177" s="21"/>
    </row>
    <row r="178" spans="1:6" x14ac:dyDescent="0.3">
      <c r="A178" s="32"/>
      <c r="B178" s="18"/>
      <c r="C178" s="20"/>
      <c r="D178" s="20"/>
      <c r="E178" s="20"/>
      <c r="F178" s="21"/>
    </row>
    <row r="179" spans="1:6" x14ac:dyDescent="0.3">
      <c r="A179" s="32"/>
      <c r="B179" s="18"/>
      <c r="C179" s="20"/>
      <c r="D179" s="20"/>
      <c r="E179" s="20"/>
      <c r="F179" s="21"/>
    </row>
    <row r="180" spans="1:6" x14ac:dyDescent="0.3">
      <c r="A180" s="32"/>
      <c r="B180" s="18"/>
      <c r="C180" s="20"/>
      <c r="D180" s="20"/>
      <c r="E180" s="20"/>
      <c r="F180" s="21"/>
    </row>
    <row r="181" spans="1:6" x14ac:dyDescent="0.3">
      <c r="A181" s="32"/>
      <c r="B181" s="18"/>
      <c r="C181" s="20"/>
      <c r="D181" s="20"/>
      <c r="E181" s="20"/>
      <c r="F181" s="21"/>
    </row>
    <row r="182" spans="1:6" x14ac:dyDescent="0.3">
      <c r="A182" s="32"/>
      <c r="B182" s="18"/>
      <c r="C182" s="20"/>
      <c r="D182" s="20"/>
      <c r="E182" s="20"/>
      <c r="F182" s="21"/>
    </row>
    <row r="183" spans="1:6" x14ac:dyDescent="0.3">
      <c r="A183" s="32"/>
      <c r="B183" s="18"/>
      <c r="C183" s="20"/>
      <c r="D183" s="20"/>
      <c r="E183" s="20"/>
      <c r="F183" s="21"/>
    </row>
    <row r="184" spans="1:6" x14ac:dyDescent="0.3">
      <c r="A184" s="32"/>
      <c r="B184" s="18"/>
      <c r="C184" s="20"/>
      <c r="D184" s="20"/>
      <c r="E184" s="20"/>
      <c r="F184" s="21"/>
    </row>
    <row r="185" spans="1:6" x14ac:dyDescent="0.3">
      <c r="A185" s="32"/>
      <c r="B185" s="18"/>
      <c r="C185" s="20"/>
      <c r="D185" s="20"/>
      <c r="E185" s="20"/>
      <c r="F185" s="21"/>
    </row>
    <row r="186" spans="1:6" x14ac:dyDescent="0.3">
      <c r="A186" s="32"/>
      <c r="B186" s="18"/>
      <c r="C186" s="20"/>
      <c r="D186" s="20"/>
      <c r="E186" s="20"/>
      <c r="F186" s="21"/>
    </row>
    <row r="187" spans="1:6" x14ac:dyDescent="0.3">
      <c r="A187" s="32"/>
      <c r="B187" s="18"/>
      <c r="C187" s="20"/>
      <c r="D187" s="20"/>
      <c r="E187" s="20"/>
      <c r="F187" s="21"/>
    </row>
    <row r="188" spans="1:6" x14ac:dyDescent="0.3">
      <c r="A188" s="32"/>
      <c r="B188" s="18"/>
      <c r="C188" s="20"/>
      <c r="D188" s="20"/>
      <c r="E188" s="20"/>
      <c r="F188" s="21"/>
    </row>
    <row r="189" spans="1:6" x14ac:dyDescent="0.3">
      <c r="A189" s="32"/>
      <c r="B189" s="18"/>
      <c r="C189" s="20"/>
      <c r="D189" s="20"/>
      <c r="E189" s="20"/>
      <c r="F189" s="21"/>
    </row>
    <row r="190" spans="1:6" x14ac:dyDescent="0.3">
      <c r="A190" s="32"/>
      <c r="B190" s="18"/>
      <c r="C190" s="20"/>
      <c r="D190" s="20"/>
      <c r="E190" s="20"/>
      <c r="F190" s="21"/>
    </row>
    <row r="191" spans="1:6" x14ac:dyDescent="0.3">
      <c r="A191" s="32"/>
      <c r="B191" s="18"/>
      <c r="C191" s="20"/>
      <c r="D191" s="20"/>
      <c r="E191" s="20"/>
      <c r="F191" s="21"/>
    </row>
    <row r="192" spans="1:6" x14ac:dyDescent="0.3">
      <c r="A192" s="32"/>
      <c r="B192" s="18"/>
      <c r="C192" s="20"/>
      <c r="D192" s="20"/>
      <c r="E192" s="20"/>
      <c r="F192" s="21"/>
    </row>
    <row r="193" spans="1:6" x14ac:dyDescent="0.3">
      <c r="A193" s="32"/>
      <c r="B193" s="18"/>
      <c r="C193" s="20"/>
      <c r="D193" s="20"/>
      <c r="E193" s="20"/>
      <c r="F193" s="21"/>
    </row>
    <row r="194" spans="1:6" x14ac:dyDescent="0.3">
      <c r="A194" s="32"/>
      <c r="B194" s="18"/>
      <c r="C194" s="20"/>
      <c r="D194" s="20"/>
      <c r="E194" s="20"/>
      <c r="F194" s="21"/>
    </row>
    <row r="195" spans="1:6" x14ac:dyDescent="0.3">
      <c r="A195" s="32"/>
      <c r="B195" s="18"/>
      <c r="C195" s="20"/>
      <c r="D195" s="20"/>
      <c r="E195" s="20"/>
      <c r="F195" s="21"/>
    </row>
    <row r="196" spans="1:6" x14ac:dyDescent="0.3">
      <c r="A196" s="32"/>
      <c r="B196" s="18"/>
      <c r="C196" s="20"/>
      <c r="D196" s="20"/>
      <c r="E196" s="20"/>
      <c r="F196" s="21"/>
    </row>
    <row r="197" spans="1:6" x14ac:dyDescent="0.3">
      <c r="A197" s="32"/>
      <c r="B197" s="18"/>
      <c r="C197" s="20"/>
      <c r="D197" s="20"/>
      <c r="E197" s="20"/>
      <c r="F197" s="21"/>
    </row>
    <row r="198" spans="1:6" x14ac:dyDescent="0.3">
      <c r="A198" s="32"/>
      <c r="B198" s="18"/>
      <c r="C198" s="20"/>
      <c r="D198" s="20"/>
      <c r="E198" s="20"/>
      <c r="F198" s="21"/>
    </row>
    <row r="199" spans="1:6" x14ac:dyDescent="0.3">
      <c r="A199" s="32"/>
      <c r="B199" s="18"/>
      <c r="C199" s="20"/>
      <c r="D199" s="20"/>
      <c r="E199" s="20"/>
      <c r="F199" s="21"/>
    </row>
    <row r="200" spans="1:6" x14ac:dyDescent="0.3">
      <c r="A200" s="32"/>
      <c r="B200" s="18"/>
      <c r="C200" s="20"/>
      <c r="D200" s="20"/>
      <c r="E200" s="20"/>
      <c r="F200" s="21"/>
    </row>
    <row r="201" spans="1:6" x14ac:dyDescent="0.3">
      <c r="A201" s="32"/>
      <c r="B201" s="18"/>
      <c r="C201" s="20"/>
      <c r="D201" s="20"/>
      <c r="E201" s="20"/>
      <c r="F201" s="21"/>
    </row>
    <row r="202" spans="1:6" x14ac:dyDescent="0.3">
      <c r="A202" s="32"/>
      <c r="B202" s="18"/>
      <c r="C202" s="20"/>
      <c r="D202" s="20"/>
      <c r="E202" s="20"/>
      <c r="F202" s="21"/>
    </row>
    <row r="203" spans="1:6" x14ac:dyDescent="0.3">
      <c r="A203" s="32"/>
      <c r="B203" s="18"/>
      <c r="C203" s="20"/>
      <c r="D203" s="20"/>
      <c r="E203" s="20"/>
      <c r="F203" s="21"/>
    </row>
    <row r="204" spans="1:6" x14ac:dyDescent="0.3">
      <c r="A204" s="32"/>
      <c r="B204" s="18"/>
      <c r="C204" s="20"/>
      <c r="D204" s="20"/>
      <c r="E204" s="20"/>
      <c r="F204" s="21"/>
    </row>
    <row r="205" spans="1:6" x14ac:dyDescent="0.3">
      <c r="A205" s="32"/>
      <c r="B205" s="18"/>
      <c r="C205" s="20"/>
      <c r="D205" s="20"/>
      <c r="E205" s="20"/>
      <c r="F205" s="21"/>
    </row>
    <row r="206" spans="1:6" x14ac:dyDescent="0.3">
      <c r="A206" s="32"/>
      <c r="B206" s="18"/>
      <c r="C206" s="20"/>
      <c r="D206" s="20"/>
      <c r="E206" s="20"/>
      <c r="F206" s="21"/>
    </row>
    <row r="207" spans="1:6" x14ac:dyDescent="0.3">
      <c r="A207" s="32"/>
      <c r="B207" s="18"/>
      <c r="C207" s="20"/>
      <c r="D207" s="20"/>
      <c r="E207" s="20"/>
      <c r="F207" s="21"/>
    </row>
    <row r="208" spans="1:6" x14ac:dyDescent="0.3">
      <c r="A208" s="32"/>
      <c r="B208" s="18"/>
      <c r="C208" s="20"/>
      <c r="D208" s="20"/>
      <c r="E208" s="20"/>
      <c r="F208" s="21"/>
    </row>
    <row r="209" spans="1:6" x14ac:dyDescent="0.3">
      <c r="A209" s="32"/>
      <c r="B209" s="18"/>
      <c r="C209" s="20"/>
      <c r="D209" s="20"/>
      <c r="E209" s="20"/>
      <c r="F209" s="21"/>
    </row>
    <row r="210" spans="1:6" x14ac:dyDescent="0.3">
      <c r="A210" s="32"/>
      <c r="B210" s="18"/>
      <c r="C210" s="20"/>
      <c r="D210" s="20"/>
      <c r="E210" s="20"/>
      <c r="F210" s="21"/>
    </row>
    <row r="211" spans="1:6" x14ac:dyDescent="0.3">
      <c r="A211" s="32"/>
      <c r="B211" s="18"/>
      <c r="C211" s="20"/>
      <c r="D211" s="20"/>
      <c r="E211" s="20"/>
      <c r="F211" s="21"/>
    </row>
    <row r="212" spans="1:6" x14ac:dyDescent="0.3">
      <c r="A212" s="32"/>
      <c r="B212" s="18"/>
      <c r="C212" s="20"/>
      <c r="D212" s="20"/>
      <c r="E212" s="20"/>
      <c r="F212" s="21"/>
    </row>
    <row r="213" spans="1:6" x14ac:dyDescent="0.3">
      <c r="A213" s="32"/>
      <c r="B213" s="18"/>
      <c r="C213" s="20"/>
      <c r="D213" s="20"/>
      <c r="E213" s="20"/>
      <c r="F213" s="21"/>
    </row>
    <row r="214" spans="1:6" x14ac:dyDescent="0.3">
      <c r="A214" s="32"/>
      <c r="B214" s="18"/>
      <c r="C214" s="20"/>
      <c r="D214" s="20"/>
      <c r="E214" s="20"/>
      <c r="F214" s="21"/>
    </row>
    <row r="215" spans="1:6" x14ac:dyDescent="0.3">
      <c r="A215" s="32"/>
      <c r="B215" s="18"/>
      <c r="C215" s="20"/>
      <c r="D215" s="20"/>
      <c r="E215" s="20"/>
      <c r="F215" s="21"/>
    </row>
    <row r="216" spans="1:6" x14ac:dyDescent="0.3">
      <c r="A216" s="32"/>
      <c r="B216" s="18"/>
      <c r="C216" s="20"/>
      <c r="D216" s="20"/>
      <c r="E216" s="20"/>
      <c r="F216" s="21"/>
    </row>
    <row r="217" spans="1:6" x14ac:dyDescent="0.3">
      <c r="A217" s="32"/>
      <c r="B217" s="18"/>
      <c r="C217" s="20"/>
      <c r="D217" s="20"/>
      <c r="E217" s="20"/>
      <c r="F217" s="21"/>
    </row>
    <row r="218" spans="1:6" x14ac:dyDescent="0.3">
      <c r="A218" s="32"/>
      <c r="B218" s="18"/>
      <c r="C218" s="20"/>
      <c r="D218" s="20"/>
      <c r="E218" s="20"/>
      <c r="F218" s="21"/>
    </row>
    <row r="219" spans="1:6" x14ac:dyDescent="0.3">
      <c r="A219" s="32"/>
      <c r="B219" s="18"/>
      <c r="C219" s="20"/>
      <c r="D219" s="20"/>
      <c r="E219" s="20"/>
      <c r="F219" s="21"/>
    </row>
    <row r="220" spans="1:6" x14ac:dyDescent="0.3">
      <c r="A220" s="32"/>
      <c r="B220" s="18"/>
      <c r="C220" s="20"/>
      <c r="D220" s="20"/>
      <c r="E220" s="20"/>
      <c r="F220" s="21"/>
    </row>
    <row r="221" spans="1:6" x14ac:dyDescent="0.3">
      <c r="A221" s="32"/>
      <c r="B221" s="18"/>
      <c r="C221" s="20"/>
      <c r="D221" s="20"/>
      <c r="E221" s="20"/>
      <c r="F221" s="21"/>
    </row>
    <row r="222" spans="1:6" x14ac:dyDescent="0.3">
      <c r="A222" s="32"/>
      <c r="B222" s="18"/>
      <c r="C222" s="20"/>
      <c r="D222" s="20"/>
      <c r="E222" s="20"/>
      <c r="F222" s="21"/>
    </row>
    <row r="223" spans="1:6" x14ac:dyDescent="0.3">
      <c r="A223" s="32"/>
      <c r="B223" s="18"/>
      <c r="C223" s="20"/>
      <c r="D223" s="20"/>
      <c r="E223" s="20"/>
      <c r="F223" s="21"/>
    </row>
    <row r="224" spans="1:6" x14ac:dyDescent="0.3">
      <c r="A224" s="32"/>
      <c r="B224" s="18"/>
      <c r="C224" s="20"/>
      <c r="D224" s="20"/>
      <c r="E224" s="20"/>
      <c r="F224" s="21"/>
    </row>
    <row r="225" spans="1:6" x14ac:dyDescent="0.3">
      <c r="A225" s="32"/>
      <c r="B225" s="18"/>
      <c r="C225" s="20"/>
      <c r="D225" s="20"/>
      <c r="E225" s="20"/>
      <c r="F225" s="21"/>
    </row>
    <row r="226" spans="1:6" x14ac:dyDescent="0.3">
      <c r="A226" s="32"/>
      <c r="B226" s="18"/>
      <c r="C226" s="20"/>
      <c r="D226" s="20"/>
      <c r="E226" s="20"/>
      <c r="F226" s="21"/>
    </row>
    <row r="227" spans="1:6" x14ac:dyDescent="0.3">
      <c r="A227" s="32"/>
      <c r="B227" s="18"/>
      <c r="C227" s="20"/>
      <c r="D227" s="20"/>
      <c r="E227" s="20"/>
      <c r="F227" s="21"/>
    </row>
    <row r="228" spans="1:6" x14ac:dyDescent="0.3">
      <c r="A228" s="32"/>
      <c r="B228" s="18"/>
      <c r="C228" s="20"/>
      <c r="D228" s="20"/>
      <c r="E228" s="20"/>
      <c r="F228" s="21"/>
    </row>
    <row r="229" spans="1:6" x14ac:dyDescent="0.3">
      <c r="A229" s="32"/>
      <c r="B229" s="18"/>
      <c r="C229" s="20"/>
      <c r="D229" s="20"/>
      <c r="E229" s="20"/>
      <c r="F229" s="21"/>
    </row>
    <row r="230" spans="1:6" x14ac:dyDescent="0.3">
      <c r="A230" s="32"/>
      <c r="B230" s="18"/>
      <c r="C230" s="20"/>
      <c r="D230" s="20"/>
      <c r="E230" s="20"/>
      <c r="F230" s="21"/>
    </row>
    <row r="231" spans="1:6" x14ac:dyDescent="0.3">
      <c r="A231" s="32"/>
      <c r="B231" s="18"/>
      <c r="C231" s="20"/>
      <c r="D231" s="20"/>
      <c r="E231" s="20"/>
      <c r="F231" s="21"/>
    </row>
    <row r="232" spans="1:6" x14ac:dyDescent="0.3">
      <c r="A232" s="32"/>
      <c r="B232" s="18"/>
      <c r="C232" s="20"/>
      <c r="D232" s="20"/>
      <c r="E232" s="20"/>
      <c r="F232" s="21"/>
    </row>
    <row r="233" spans="1:6" x14ac:dyDescent="0.3">
      <c r="A233" s="32"/>
      <c r="B233" s="18"/>
      <c r="C233" s="20"/>
      <c r="D233" s="20"/>
      <c r="E233" s="20"/>
      <c r="F233" s="21"/>
    </row>
    <row r="234" spans="1:6" x14ac:dyDescent="0.3">
      <c r="A234" s="32"/>
      <c r="B234" s="18"/>
      <c r="C234" s="20"/>
      <c r="D234" s="20"/>
      <c r="E234" s="20"/>
      <c r="F234" s="21"/>
    </row>
    <row r="235" spans="1:6" x14ac:dyDescent="0.3">
      <c r="A235" s="32"/>
      <c r="B235" s="18"/>
      <c r="C235" s="20"/>
      <c r="D235" s="20"/>
      <c r="E235" s="20"/>
      <c r="F235" s="21"/>
    </row>
    <row r="236" spans="1:6" x14ac:dyDescent="0.3">
      <c r="A236" s="32"/>
      <c r="B236" s="18"/>
      <c r="C236" s="20"/>
      <c r="D236" s="20"/>
      <c r="E236" s="20"/>
      <c r="F236" s="21"/>
    </row>
    <row r="237" spans="1:6" x14ac:dyDescent="0.3">
      <c r="A237" s="32"/>
      <c r="B237" s="18"/>
      <c r="C237" s="20"/>
      <c r="D237" s="20"/>
      <c r="E237" s="20"/>
      <c r="F237" s="21"/>
    </row>
    <row r="238" spans="1:6" x14ac:dyDescent="0.3">
      <c r="A238" s="32"/>
      <c r="B238" s="18"/>
      <c r="C238" s="20"/>
      <c r="D238" s="20"/>
      <c r="E238" s="20"/>
      <c r="F238" s="21"/>
    </row>
    <row r="239" spans="1:6" x14ac:dyDescent="0.3">
      <c r="A239" s="32"/>
      <c r="B239" s="18"/>
      <c r="C239" s="20"/>
      <c r="D239" s="20"/>
      <c r="E239" s="20"/>
      <c r="F239" s="21"/>
    </row>
    <row r="240" spans="1:6" x14ac:dyDescent="0.3">
      <c r="A240" s="32"/>
      <c r="B240" s="18"/>
      <c r="C240" s="20"/>
      <c r="D240" s="20"/>
      <c r="E240" s="20"/>
      <c r="F240" s="21"/>
    </row>
    <row r="241" spans="1:6" x14ac:dyDescent="0.3">
      <c r="A241" s="32"/>
      <c r="B241" s="18"/>
      <c r="C241" s="20"/>
      <c r="D241" s="20"/>
      <c r="E241" s="20"/>
      <c r="F241" s="21"/>
    </row>
    <row r="242" spans="1:6" x14ac:dyDescent="0.3">
      <c r="A242" s="32"/>
      <c r="B242" s="18"/>
      <c r="C242" s="20"/>
      <c r="D242" s="20"/>
      <c r="E242" s="20"/>
      <c r="F242" s="21"/>
    </row>
    <row r="243" spans="1:6" x14ac:dyDescent="0.3">
      <c r="A243" s="32"/>
      <c r="B243" s="18"/>
      <c r="C243" s="20"/>
      <c r="D243" s="20"/>
      <c r="E243" s="20"/>
      <c r="F243" s="21"/>
    </row>
    <row r="244" spans="1:6" x14ac:dyDescent="0.3">
      <c r="A244" s="32"/>
      <c r="B244" s="18"/>
      <c r="C244" s="20"/>
      <c r="D244" s="20"/>
      <c r="E244" s="20"/>
      <c r="F244" s="21"/>
    </row>
    <row r="245" spans="1:6" x14ac:dyDescent="0.3">
      <c r="A245" s="32"/>
      <c r="B245" s="18"/>
      <c r="C245" s="20"/>
      <c r="D245" s="20"/>
      <c r="E245" s="20"/>
      <c r="F245" s="21"/>
    </row>
    <row r="246" spans="1:6" x14ac:dyDescent="0.3">
      <c r="A246" s="32"/>
      <c r="B246" s="18"/>
      <c r="C246" s="20"/>
      <c r="D246" s="20"/>
      <c r="E246" s="20"/>
      <c r="F246" s="21"/>
    </row>
    <row r="247" spans="1:6" x14ac:dyDescent="0.3">
      <c r="A247" s="32"/>
      <c r="B247" s="18"/>
      <c r="C247" s="20"/>
      <c r="D247" s="20"/>
      <c r="E247" s="20"/>
      <c r="F247" s="21"/>
    </row>
    <row r="248" spans="1:6" x14ac:dyDescent="0.3">
      <c r="A248" s="32"/>
      <c r="B248" s="18"/>
      <c r="C248" s="20"/>
      <c r="D248" s="20"/>
      <c r="E248" s="20"/>
      <c r="F248" s="21"/>
    </row>
    <row r="249" spans="1:6" x14ac:dyDescent="0.3">
      <c r="A249" s="32"/>
      <c r="B249" s="18"/>
      <c r="C249" s="20"/>
      <c r="D249" s="20"/>
      <c r="E249" s="20"/>
      <c r="F249" s="21"/>
    </row>
    <row r="250" spans="1:6" x14ac:dyDescent="0.3">
      <c r="A250" s="32"/>
      <c r="B250" s="18"/>
      <c r="C250" s="20"/>
      <c r="D250" s="20"/>
      <c r="E250" s="20"/>
      <c r="F250" s="21"/>
    </row>
    <row r="251" spans="1:6" x14ac:dyDescent="0.3">
      <c r="A251" s="32"/>
      <c r="B251" s="18"/>
      <c r="C251" s="20"/>
      <c r="D251" s="20"/>
      <c r="E251" s="20"/>
      <c r="F251" s="21"/>
    </row>
    <row r="252" spans="1:6" x14ac:dyDescent="0.3">
      <c r="A252" s="32"/>
      <c r="B252" s="18"/>
      <c r="C252" s="20"/>
      <c r="D252" s="20"/>
      <c r="E252" s="20"/>
      <c r="F252" s="21"/>
    </row>
    <row r="253" spans="1:6" x14ac:dyDescent="0.3">
      <c r="A253" s="32"/>
      <c r="B253" s="18"/>
      <c r="C253" s="20"/>
      <c r="D253" s="20"/>
      <c r="E253" s="20"/>
      <c r="F253" s="21"/>
    </row>
    <row r="254" spans="1:6" x14ac:dyDescent="0.3">
      <c r="A254" s="32"/>
      <c r="B254" s="18"/>
      <c r="C254" s="20"/>
      <c r="D254" s="20"/>
      <c r="E254" s="20"/>
      <c r="F254" s="21"/>
    </row>
    <row r="255" spans="1:6" x14ac:dyDescent="0.3">
      <c r="A255" s="32"/>
      <c r="B255" s="18"/>
      <c r="C255" s="20"/>
      <c r="D255" s="20"/>
      <c r="E255" s="20"/>
      <c r="F255" s="21"/>
    </row>
    <row r="256" spans="1:6" x14ac:dyDescent="0.3">
      <c r="A256" s="32"/>
      <c r="B256" s="18"/>
      <c r="C256" s="20"/>
      <c r="D256" s="20"/>
      <c r="E256" s="20"/>
      <c r="F256" s="21"/>
    </row>
    <row r="257" spans="1:6" x14ac:dyDescent="0.3">
      <c r="A257" s="32"/>
      <c r="B257" s="18"/>
      <c r="C257" s="20"/>
      <c r="D257" s="20"/>
      <c r="E257" s="20"/>
      <c r="F257" s="21"/>
    </row>
    <row r="258" spans="1:6" x14ac:dyDescent="0.3">
      <c r="A258" s="32"/>
      <c r="B258" s="18"/>
      <c r="C258" s="20"/>
      <c r="D258" s="20"/>
      <c r="E258" s="20"/>
      <c r="F258" s="21"/>
    </row>
    <row r="259" spans="1:6" x14ac:dyDescent="0.3">
      <c r="A259" s="32"/>
      <c r="B259" s="18"/>
      <c r="C259" s="20"/>
      <c r="D259" s="20"/>
      <c r="E259" s="20"/>
      <c r="F259" s="21"/>
    </row>
    <row r="260" spans="1:6" x14ac:dyDescent="0.3">
      <c r="A260" s="32"/>
      <c r="B260" s="18"/>
      <c r="C260" s="20"/>
      <c r="D260" s="20"/>
      <c r="E260" s="20"/>
      <c r="F260" s="21"/>
    </row>
    <row r="261" spans="1:6" x14ac:dyDescent="0.3">
      <c r="A261" s="32"/>
      <c r="B261" s="18"/>
      <c r="C261" s="20"/>
      <c r="D261" s="20"/>
      <c r="E261" s="20"/>
      <c r="F261" s="21"/>
    </row>
    <row r="262" spans="1:6" x14ac:dyDescent="0.3">
      <c r="A262" s="32"/>
      <c r="B262" s="18"/>
      <c r="C262" s="20"/>
      <c r="D262" s="20"/>
      <c r="E262" s="20"/>
      <c r="F262" s="21"/>
    </row>
    <row r="263" spans="1:6" x14ac:dyDescent="0.3">
      <c r="A263" s="32"/>
      <c r="B263" s="18"/>
      <c r="C263" s="20"/>
      <c r="D263" s="20"/>
      <c r="E263" s="20"/>
      <c r="F263" s="21"/>
    </row>
    <row r="264" spans="1:6" x14ac:dyDescent="0.3">
      <c r="A264" s="32"/>
      <c r="B264" s="18"/>
      <c r="C264" s="20"/>
      <c r="D264" s="20"/>
      <c r="E264" s="20"/>
      <c r="F264" s="21"/>
    </row>
    <row r="265" spans="1:6" x14ac:dyDescent="0.3">
      <c r="A265" s="32"/>
      <c r="B265" s="18"/>
      <c r="C265" s="20"/>
      <c r="D265" s="20"/>
      <c r="E265" s="20"/>
      <c r="F265" s="21"/>
    </row>
    <row r="266" spans="1:6" x14ac:dyDescent="0.3">
      <c r="A266" s="32"/>
      <c r="B266" s="18"/>
      <c r="C266" s="20"/>
      <c r="D266" s="20"/>
      <c r="E266" s="20"/>
      <c r="F266" s="21"/>
    </row>
    <row r="267" spans="1:6" x14ac:dyDescent="0.3">
      <c r="A267" s="32"/>
      <c r="B267" s="18"/>
      <c r="C267" s="20"/>
      <c r="D267" s="20"/>
      <c r="E267" s="20"/>
      <c r="F267" s="21"/>
    </row>
    <row r="268" spans="1:6" x14ac:dyDescent="0.3">
      <c r="A268" s="32"/>
      <c r="B268" s="18"/>
      <c r="C268" s="20"/>
      <c r="D268" s="20"/>
      <c r="E268" s="20"/>
      <c r="F268" s="21"/>
    </row>
    <row r="269" spans="1:6" x14ac:dyDescent="0.3">
      <c r="A269" s="32"/>
      <c r="B269" s="18"/>
      <c r="C269" s="20"/>
      <c r="D269" s="20"/>
      <c r="E269" s="20"/>
      <c r="F269" s="21"/>
    </row>
    <row r="270" spans="1:6" x14ac:dyDescent="0.3">
      <c r="A270" s="32"/>
      <c r="B270" s="18"/>
      <c r="C270" s="20"/>
      <c r="D270" s="20"/>
      <c r="E270" s="20"/>
      <c r="F270" s="21"/>
    </row>
    <row r="271" spans="1:6" x14ac:dyDescent="0.3">
      <c r="A271" s="32"/>
      <c r="B271" s="18"/>
      <c r="C271" s="20"/>
      <c r="D271" s="20"/>
      <c r="E271" s="20"/>
      <c r="F271" s="21"/>
    </row>
    <row r="272" spans="1:6" x14ac:dyDescent="0.3">
      <c r="A272" s="32"/>
      <c r="B272" s="18"/>
      <c r="C272" s="20"/>
      <c r="D272" s="20"/>
      <c r="E272" s="20"/>
      <c r="F272" s="21"/>
    </row>
    <row r="273" spans="1:6" x14ac:dyDescent="0.3">
      <c r="A273" s="32"/>
      <c r="B273" s="18"/>
      <c r="C273" s="20"/>
      <c r="D273" s="20"/>
      <c r="E273" s="20"/>
      <c r="F273" s="21"/>
    </row>
    <row r="274" spans="1:6" x14ac:dyDescent="0.3">
      <c r="A274" s="32"/>
      <c r="B274" s="18"/>
      <c r="C274" s="20"/>
      <c r="D274" s="20"/>
      <c r="E274" s="20"/>
      <c r="F274" s="21"/>
    </row>
    <row r="275" spans="1:6" x14ac:dyDescent="0.3">
      <c r="A275" s="32"/>
      <c r="B275" s="18"/>
      <c r="C275" s="20"/>
      <c r="D275" s="20"/>
      <c r="E275" s="20"/>
      <c r="F275" s="21"/>
    </row>
    <row r="276" spans="1:6" x14ac:dyDescent="0.3">
      <c r="A276" s="32"/>
      <c r="B276" s="18"/>
      <c r="C276" s="20"/>
      <c r="D276" s="20"/>
      <c r="E276" s="20"/>
      <c r="F276" s="21"/>
    </row>
    <row r="277" spans="1:6" x14ac:dyDescent="0.3">
      <c r="A277" s="32"/>
      <c r="B277" s="18"/>
      <c r="C277" s="20"/>
      <c r="D277" s="20"/>
      <c r="E277" s="20"/>
      <c r="F277" s="21"/>
    </row>
    <row r="278" spans="1:6" x14ac:dyDescent="0.3">
      <c r="A278" s="32"/>
      <c r="B278" s="18"/>
      <c r="C278" s="20"/>
      <c r="D278" s="20"/>
      <c r="E278" s="20"/>
      <c r="F278" s="21"/>
    </row>
    <row r="279" spans="1:6" x14ac:dyDescent="0.3">
      <c r="A279" s="32"/>
      <c r="B279" s="18"/>
      <c r="C279" s="20"/>
      <c r="D279" s="20"/>
      <c r="E279" s="20"/>
      <c r="F279" s="21"/>
    </row>
    <row r="280" spans="1:6" x14ac:dyDescent="0.3">
      <c r="A280" s="32"/>
      <c r="B280" s="18"/>
      <c r="C280" s="20"/>
      <c r="D280" s="20"/>
      <c r="E280" s="20"/>
      <c r="F280" s="21"/>
    </row>
    <row r="281" spans="1:6" x14ac:dyDescent="0.3">
      <c r="A281" s="32"/>
      <c r="B281" s="18"/>
      <c r="C281" s="20"/>
      <c r="D281" s="20"/>
      <c r="E281" s="20"/>
      <c r="F281" s="21"/>
    </row>
    <row r="282" spans="1:6" x14ac:dyDescent="0.3">
      <c r="A282" s="32"/>
      <c r="B282" s="18"/>
      <c r="C282" s="20"/>
      <c r="D282" s="20"/>
      <c r="E282" s="20"/>
      <c r="F282" s="21"/>
    </row>
    <row r="283" spans="1:6" x14ac:dyDescent="0.3">
      <c r="A283" s="32"/>
      <c r="B283" s="18"/>
      <c r="C283" s="20"/>
      <c r="D283" s="20"/>
      <c r="E283" s="20"/>
      <c r="F283" s="21"/>
    </row>
    <row r="284" spans="1:6" x14ac:dyDescent="0.3">
      <c r="A284" s="32"/>
      <c r="B284" s="18"/>
      <c r="C284" s="20"/>
      <c r="D284" s="20"/>
      <c r="E284" s="20"/>
      <c r="F284" s="21"/>
    </row>
    <row r="285" spans="1:6" x14ac:dyDescent="0.3">
      <c r="A285" s="32"/>
      <c r="B285" s="18"/>
      <c r="C285" s="20"/>
      <c r="D285" s="20"/>
      <c r="E285" s="20"/>
      <c r="F285" s="21"/>
    </row>
    <row r="286" spans="1:6" x14ac:dyDescent="0.3">
      <c r="A286" s="32"/>
      <c r="B286" s="18"/>
      <c r="C286" s="20"/>
      <c r="D286" s="20"/>
      <c r="E286" s="20"/>
      <c r="F286" s="21"/>
    </row>
    <row r="287" spans="1:6" x14ac:dyDescent="0.3">
      <c r="A287" s="32"/>
      <c r="B287" s="18"/>
      <c r="C287" s="20"/>
      <c r="D287" s="20"/>
      <c r="E287" s="20"/>
      <c r="F287" s="21"/>
    </row>
    <row r="288" spans="1:6" x14ac:dyDescent="0.3">
      <c r="A288" s="32"/>
      <c r="B288" s="18"/>
      <c r="C288" s="20"/>
      <c r="D288" s="20"/>
      <c r="E288" s="20"/>
      <c r="F288" s="21"/>
    </row>
    <row r="289" spans="1:6" x14ac:dyDescent="0.3">
      <c r="A289" s="32"/>
      <c r="B289" s="18"/>
      <c r="C289" s="20"/>
      <c r="D289" s="20"/>
      <c r="E289" s="20"/>
      <c r="F289" s="21"/>
    </row>
    <row r="290" spans="1:6" x14ac:dyDescent="0.3">
      <c r="A290" s="32"/>
      <c r="B290" s="18"/>
      <c r="C290" s="20"/>
      <c r="D290" s="20"/>
      <c r="E290" s="20"/>
      <c r="F290" s="21"/>
    </row>
    <row r="291" spans="1:6" x14ac:dyDescent="0.3">
      <c r="A291" s="32"/>
      <c r="B291" s="18"/>
      <c r="C291" s="20"/>
      <c r="D291" s="20"/>
      <c r="E291" s="20"/>
      <c r="F291" s="21"/>
    </row>
    <row r="292" spans="1:6" x14ac:dyDescent="0.3">
      <c r="A292" s="32"/>
      <c r="B292" s="18"/>
      <c r="C292" s="20"/>
      <c r="D292" s="20"/>
      <c r="E292" s="20"/>
      <c r="F292" s="21"/>
    </row>
  </sheetData>
  <conditionalFormatting sqref="F2:F292">
    <cfRule type="containsText" dxfId="2" priority="1" operator="containsText" text="Terminado">
      <formula>NOT(ISERROR(SEARCH("Terminado",F2)))</formula>
    </cfRule>
    <cfRule type="containsText" dxfId="1" priority="2" operator="containsText" text="Vigente">
      <formula>NOT(ISERROR(SEARCH("Vigente",F2)))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F6397-791A-489E-BA4D-F80AC07E4EFA}">
  <dimension ref="A1:P1009"/>
  <sheetViews>
    <sheetView topLeftCell="B1" zoomScale="74" zoomScaleNormal="70" workbookViewId="0">
      <selection activeCell="H6" sqref="H6"/>
    </sheetView>
  </sheetViews>
  <sheetFormatPr baseColWidth="10" defaultColWidth="11.44140625" defaultRowHeight="14.4" x14ac:dyDescent="0.3"/>
  <cols>
    <col min="1" max="1" width="14.6640625" bestFit="1" customWidth="1"/>
    <col min="2" max="2" width="34.6640625" bestFit="1" customWidth="1"/>
    <col min="3" max="3" width="15.44140625" bestFit="1" customWidth="1"/>
    <col min="4" max="4" width="13.88671875" bestFit="1" customWidth="1"/>
    <col min="5" max="5" width="31.5546875" bestFit="1" customWidth="1"/>
    <col min="6" max="6" width="16.44140625" bestFit="1" customWidth="1"/>
    <col min="7" max="7" width="15" bestFit="1" customWidth="1"/>
    <col min="8" max="8" width="18.88671875" bestFit="1" customWidth="1"/>
    <col min="9" max="9" width="11.88671875" bestFit="1" customWidth="1"/>
    <col min="10" max="10" width="11.33203125" bestFit="1" customWidth="1"/>
    <col min="11" max="11" width="12.33203125" bestFit="1" customWidth="1"/>
    <col min="12" max="12" width="14.33203125" bestFit="1" customWidth="1"/>
    <col min="13" max="13" width="21.6640625" bestFit="1" customWidth="1"/>
    <col min="14" max="14" width="22.44140625" bestFit="1" customWidth="1"/>
    <col min="15" max="15" width="23.5546875" bestFit="1" customWidth="1"/>
    <col min="16" max="16" width="12.5546875" bestFit="1" customWidth="1"/>
    <col min="17" max="17" width="21.33203125" bestFit="1" customWidth="1"/>
    <col min="18" max="18" width="9.6640625" bestFit="1" customWidth="1"/>
    <col min="19" max="19" width="13.33203125" bestFit="1" customWidth="1"/>
    <col min="20" max="20" width="13" bestFit="1" customWidth="1"/>
    <col min="21" max="21" width="24.88671875" bestFit="1" customWidth="1"/>
    <col min="22" max="22" width="22.109375" bestFit="1" customWidth="1"/>
    <col min="23" max="23" width="20.5546875" bestFit="1" customWidth="1"/>
    <col min="24" max="24" width="13" bestFit="1" customWidth="1"/>
    <col min="25" max="25" width="12" bestFit="1" customWidth="1"/>
    <col min="26" max="26" width="16.44140625" bestFit="1" customWidth="1"/>
    <col min="27" max="27" width="25.33203125" bestFit="1" customWidth="1"/>
    <col min="28" max="28" width="20.6640625" bestFit="1" customWidth="1"/>
    <col min="29" max="29" width="11.88671875" bestFit="1" customWidth="1"/>
  </cols>
  <sheetData>
    <row r="1" spans="1:16" ht="15" thickBot="1" x14ac:dyDescent="0.35">
      <c r="A1" t="s">
        <v>4</v>
      </c>
      <c r="B1" t="s">
        <v>5</v>
      </c>
      <c r="C1" t="s">
        <v>6</v>
      </c>
      <c r="D1" t="s">
        <v>7</v>
      </c>
      <c r="E1" t="s">
        <v>8</v>
      </c>
      <c r="F1" t="s">
        <v>34</v>
      </c>
      <c r="G1" t="s">
        <v>35</v>
      </c>
      <c r="H1" t="s">
        <v>36</v>
      </c>
      <c r="I1" t="s">
        <v>37</v>
      </c>
      <c r="J1" t="s">
        <v>38</v>
      </c>
      <c r="K1" t="s">
        <v>39</v>
      </c>
      <c r="L1" s="15" t="s">
        <v>40</v>
      </c>
      <c r="M1" s="15" t="s">
        <v>41</v>
      </c>
      <c r="O1" s="12" t="s">
        <v>42</v>
      </c>
      <c r="P1" s="12" t="s">
        <v>43</v>
      </c>
    </row>
    <row r="2" spans="1:16" x14ac:dyDescent="0.3">
      <c r="A2" t="s">
        <v>21</v>
      </c>
      <c r="B2" t="s">
        <v>11</v>
      </c>
      <c r="C2">
        <v>45841</v>
      </c>
      <c r="D2">
        <v>45848</v>
      </c>
      <c r="E2">
        <v>6</v>
      </c>
      <c r="F2">
        <v>3</v>
      </c>
      <c r="G2">
        <v>5</v>
      </c>
      <c r="H2">
        <v>1</v>
      </c>
      <c r="I2">
        <v>1</v>
      </c>
      <c r="J2" t="s">
        <v>44</v>
      </c>
      <c r="K2">
        <v>0</v>
      </c>
      <c r="L2" s="17">
        <f t="shared" ref="L2:L65" ca="1" si="0">IFERROR(VLOOKUP(J2,$O$2:$P$13,2),"")</f>
        <v>46167</v>
      </c>
      <c r="M2" s="6" t="str">
        <f t="shared" ref="M2:M65" ca="1" si="1">IFERROR(TEXT(L2,"dd/mm/yyyy")&amp; " a " &amp; (TEXT(L2+6,"dd/mm/yyyy")),"")</f>
        <v>25/05/yyyy a 31/05/yyyy</v>
      </c>
      <c r="O2" s="11" t="s">
        <v>44</v>
      </c>
      <c r="P2" s="10">
        <f ca="1">'Carga HH'!J3</f>
        <v>46167</v>
      </c>
    </row>
    <row r="3" spans="1:16" x14ac:dyDescent="0.3">
      <c r="A3" t="s">
        <v>21</v>
      </c>
      <c r="B3" t="s">
        <v>11</v>
      </c>
      <c r="C3">
        <v>45841</v>
      </c>
      <c r="D3">
        <v>45848</v>
      </c>
      <c r="E3">
        <v>6</v>
      </c>
      <c r="F3">
        <v>3</v>
      </c>
      <c r="G3">
        <v>5</v>
      </c>
      <c r="H3">
        <v>1</v>
      </c>
      <c r="I3">
        <v>1</v>
      </c>
      <c r="J3" t="s">
        <v>45</v>
      </c>
      <c r="K3">
        <v>4</v>
      </c>
      <c r="L3" s="17">
        <f t="shared" ca="1" si="0"/>
        <v>46174</v>
      </c>
      <c r="M3" s="6" t="str">
        <f t="shared" ca="1" si="1"/>
        <v>01/06/yyyy a 07/06/yyyy</v>
      </c>
      <c r="O3" s="11" t="s">
        <v>45</v>
      </c>
      <c r="P3" s="10">
        <f ca="1">'Carga HH'!K3</f>
        <v>46174</v>
      </c>
    </row>
    <row r="4" spans="1:16" x14ac:dyDescent="0.3">
      <c r="A4" t="s">
        <v>21</v>
      </c>
      <c r="B4" t="s">
        <v>11</v>
      </c>
      <c r="C4">
        <v>45841</v>
      </c>
      <c r="D4">
        <v>45848</v>
      </c>
      <c r="E4">
        <v>6</v>
      </c>
      <c r="F4">
        <v>3</v>
      </c>
      <c r="G4">
        <v>5</v>
      </c>
      <c r="H4">
        <v>1</v>
      </c>
      <c r="I4">
        <v>1</v>
      </c>
      <c r="J4" t="s">
        <v>46</v>
      </c>
      <c r="K4">
        <v>0</v>
      </c>
      <c r="L4" s="17">
        <f t="shared" ca="1" si="0"/>
        <v>46181</v>
      </c>
      <c r="M4" s="6" t="str">
        <f t="shared" ca="1" si="1"/>
        <v>08/06/yyyy a 14/06/yyyy</v>
      </c>
      <c r="O4" s="11" t="s">
        <v>46</v>
      </c>
      <c r="P4" s="10">
        <f ca="1">'Carga HH'!L3</f>
        <v>46181</v>
      </c>
    </row>
    <row r="5" spans="1:16" x14ac:dyDescent="0.3">
      <c r="A5" t="s">
        <v>21</v>
      </c>
      <c r="B5" t="s">
        <v>11</v>
      </c>
      <c r="C5">
        <v>45841</v>
      </c>
      <c r="D5">
        <v>45848</v>
      </c>
      <c r="E5">
        <v>6</v>
      </c>
      <c r="F5">
        <v>3</v>
      </c>
      <c r="G5">
        <v>5</v>
      </c>
      <c r="H5">
        <v>1</v>
      </c>
      <c r="I5">
        <v>1</v>
      </c>
      <c r="J5" t="s">
        <v>47</v>
      </c>
      <c r="K5">
        <v>0</v>
      </c>
      <c r="L5" s="17">
        <f t="shared" ca="1" si="0"/>
        <v>46188</v>
      </c>
      <c r="M5" s="6" t="str">
        <f t="shared" ca="1" si="1"/>
        <v>15/06/yyyy a 21/06/yyyy</v>
      </c>
      <c r="O5" s="11" t="s">
        <v>47</v>
      </c>
      <c r="P5" s="10">
        <f ca="1">'Carga HH'!M3</f>
        <v>46188</v>
      </c>
    </row>
    <row r="6" spans="1:16" x14ac:dyDescent="0.3">
      <c r="A6" t="s">
        <v>21</v>
      </c>
      <c r="B6" t="s">
        <v>11</v>
      </c>
      <c r="C6">
        <v>45841</v>
      </c>
      <c r="D6">
        <v>45848</v>
      </c>
      <c r="E6">
        <v>6</v>
      </c>
      <c r="F6">
        <v>3</v>
      </c>
      <c r="G6">
        <v>5</v>
      </c>
      <c r="H6">
        <v>1</v>
      </c>
      <c r="I6">
        <v>1</v>
      </c>
      <c r="J6" t="s">
        <v>48</v>
      </c>
      <c r="K6">
        <v>0</v>
      </c>
      <c r="L6" s="17">
        <f t="shared" ca="1" si="0"/>
        <v>46195</v>
      </c>
      <c r="M6" s="6" t="str">
        <f t="shared" ca="1" si="1"/>
        <v>22/06/yyyy a 28/06/yyyy</v>
      </c>
      <c r="O6" s="11" t="s">
        <v>48</v>
      </c>
      <c r="P6" s="10">
        <f ca="1">'Carga HH'!N3</f>
        <v>46195</v>
      </c>
    </row>
    <row r="7" spans="1:16" x14ac:dyDescent="0.3">
      <c r="A7" t="s">
        <v>21</v>
      </c>
      <c r="B7" t="s">
        <v>11</v>
      </c>
      <c r="C7">
        <v>45841</v>
      </c>
      <c r="D7">
        <v>45848</v>
      </c>
      <c r="E7">
        <v>6</v>
      </c>
      <c r="F7">
        <v>3</v>
      </c>
      <c r="G7">
        <v>5</v>
      </c>
      <c r="H7">
        <v>1</v>
      </c>
      <c r="I7">
        <v>1</v>
      </c>
      <c r="J7" t="s">
        <v>49</v>
      </c>
      <c r="K7">
        <v>0</v>
      </c>
      <c r="L7" s="17">
        <f t="shared" ca="1" si="0"/>
        <v>46202</v>
      </c>
      <c r="M7" s="6" t="str">
        <f t="shared" ca="1" si="1"/>
        <v>29/06/yyyy a 05/07/yyyy</v>
      </c>
      <c r="O7" s="11" t="s">
        <v>49</v>
      </c>
      <c r="P7" s="10">
        <f ca="1">'Carga HH'!O3</f>
        <v>46202</v>
      </c>
    </row>
    <row r="8" spans="1:16" x14ac:dyDescent="0.3">
      <c r="A8" t="s">
        <v>21</v>
      </c>
      <c r="B8" t="s">
        <v>11</v>
      </c>
      <c r="C8">
        <v>45841</v>
      </c>
      <c r="D8">
        <v>45848</v>
      </c>
      <c r="E8">
        <v>6</v>
      </c>
      <c r="F8">
        <v>3</v>
      </c>
      <c r="G8">
        <v>5</v>
      </c>
      <c r="H8">
        <v>1</v>
      </c>
      <c r="I8">
        <v>1</v>
      </c>
      <c r="J8" t="s">
        <v>50</v>
      </c>
      <c r="K8">
        <v>0</v>
      </c>
      <c r="L8" s="17">
        <f t="shared" ca="1" si="0"/>
        <v>46209</v>
      </c>
      <c r="M8" s="6" t="str">
        <f t="shared" ca="1" si="1"/>
        <v>06/07/yyyy a 12/07/yyyy</v>
      </c>
      <c r="O8" s="11" t="s">
        <v>50</v>
      </c>
      <c r="P8" s="10">
        <f ca="1">'Carga HH'!P3</f>
        <v>46209</v>
      </c>
    </row>
    <row r="9" spans="1:16" x14ac:dyDescent="0.3">
      <c r="A9" t="s">
        <v>21</v>
      </c>
      <c r="B9" t="s">
        <v>11</v>
      </c>
      <c r="C9">
        <v>45841</v>
      </c>
      <c r="D9">
        <v>45848</v>
      </c>
      <c r="E9">
        <v>6</v>
      </c>
      <c r="F9">
        <v>3</v>
      </c>
      <c r="G9">
        <v>5</v>
      </c>
      <c r="H9">
        <v>1</v>
      </c>
      <c r="I9">
        <v>1</v>
      </c>
      <c r="J9" t="s">
        <v>51</v>
      </c>
      <c r="K9">
        <v>0</v>
      </c>
      <c r="L9" s="17">
        <f t="shared" ca="1" si="0"/>
        <v>46216</v>
      </c>
      <c r="M9" s="6" t="str">
        <f t="shared" ca="1" si="1"/>
        <v>13/07/yyyy a 19/07/yyyy</v>
      </c>
      <c r="O9" s="11" t="s">
        <v>51</v>
      </c>
      <c r="P9" s="10">
        <f ca="1">'Carga HH'!Q3</f>
        <v>46216</v>
      </c>
    </row>
    <row r="10" spans="1:16" x14ac:dyDescent="0.3">
      <c r="A10" t="s">
        <v>21</v>
      </c>
      <c r="B10" t="s">
        <v>11</v>
      </c>
      <c r="C10">
        <v>45841</v>
      </c>
      <c r="D10">
        <v>45848</v>
      </c>
      <c r="E10">
        <v>6</v>
      </c>
      <c r="F10">
        <v>3</v>
      </c>
      <c r="G10">
        <v>5</v>
      </c>
      <c r="H10">
        <v>1</v>
      </c>
      <c r="I10">
        <v>1</v>
      </c>
      <c r="J10" t="s">
        <v>52</v>
      </c>
      <c r="K10">
        <v>0</v>
      </c>
      <c r="L10" s="17">
        <f t="shared" ca="1" si="0"/>
        <v>46223</v>
      </c>
      <c r="M10" s="6" t="str">
        <f t="shared" ca="1" si="1"/>
        <v>20/07/yyyy a 26/07/yyyy</v>
      </c>
      <c r="O10" s="11" t="s">
        <v>52</v>
      </c>
      <c r="P10" s="10">
        <f ca="1">'Carga HH'!R3</f>
        <v>46223</v>
      </c>
    </row>
    <row r="11" spans="1:16" x14ac:dyDescent="0.3">
      <c r="A11" t="s">
        <v>21</v>
      </c>
      <c r="B11" t="s">
        <v>11</v>
      </c>
      <c r="C11">
        <v>45841</v>
      </c>
      <c r="D11">
        <v>45848</v>
      </c>
      <c r="E11">
        <v>6</v>
      </c>
      <c r="F11">
        <v>3</v>
      </c>
      <c r="G11">
        <v>5</v>
      </c>
      <c r="H11">
        <v>1</v>
      </c>
      <c r="I11">
        <v>1</v>
      </c>
      <c r="J11" t="s">
        <v>53</v>
      </c>
      <c r="K11">
        <v>0</v>
      </c>
      <c r="L11" s="17">
        <f t="shared" ca="1" si="0"/>
        <v>46167</v>
      </c>
      <c r="M11" s="6" t="str">
        <f t="shared" ca="1" si="1"/>
        <v>25/05/yyyy a 31/05/yyyy</v>
      </c>
      <c r="O11" s="11" t="s">
        <v>53</v>
      </c>
      <c r="P11" s="10">
        <f ca="1">'Carga HH'!S3</f>
        <v>46230</v>
      </c>
    </row>
    <row r="12" spans="1:16" x14ac:dyDescent="0.3">
      <c r="A12" t="s">
        <v>21</v>
      </c>
      <c r="B12" t="s">
        <v>11</v>
      </c>
      <c r="C12">
        <v>45841</v>
      </c>
      <c r="D12">
        <v>45848</v>
      </c>
      <c r="E12">
        <v>6</v>
      </c>
      <c r="F12">
        <v>3</v>
      </c>
      <c r="G12">
        <v>5</v>
      </c>
      <c r="H12">
        <v>1</v>
      </c>
      <c r="I12">
        <v>1</v>
      </c>
      <c r="J12" t="s">
        <v>54</v>
      </c>
      <c r="K12">
        <v>0</v>
      </c>
      <c r="L12" s="17">
        <f t="shared" ca="1" si="0"/>
        <v>46167</v>
      </c>
      <c r="M12" s="6" t="str">
        <f t="shared" ca="1" si="1"/>
        <v>25/05/yyyy a 31/05/yyyy</v>
      </c>
      <c r="O12" s="11" t="s">
        <v>54</v>
      </c>
      <c r="P12" s="10">
        <f ca="1">'Carga HH'!T3</f>
        <v>46237</v>
      </c>
    </row>
    <row r="13" spans="1:16" ht="15" thickBot="1" x14ac:dyDescent="0.35">
      <c r="A13" t="s">
        <v>21</v>
      </c>
      <c r="B13" t="s">
        <v>11</v>
      </c>
      <c r="C13">
        <v>45841</v>
      </c>
      <c r="D13">
        <v>45848</v>
      </c>
      <c r="E13">
        <v>6</v>
      </c>
      <c r="F13">
        <v>3</v>
      </c>
      <c r="G13">
        <v>5</v>
      </c>
      <c r="H13">
        <v>1</v>
      </c>
      <c r="I13">
        <v>1</v>
      </c>
      <c r="J13" t="s">
        <v>55</v>
      </c>
      <c r="K13">
        <v>0</v>
      </c>
      <c r="L13" s="17">
        <f t="shared" ca="1" si="0"/>
        <v>46167</v>
      </c>
      <c r="M13" s="6" t="str">
        <f t="shared" ca="1" si="1"/>
        <v>25/05/yyyy a 31/05/yyyy</v>
      </c>
      <c r="O13" s="13" t="s">
        <v>55</v>
      </c>
      <c r="P13" s="14">
        <f ca="1">'Carga HH'!U3</f>
        <v>46244</v>
      </c>
    </row>
    <row r="14" spans="1:16" x14ac:dyDescent="0.3">
      <c r="A14" t="s">
        <v>21</v>
      </c>
      <c r="B14" t="s">
        <v>22</v>
      </c>
      <c r="C14">
        <v>45855</v>
      </c>
      <c r="D14">
        <v>45870</v>
      </c>
      <c r="E14">
        <v>3</v>
      </c>
      <c r="F14">
        <v>3</v>
      </c>
      <c r="G14">
        <v>21</v>
      </c>
      <c r="H14">
        <v>4.2</v>
      </c>
      <c r="I14">
        <v>0.25</v>
      </c>
      <c r="J14" t="s">
        <v>44</v>
      </c>
      <c r="K14">
        <v>0</v>
      </c>
      <c r="L14" s="17">
        <f t="shared" ca="1" si="0"/>
        <v>46167</v>
      </c>
      <c r="M14" s="6" t="str">
        <f t="shared" ca="1" si="1"/>
        <v>25/05/yyyy a 31/05/yyyy</v>
      </c>
    </row>
    <row r="15" spans="1:16" x14ac:dyDescent="0.3">
      <c r="A15" t="s">
        <v>21</v>
      </c>
      <c r="B15" t="s">
        <v>22</v>
      </c>
      <c r="C15">
        <v>45855</v>
      </c>
      <c r="D15">
        <v>45870</v>
      </c>
      <c r="E15">
        <v>3</v>
      </c>
      <c r="F15">
        <v>3</v>
      </c>
      <c r="G15">
        <v>21</v>
      </c>
      <c r="H15">
        <v>4.2</v>
      </c>
      <c r="I15">
        <v>0.25</v>
      </c>
      <c r="J15" t="s">
        <v>45</v>
      </c>
      <c r="K15">
        <v>0</v>
      </c>
      <c r="L15" s="17">
        <f t="shared" ca="1" si="0"/>
        <v>46174</v>
      </c>
      <c r="M15" s="6" t="str">
        <f t="shared" ca="1" si="1"/>
        <v>01/06/yyyy a 07/06/yyyy</v>
      </c>
    </row>
    <row r="16" spans="1:16" x14ac:dyDescent="0.3">
      <c r="A16" t="s">
        <v>21</v>
      </c>
      <c r="B16" t="s">
        <v>22</v>
      </c>
      <c r="C16">
        <v>45855</v>
      </c>
      <c r="D16">
        <v>45870</v>
      </c>
      <c r="E16">
        <v>3</v>
      </c>
      <c r="F16">
        <v>3</v>
      </c>
      <c r="G16">
        <v>21</v>
      </c>
      <c r="H16">
        <v>4.2</v>
      </c>
      <c r="I16">
        <v>0.25</v>
      </c>
      <c r="J16" t="s">
        <v>46</v>
      </c>
      <c r="K16">
        <v>0.5</v>
      </c>
      <c r="L16" s="17">
        <f t="shared" ca="1" si="0"/>
        <v>46181</v>
      </c>
      <c r="M16" s="6" t="str">
        <f t="shared" ca="1" si="1"/>
        <v>08/06/yyyy a 14/06/yyyy</v>
      </c>
    </row>
    <row r="17" spans="1:13" x14ac:dyDescent="0.3">
      <c r="A17" t="s">
        <v>21</v>
      </c>
      <c r="B17" t="s">
        <v>22</v>
      </c>
      <c r="C17">
        <v>45855</v>
      </c>
      <c r="D17">
        <v>45870</v>
      </c>
      <c r="E17">
        <v>3</v>
      </c>
      <c r="F17">
        <v>3</v>
      </c>
      <c r="G17">
        <v>21</v>
      </c>
      <c r="H17">
        <v>4.2</v>
      </c>
      <c r="I17">
        <v>0.25</v>
      </c>
      <c r="J17" t="s">
        <v>47</v>
      </c>
      <c r="K17">
        <v>1.25</v>
      </c>
      <c r="L17" s="17">
        <f t="shared" ca="1" si="0"/>
        <v>46188</v>
      </c>
      <c r="M17" s="6" t="str">
        <f t="shared" ca="1" si="1"/>
        <v>15/06/yyyy a 21/06/yyyy</v>
      </c>
    </row>
    <row r="18" spans="1:13" x14ac:dyDescent="0.3">
      <c r="A18" t="s">
        <v>21</v>
      </c>
      <c r="B18" t="s">
        <v>22</v>
      </c>
      <c r="C18">
        <v>45855</v>
      </c>
      <c r="D18">
        <v>45870</v>
      </c>
      <c r="E18">
        <v>3</v>
      </c>
      <c r="F18">
        <v>3</v>
      </c>
      <c r="G18">
        <v>21</v>
      </c>
      <c r="H18">
        <v>4.2</v>
      </c>
      <c r="I18">
        <v>0.25</v>
      </c>
      <c r="J18" t="s">
        <v>48</v>
      </c>
      <c r="K18">
        <v>1.25</v>
      </c>
      <c r="L18" s="17">
        <f t="shared" ca="1" si="0"/>
        <v>46195</v>
      </c>
      <c r="M18" s="6" t="str">
        <f t="shared" ca="1" si="1"/>
        <v>22/06/yyyy a 28/06/yyyy</v>
      </c>
    </row>
    <row r="19" spans="1:13" x14ac:dyDescent="0.3">
      <c r="A19" t="s">
        <v>21</v>
      </c>
      <c r="B19" t="s">
        <v>22</v>
      </c>
      <c r="C19">
        <v>45855</v>
      </c>
      <c r="D19">
        <v>45870</v>
      </c>
      <c r="E19">
        <v>3</v>
      </c>
      <c r="F19">
        <v>3</v>
      </c>
      <c r="G19">
        <v>21</v>
      </c>
      <c r="H19">
        <v>4.2</v>
      </c>
      <c r="I19">
        <v>0.25</v>
      </c>
      <c r="J19" t="s">
        <v>49</v>
      </c>
      <c r="K19">
        <v>0</v>
      </c>
      <c r="L19" s="17">
        <f t="shared" ca="1" si="0"/>
        <v>46202</v>
      </c>
      <c r="M19" s="6" t="str">
        <f t="shared" ca="1" si="1"/>
        <v>29/06/yyyy a 05/07/yyyy</v>
      </c>
    </row>
    <row r="20" spans="1:13" x14ac:dyDescent="0.3">
      <c r="A20" t="s">
        <v>21</v>
      </c>
      <c r="B20" t="s">
        <v>22</v>
      </c>
      <c r="C20">
        <v>45855</v>
      </c>
      <c r="D20">
        <v>45870</v>
      </c>
      <c r="E20">
        <v>3</v>
      </c>
      <c r="F20">
        <v>3</v>
      </c>
      <c r="G20">
        <v>21</v>
      </c>
      <c r="H20">
        <v>4.2</v>
      </c>
      <c r="I20">
        <v>0.25</v>
      </c>
      <c r="J20" t="s">
        <v>50</v>
      </c>
      <c r="K20">
        <v>0</v>
      </c>
      <c r="L20" s="17">
        <f t="shared" ca="1" si="0"/>
        <v>46209</v>
      </c>
      <c r="M20" s="6" t="str">
        <f t="shared" ca="1" si="1"/>
        <v>06/07/yyyy a 12/07/yyyy</v>
      </c>
    </row>
    <row r="21" spans="1:13" x14ac:dyDescent="0.3">
      <c r="A21" t="s">
        <v>21</v>
      </c>
      <c r="B21" t="s">
        <v>22</v>
      </c>
      <c r="C21">
        <v>45855</v>
      </c>
      <c r="D21">
        <v>45870</v>
      </c>
      <c r="E21">
        <v>3</v>
      </c>
      <c r="F21">
        <v>3</v>
      </c>
      <c r="G21">
        <v>21</v>
      </c>
      <c r="H21">
        <v>4.2</v>
      </c>
      <c r="I21">
        <v>0.25</v>
      </c>
      <c r="J21" t="s">
        <v>51</v>
      </c>
      <c r="K21">
        <v>0</v>
      </c>
      <c r="L21" s="17">
        <f t="shared" ca="1" si="0"/>
        <v>46216</v>
      </c>
      <c r="M21" s="6" t="str">
        <f t="shared" ca="1" si="1"/>
        <v>13/07/yyyy a 19/07/yyyy</v>
      </c>
    </row>
    <row r="22" spans="1:13" x14ac:dyDescent="0.3">
      <c r="A22" t="s">
        <v>21</v>
      </c>
      <c r="B22" t="s">
        <v>22</v>
      </c>
      <c r="C22">
        <v>45855</v>
      </c>
      <c r="D22">
        <v>45870</v>
      </c>
      <c r="E22">
        <v>3</v>
      </c>
      <c r="F22">
        <v>3</v>
      </c>
      <c r="G22">
        <v>21</v>
      </c>
      <c r="H22">
        <v>4.2</v>
      </c>
      <c r="I22">
        <v>0.25</v>
      </c>
      <c r="J22" t="s">
        <v>52</v>
      </c>
      <c r="K22">
        <v>0</v>
      </c>
      <c r="L22" s="17">
        <f t="shared" ca="1" si="0"/>
        <v>46223</v>
      </c>
      <c r="M22" s="6" t="str">
        <f t="shared" ca="1" si="1"/>
        <v>20/07/yyyy a 26/07/yyyy</v>
      </c>
    </row>
    <row r="23" spans="1:13" x14ac:dyDescent="0.3">
      <c r="A23" t="s">
        <v>21</v>
      </c>
      <c r="B23" t="s">
        <v>22</v>
      </c>
      <c r="C23">
        <v>45855</v>
      </c>
      <c r="D23">
        <v>45870</v>
      </c>
      <c r="E23">
        <v>3</v>
      </c>
      <c r="F23">
        <v>3</v>
      </c>
      <c r="G23">
        <v>21</v>
      </c>
      <c r="H23">
        <v>4.2</v>
      </c>
      <c r="I23">
        <v>0.25</v>
      </c>
      <c r="J23" t="s">
        <v>53</v>
      </c>
      <c r="K23">
        <v>0</v>
      </c>
      <c r="L23" s="17">
        <f t="shared" ca="1" si="0"/>
        <v>46167</v>
      </c>
      <c r="M23" s="6" t="str">
        <f t="shared" ca="1" si="1"/>
        <v>25/05/yyyy a 31/05/yyyy</v>
      </c>
    </row>
    <row r="24" spans="1:13" x14ac:dyDescent="0.3">
      <c r="A24" t="s">
        <v>21</v>
      </c>
      <c r="B24" t="s">
        <v>22</v>
      </c>
      <c r="C24">
        <v>45855</v>
      </c>
      <c r="D24">
        <v>45870</v>
      </c>
      <c r="E24">
        <v>3</v>
      </c>
      <c r="F24">
        <v>3</v>
      </c>
      <c r="G24">
        <v>21</v>
      </c>
      <c r="H24">
        <v>4.2</v>
      </c>
      <c r="I24">
        <v>0.25</v>
      </c>
      <c r="J24" t="s">
        <v>54</v>
      </c>
      <c r="K24">
        <v>0</v>
      </c>
      <c r="L24" s="17">
        <f t="shared" ca="1" si="0"/>
        <v>46167</v>
      </c>
      <c r="M24" s="6" t="str">
        <f t="shared" ca="1" si="1"/>
        <v>25/05/yyyy a 31/05/yyyy</v>
      </c>
    </row>
    <row r="25" spans="1:13" x14ac:dyDescent="0.3">
      <c r="A25" t="s">
        <v>21</v>
      </c>
      <c r="B25" t="s">
        <v>22</v>
      </c>
      <c r="C25">
        <v>45855</v>
      </c>
      <c r="D25">
        <v>45870</v>
      </c>
      <c r="E25">
        <v>3</v>
      </c>
      <c r="F25">
        <v>3</v>
      </c>
      <c r="G25">
        <v>21</v>
      </c>
      <c r="H25">
        <v>4.2</v>
      </c>
      <c r="I25">
        <v>0.25</v>
      </c>
      <c r="J25" t="s">
        <v>55</v>
      </c>
      <c r="K25">
        <v>0</v>
      </c>
      <c r="L25" s="17">
        <f t="shared" ca="1" si="0"/>
        <v>46167</v>
      </c>
      <c r="M25" s="6" t="str">
        <f t="shared" ca="1" si="1"/>
        <v>25/05/yyyy a 31/05/yyyy</v>
      </c>
    </row>
    <row r="26" spans="1:13" x14ac:dyDescent="0.3">
      <c r="A26" t="s">
        <v>21</v>
      </c>
      <c r="B26" t="s">
        <v>11</v>
      </c>
      <c r="C26">
        <v>45855</v>
      </c>
      <c r="D26">
        <v>45862</v>
      </c>
      <c r="E26">
        <v>6</v>
      </c>
      <c r="F26">
        <v>6</v>
      </c>
      <c r="G26">
        <v>15</v>
      </c>
      <c r="H26">
        <v>3</v>
      </c>
      <c r="I26">
        <v>1</v>
      </c>
      <c r="J26" t="s">
        <v>44</v>
      </c>
      <c r="K26">
        <v>0</v>
      </c>
      <c r="L26" s="17">
        <f t="shared" ca="1" si="0"/>
        <v>46167</v>
      </c>
      <c r="M26" s="6" t="str">
        <f t="shared" ca="1" si="1"/>
        <v>25/05/yyyy a 31/05/yyyy</v>
      </c>
    </row>
    <row r="27" spans="1:13" x14ac:dyDescent="0.3">
      <c r="A27" t="s">
        <v>21</v>
      </c>
      <c r="B27" t="s">
        <v>11</v>
      </c>
      <c r="C27">
        <v>45855</v>
      </c>
      <c r="D27">
        <v>45862</v>
      </c>
      <c r="E27">
        <v>6</v>
      </c>
      <c r="F27">
        <v>6</v>
      </c>
      <c r="G27">
        <v>15</v>
      </c>
      <c r="H27">
        <v>3</v>
      </c>
      <c r="I27">
        <v>1</v>
      </c>
      <c r="J27" t="s">
        <v>45</v>
      </c>
      <c r="K27">
        <v>0</v>
      </c>
      <c r="L27" s="17">
        <f t="shared" ca="1" si="0"/>
        <v>46174</v>
      </c>
      <c r="M27" s="6" t="str">
        <f t="shared" ca="1" si="1"/>
        <v>01/06/yyyy a 07/06/yyyy</v>
      </c>
    </row>
    <row r="28" spans="1:13" x14ac:dyDescent="0.3">
      <c r="A28" t="s">
        <v>21</v>
      </c>
      <c r="B28" t="s">
        <v>11</v>
      </c>
      <c r="C28">
        <v>45855</v>
      </c>
      <c r="D28">
        <v>45862</v>
      </c>
      <c r="E28">
        <v>6</v>
      </c>
      <c r="F28">
        <v>6</v>
      </c>
      <c r="G28">
        <v>15</v>
      </c>
      <c r="H28">
        <v>3</v>
      </c>
      <c r="I28">
        <v>1</v>
      </c>
      <c r="J28" t="s">
        <v>46</v>
      </c>
      <c r="K28">
        <v>2</v>
      </c>
      <c r="L28" s="17">
        <f t="shared" ca="1" si="0"/>
        <v>46181</v>
      </c>
      <c r="M28" s="6" t="str">
        <f t="shared" ca="1" si="1"/>
        <v>08/06/yyyy a 14/06/yyyy</v>
      </c>
    </row>
    <row r="29" spans="1:13" x14ac:dyDescent="0.3">
      <c r="A29" t="s">
        <v>21</v>
      </c>
      <c r="B29" t="s">
        <v>11</v>
      </c>
      <c r="C29">
        <v>45855</v>
      </c>
      <c r="D29">
        <v>45862</v>
      </c>
      <c r="E29">
        <v>6</v>
      </c>
      <c r="F29">
        <v>6</v>
      </c>
      <c r="G29">
        <v>15</v>
      </c>
      <c r="H29">
        <v>3</v>
      </c>
      <c r="I29">
        <v>1</v>
      </c>
      <c r="J29" t="s">
        <v>47</v>
      </c>
      <c r="K29">
        <v>4</v>
      </c>
      <c r="L29" s="17">
        <f t="shared" ca="1" si="0"/>
        <v>46188</v>
      </c>
      <c r="M29" s="6" t="str">
        <f t="shared" ca="1" si="1"/>
        <v>15/06/yyyy a 21/06/yyyy</v>
      </c>
    </row>
    <row r="30" spans="1:13" x14ac:dyDescent="0.3">
      <c r="A30" t="s">
        <v>21</v>
      </c>
      <c r="B30" t="s">
        <v>11</v>
      </c>
      <c r="C30">
        <v>45855</v>
      </c>
      <c r="D30">
        <v>45862</v>
      </c>
      <c r="E30">
        <v>6</v>
      </c>
      <c r="F30">
        <v>6</v>
      </c>
      <c r="G30">
        <v>15</v>
      </c>
      <c r="H30">
        <v>3</v>
      </c>
      <c r="I30">
        <v>1</v>
      </c>
      <c r="J30" t="s">
        <v>48</v>
      </c>
      <c r="K30">
        <v>0</v>
      </c>
      <c r="L30" s="17">
        <f t="shared" ca="1" si="0"/>
        <v>46195</v>
      </c>
      <c r="M30" s="6" t="str">
        <f t="shared" ca="1" si="1"/>
        <v>22/06/yyyy a 28/06/yyyy</v>
      </c>
    </row>
    <row r="31" spans="1:13" x14ac:dyDescent="0.3">
      <c r="A31" t="s">
        <v>21</v>
      </c>
      <c r="B31" t="s">
        <v>11</v>
      </c>
      <c r="C31">
        <v>45855</v>
      </c>
      <c r="D31">
        <v>45862</v>
      </c>
      <c r="E31">
        <v>6</v>
      </c>
      <c r="F31">
        <v>6</v>
      </c>
      <c r="G31">
        <v>15</v>
      </c>
      <c r="H31">
        <v>3</v>
      </c>
      <c r="I31">
        <v>1</v>
      </c>
      <c r="J31" t="s">
        <v>49</v>
      </c>
      <c r="K31">
        <v>0</v>
      </c>
      <c r="L31" s="17">
        <f t="shared" ca="1" si="0"/>
        <v>46202</v>
      </c>
      <c r="M31" s="6" t="str">
        <f t="shared" ca="1" si="1"/>
        <v>29/06/yyyy a 05/07/yyyy</v>
      </c>
    </row>
    <row r="32" spans="1:13" x14ac:dyDescent="0.3">
      <c r="A32" t="s">
        <v>21</v>
      </c>
      <c r="B32" t="s">
        <v>11</v>
      </c>
      <c r="C32">
        <v>45855</v>
      </c>
      <c r="D32">
        <v>45862</v>
      </c>
      <c r="E32">
        <v>6</v>
      </c>
      <c r="F32">
        <v>6</v>
      </c>
      <c r="G32">
        <v>15</v>
      </c>
      <c r="H32">
        <v>3</v>
      </c>
      <c r="I32">
        <v>1</v>
      </c>
      <c r="J32" t="s">
        <v>50</v>
      </c>
      <c r="K32">
        <v>0</v>
      </c>
      <c r="L32" s="17">
        <f t="shared" ca="1" si="0"/>
        <v>46209</v>
      </c>
      <c r="M32" s="6" t="str">
        <f t="shared" ca="1" si="1"/>
        <v>06/07/yyyy a 12/07/yyyy</v>
      </c>
    </row>
    <row r="33" spans="1:13" x14ac:dyDescent="0.3">
      <c r="A33" t="s">
        <v>21</v>
      </c>
      <c r="B33" t="s">
        <v>11</v>
      </c>
      <c r="C33">
        <v>45855</v>
      </c>
      <c r="D33">
        <v>45862</v>
      </c>
      <c r="E33">
        <v>6</v>
      </c>
      <c r="F33">
        <v>6</v>
      </c>
      <c r="G33">
        <v>15</v>
      </c>
      <c r="H33">
        <v>3</v>
      </c>
      <c r="I33">
        <v>1</v>
      </c>
      <c r="J33" t="s">
        <v>51</v>
      </c>
      <c r="K33">
        <v>0</v>
      </c>
      <c r="L33" s="17">
        <f t="shared" ca="1" si="0"/>
        <v>46216</v>
      </c>
      <c r="M33" s="6" t="str">
        <f t="shared" ca="1" si="1"/>
        <v>13/07/yyyy a 19/07/yyyy</v>
      </c>
    </row>
    <row r="34" spans="1:13" x14ac:dyDescent="0.3">
      <c r="A34" t="s">
        <v>21</v>
      </c>
      <c r="B34" t="s">
        <v>11</v>
      </c>
      <c r="C34">
        <v>45855</v>
      </c>
      <c r="D34">
        <v>45862</v>
      </c>
      <c r="E34">
        <v>6</v>
      </c>
      <c r="F34">
        <v>6</v>
      </c>
      <c r="G34">
        <v>15</v>
      </c>
      <c r="H34">
        <v>3</v>
      </c>
      <c r="I34">
        <v>1</v>
      </c>
      <c r="J34" t="s">
        <v>52</v>
      </c>
      <c r="K34">
        <v>0</v>
      </c>
      <c r="L34" s="17">
        <f t="shared" ca="1" si="0"/>
        <v>46223</v>
      </c>
      <c r="M34" s="6" t="str">
        <f t="shared" ca="1" si="1"/>
        <v>20/07/yyyy a 26/07/yyyy</v>
      </c>
    </row>
    <row r="35" spans="1:13" x14ac:dyDescent="0.3">
      <c r="A35" t="s">
        <v>21</v>
      </c>
      <c r="B35" t="s">
        <v>11</v>
      </c>
      <c r="C35">
        <v>45855</v>
      </c>
      <c r="D35">
        <v>45862</v>
      </c>
      <c r="E35">
        <v>6</v>
      </c>
      <c r="F35">
        <v>6</v>
      </c>
      <c r="G35">
        <v>15</v>
      </c>
      <c r="H35">
        <v>3</v>
      </c>
      <c r="I35">
        <v>1</v>
      </c>
      <c r="J35" t="s">
        <v>53</v>
      </c>
      <c r="K35">
        <v>0</v>
      </c>
      <c r="L35" s="17">
        <f t="shared" ca="1" si="0"/>
        <v>46167</v>
      </c>
      <c r="M35" s="6" t="str">
        <f t="shared" ca="1" si="1"/>
        <v>25/05/yyyy a 31/05/yyyy</v>
      </c>
    </row>
    <row r="36" spans="1:13" x14ac:dyDescent="0.3">
      <c r="A36" t="s">
        <v>21</v>
      </c>
      <c r="B36" t="s">
        <v>11</v>
      </c>
      <c r="C36">
        <v>45855</v>
      </c>
      <c r="D36">
        <v>45862</v>
      </c>
      <c r="E36">
        <v>6</v>
      </c>
      <c r="F36">
        <v>6</v>
      </c>
      <c r="G36">
        <v>15</v>
      </c>
      <c r="H36">
        <v>3</v>
      </c>
      <c r="I36">
        <v>1</v>
      </c>
      <c r="J36" t="s">
        <v>54</v>
      </c>
      <c r="K36">
        <v>0</v>
      </c>
      <c r="L36" s="17">
        <f t="shared" ca="1" si="0"/>
        <v>46167</v>
      </c>
      <c r="M36" s="6" t="str">
        <f t="shared" ca="1" si="1"/>
        <v>25/05/yyyy a 31/05/yyyy</v>
      </c>
    </row>
    <row r="37" spans="1:13" x14ac:dyDescent="0.3">
      <c r="A37" t="s">
        <v>21</v>
      </c>
      <c r="B37" t="s">
        <v>11</v>
      </c>
      <c r="C37">
        <v>45855</v>
      </c>
      <c r="D37">
        <v>45862</v>
      </c>
      <c r="E37">
        <v>6</v>
      </c>
      <c r="F37">
        <v>6</v>
      </c>
      <c r="G37">
        <v>15</v>
      </c>
      <c r="H37">
        <v>3</v>
      </c>
      <c r="I37">
        <v>1</v>
      </c>
      <c r="J37" t="s">
        <v>55</v>
      </c>
      <c r="K37">
        <v>0</v>
      </c>
      <c r="L37" s="17">
        <f t="shared" ca="1" si="0"/>
        <v>46167</v>
      </c>
      <c r="M37" s="6" t="str">
        <f t="shared" ca="1" si="1"/>
        <v>25/05/yyyy a 31/05/yyyy</v>
      </c>
    </row>
    <row r="38" spans="1:13" x14ac:dyDescent="0.3">
      <c r="A38" t="s">
        <v>21</v>
      </c>
      <c r="B38" t="s">
        <v>30</v>
      </c>
      <c r="C38">
        <v>45848</v>
      </c>
      <c r="D38">
        <v>45855</v>
      </c>
      <c r="E38">
        <v>3</v>
      </c>
      <c r="F38">
        <v>3</v>
      </c>
      <c r="G38">
        <v>10</v>
      </c>
      <c r="H38">
        <v>2</v>
      </c>
      <c r="I38">
        <v>0.5</v>
      </c>
      <c r="J38" t="s">
        <v>44</v>
      </c>
      <c r="K38">
        <v>0</v>
      </c>
      <c r="L38" s="17">
        <f t="shared" ca="1" si="0"/>
        <v>46167</v>
      </c>
      <c r="M38" s="6" t="str">
        <f t="shared" ca="1" si="1"/>
        <v>25/05/yyyy a 31/05/yyyy</v>
      </c>
    </row>
    <row r="39" spans="1:13" x14ac:dyDescent="0.3">
      <c r="A39" t="s">
        <v>21</v>
      </c>
      <c r="B39" t="s">
        <v>30</v>
      </c>
      <c r="C39">
        <v>45848</v>
      </c>
      <c r="D39">
        <v>45855</v>
      </c>
      <c r="E39">
        <v>3</v>
      </c>
      <c r="F39">
        <v>3</v>
      </c>
      <c r="G39">
        <v>10</v>
      </c>
      <c r="H39">
        <v>2</v>
      </c>
      <c r="I39">
        <v>0.5</v>
      </c>
      <c r="J39" t="s">
        <v>45</v>
      </c>
      <c r="K39">
        <v>1</v>
      </c>
      <c r="L39" s="17">
        <f t="shared" ca="1" si="0"/>
        <v>46174</v>
      </c>
      <c r="M39" s="6" t="str">
        <f t="shared" ca="1" si="1"/>
        <v>01/06/yyyy a 07/06/yyyy</v>
      </c>
    </row>
    <row r="40" spans="1:13" x14ac:dyDescent="0.3">
      <c r="A40" t="s">
        <v>21</v>
      </c>
      <c r="B40" t="s">
        <v>30</v>
      </c>
      <c r="C40">
        <v>45848</v>
      </c>
      <c r="D40">
        <v>45855</v>
      </c>
      <c r="E40">
        <v>3</v>
      </c>
      <c r="F40">
        <v>3</v>
      </c>
      <c r="G40">
        <v>10</v>
      </c>
      <c r="H40">
        <v>2</v>
      </c>
      <c r="I40">
        <v>0.5</v>
      </c>
      <c r="J40" t="s">
        <v>46</v>
      </c>
      <c r="K40">
        <v>2</v>
      </c>
      <c r="L40" s="17">
        <f t="shared" ca="1" si="0"/>
        <v>46181</v>
      </c>
      <c r="M40" s="6" t="str">
        <f t="shared" ca="1" si="1"/>
        <v>08/06/yyyy a 14/06/yyyy</v>
      </c>
    </row>
    <row r="41" spans="1:13" x14ac:dyDescent="0.3">
      <c r="A41" t="s">
        <v>21</v>
      </c>
      <c r="B41" t="s">
        <v>30</v>
      </c>
      <c r="C41">
        <v>45848</v>
      </c>
      <c r="D41">
        <v>45855</v>
      </c>
      <c r="E41">
        <v>3</v>
      </c>
      <c r="F41">
        <v>3</v>
      </c>
      <c r="G41">
        <v>10</v>
      </c>
      <c r="H41">
        <v>2</v>
      </c>
      <c r="I41">
        <v>0.5</v>
      </c>
      <c r="J41" t="s">
        <v>47</v>
      </c>
      <c r="K41">
        <v>0</v>
      </c>
      <c r="L41" s="17">
        <f t="shared" ca="1" si="0"/>
        <v>46188</v>
      </c>
      <c r="M41" s="6" t="str">
        <f t="shared" ca="1" si="1"/>
        <v>15/06/yyyy a 21/06/yyyy</v>
      </c>
    </row>
    <row r="42" spans="1:13" x14ac:dyDescent="0.3">
      <c r="A42" t="s">
        <v>21</v>
      </c>
      <c r="B42" t="s">
        <v>30</v>
      </c>
      <c r="C42">
        <v>45848</v>
      </c>
      <c r="D42">
        <v>45855</v>
      </c>
      <c r="E42">
        <v>3</v>
      </c>
      <c r="F42">
        <v>3</v>
      </c>
      <c r="G42">
        <v>10</v>
      </c>
      <c r="H42">
        <v>2</v>
      </c>
      <c r="I42">
        <v>0.5</v>
      </c>
      <c r="J42" t="s">
        <v>48</v>
      </c>
      <c r="K42">
        <v>0</v>
      </c>
      <c r="L42" s="17">
        <f t="shared" ca="1" si="0"/>
        <v>46195</v>
      </c>
      <c r="M42" s="6" t="str">
        <f t="shared" ca="1" si="1"/>
        <v>22/06/yyyy a 28/06/yyyy</v>
      </c>
    </row>
    <row r="43" spans="1:13" x14ac:dyDescent="0.3">
      <c r="A43" t="s">
        <v>21</v>
      </c>
      <c r="B43" t="s">
        <v>30</v>
      </c>
      <c r="C43">
        <v>45848</v>
      </c>
      <c r="D43">
        <v>45855</v>
      </c>
      <c r="E43">
        <v>3</v>
      </c>
      <c r="F43">
        <v>3</v>
      </c>
      <c r="G43">
        <v>10</v>
      </c>
      <c r="H43">
        <v>2</v>
      </c>
      <c r="I43">
        <v>0.5</v>
      </c>
      <c r="J43" t="s">
        <v>49</v>
      </c>
      <c r="K43">
        <v>0</v>
      </c>
      <c r="L43" s="17">
        <f t="shared" ca="1" si="0"/>
        <v>46202</v>
      </c>
      <c r="M43" s="6" t="str">
        <f t="shared" ca="1" si="1"/>
        <v>29/06/yyyy a 05/07/yyyy</v>
      </c>
    </row>
    <row r="44" spans="1:13" x14ac:dyDescent="0.3">
      <c r="A44" t="s">
        <v>21</v>
      </c>
      <c r="B44" t="s">
        <v>30</v>
      </c>
      <c r="C44">
        <v>45848</v>
      </c>
      <c r="D44">
        <v>45855</v>
      </c>
      <c r="E44">
        <v>3</v>
      </c>
      <c r="F44">
        <v>3</v>
      </c>
      <c r="G44">
        <v>10</v>
      </c>
      <c r="H44">
        <v>2</v>
      </c>
      <c r="I44">
        <v>0.5</v>
      </c>
      <c r="J44" t="s">
        <v>50</v>
      </c>
      <c r="K44">
        <v>0</v>
      </c>
      <c r="L44" s="17">
        <f t="shared" ca="1" si="0"/>
        <v>46209</v>
      </c>
      <c r="M44" s="6" t="str">
        <f t="shared" ca="1" si="1"/>
        <v>06/07/yyyy a 12/07/yyyy</v>
      </c>
    </row>
    <row r="45" spans="1:13" x14ac:dyDescent="0.3">
      <c r="A45" t="s">
        <v>21</v>
      </c>
      <c r="B45" t="s">
        <v>30</v>
      </c>
      <c r="C45">
        <v>45848</v>
      </c>
      <c r="D45">
        <v>45855</v>
      </c>
      <c r="E45">
        <v>3</v>
      </c>
      <c r="F45">
        <v>3</v>
      </c>
      <c r="G45">
        <v>10</v>
      </c>
      <c r="H45">
        <v>2</v>
      </c>
      <c r="I45">
        <v>0.5</v>
      </c>
      <c r="J45" t="s">
        <v>51</v>
      </c>
      <c r="K45">
        <v>0</v>
      </c>
      <c r="L45" s="17">
        <f t="shared" ca="1" si="0"/>
        <v>46216</v>
      </c>
      <c r="M45" s="6" t="str">
        <f t="shared" ca="1" si="1"/>
        <v>13/07/yyyy a 19/07/yyyy</v>
      </c>
    </row>
    <row r="46" spans="1:13" x14ac:dyDescent="0.3">
      <c r="A46" t="s">
        <v>21</v>
      </c>
      <c r="B46" t="s">
        <v>30</v>
      </c>
      <c r="C46">
        <v>45848</v>
      </c>
      <c r="D46">
        <v>45855</v>
      </c>
      <c r="E46">
        <v>3</v>
      </c>
      <c r="F46">
        <v>3</v>
      </c>
      <c r="G46">
        <v>10</v>
      </c>
      <c r="H46">
        <v>2</v>
      </c>
      <c r="I46">
        <v>0.5</v>
      </c>
      <c r="J46" t="s">
        <v>52</v>
      </c>
      <c r="K46">
        <v>0</v>
      </c>
      <c r="L46" s="17">
        <f t="shared" ca="1" si="0"/>
        <v>46223</v>
      </c>
      <c r="M46" s="6" t="str">
        <f t="shared" ca="1" si="1"/>
        <v>20/07/yyyy a 26/07/yyyy</v>
      </c>
    </row>
    <row r="47" spans="1:13" x14ac:dyDescent="0.3">
      <c r="A47" t="s">
        <v>21</v>
      </c>
      <c r="B47" t="s">
        <v>30</v>
      </c>
      <c r="C47">
        <v>45848</v>
      </c>
      <c r="D47">
        <v>45855</v>
      </c>
      <c r="E47">
        <v>3</v>
      </c>
      <c r="F47">
        <v>3</v>
      </c>
      <c r="G47">
        <v>10</v>
      </c>
      <c r="H47">
        <v>2</v>
      </c>
      <c r="I47">
        <v>0.5</v>
      </c>
      <c r="J47" t="s">
        <v>53</v>
      </c>
      <c r="K47">
        <v>0</v>
      </c>
      <c r="L47" s="17">
        <f t="shared" ca="1" si="0"/>
        <v>46167</v>
      </c>
      <c r="M47" s="6" t="str">
        <f t="shared" ca="1" si="1"/>
        <v>25/05/yyyy a 31/05/yyyy</v>
      </c>
    </row>
    <row r="48" spans="1:13" x14ac:dyDescent="0.3">
      <c r="A48" t="s">
        <v>21</v>
      </c>
      <c r="B48" t="s">
        <v>30</v>
      </c>
      <c r="C48">
        <v>45848</v>
      </c>
      <c r="D48">
        <v>45855</v>
      </c>
      <c r="E48">
        <v>3</v>
      </c>
      <c r="F48">
        <v>3</v>
      </c>
      <c r="G48">
        <v>10</v>
      </c>
      <c r="H48">
        <v>2</v>
      </c>
      <c r="I48">
        <v>0.5</v>
      </c>
      <c r="J48" t="s">
        <v>54</v>
      </c>
      <c r="K48">
        <v>0</v>
      </c>
      <c r="L48" s="17">
        <f t="shared" ca="1" si="0"/>
        <v>46167</v>
      </c>
      <c r="M48" s="6" t="str">
        <f t="shared" ca="1" si="1"/>
        <v>25/05/yyyy a 31/05/yyyy</v>
      </c>
    </row>
    <row r="49" spans="1:13" x14ac:dyDescent="0.3">
      <c r="A49" t="s">
        <v>21</v>
      </c>
      <c r="B49" t="s">
        <v>30</v>
      </c>
      <c r="C49">
        <v>45848</v>
      </c>
      <c r="D49">
        <v>45855</v>
      </c>
      <c r="E49">
        <v>3</v>
      </c>
      <c r="F49">
        <v>3</v>
      </c>
      <c r="G49">
        <v>10</v>
      </c>
      <c r="H49">
        <v>2</v>
      </c>
      <c r="I49">
        <v>0.5</v>
      </c>
      <c r="J49" t="s">
        <v>55</v>
      </c>
      <c r="K49">
        <v>0</v>
      </c>
      <c r="L49" s="17">
        <f t="shared" ca="1" si="0"/>
        <v>46167</v>
      </c>
      <c r="M49" s="6" t="str">
        <f t="shared" ca="1" si="1"/>
        <v>25/05/yyyy a 31/05/yyyy</v>
      </c>
    </row>
    <row r="50" spans="1:13" x14ac:dyDescent="0.3">
      <c r="A50" t="s">
        <v>21</v>
      </c>
      <c r="B50" t="s">
        <v>29</v>
      </c>
      <c r="C50">
        <v>45848</v>
      </c>
      <c r="D50">
        <v>45855</v>
      </c>
      <c r="E50">
        <v>2.5</v>
      </c>
      <c r="F50">
        <v>2.5</v>
      </c>
      <c r="G50">
        <v>10</v>
      </c>
      <c r="H50">
        <v>2</v>
      </c>
      <c r="I50">
        <v>0.41666666666666669</v>
      </c>
      <c r="J50" t="s">
        <v>44</v>
      </c>
      <c r="K50">
        <v>0</v>
      </c>
      <c r="L50" s="17">
        <f t="shared" ca="1" si="0"/>
        <v>46167</v>
      </c>
      <c r="M50" s="6" t="str">
        <f t="shared" ca="1" si="1"/>
        <v>25/05/yyyy a 31/05/yyyy</v>
      </c>
    </row>
    <row r="51" spans="1:13" x14ac:dyDescent="0.3">
      <c r="A51" t="s">
        <v>21</v>
      </c>
      <c r="B51" t="s">
        <v>29</v>
      </c>
      <c r="C51">
        <v>45848</v>
      </c>
      <c r="D51">
        <v>45855</v>
      </c>
      <c r="E51">
        <v>2.5</v>
      </c>
      <c r="F51">
        <v>2.5</v>
      </c>
      <c r="G51">
        <v>10</v>
      </c>
      <c r="H51">
        <v>2</v>
      </c>
      <c r="I51">
        <v>0.41666666666666669</v>
      </c>
      <c r="J51" t="s">
        <v>45</v>
      </c>
      <c r="K51">
        <v>0.83333333333333348</v>
      </c>
      <c r="L51" s="17">
        <f t="shared" ca="1" si="0"/>
        <v>46174</v>
      </c>
      <c r="M51" s="6" t="str">
        <f t="shared" ca="1" si="1"/>
        <v>01/06/yyyy a 07/06/yyyy</v>
      </c>
    </row>
    <row r="52" spans="1:13" x14ac:dyDescent="0.3">
      <c r="A52" t="s">
        <v>21</v>
      </c>
      <c r="B52" t="s">
        <v>29</v>
      </c>
      <c r="C52">
        <v>45848</v>
      </c>
      <c r="D52">
        <v>45855</v>
      </c>
      <c r="E52">
        <v>2.5</v>
      </c>
      <c r="F52">
        <v>2.5</v>
      </c>
      <c r="G52">
        <v>10</v>
      </c>
      <c r="H52">
        <v>2</v>
      </c>
      <c r="I52">
        <v>0.41666666666666669</v>
      </c>
      <c r="J52" t="s">
        <v>46</v>
      </c>
      <c r="K52">
        <v>1.6666666666666667</v>
      </c>
      <c r="L52" s="17">
        <f t="shared" ca="1" si="0"/>
        <v>46181</v>
      </c>
      <c r="M52" s="6" t="str">
        <f t="shared" ca="1" si="1"/>
        <v>08/06/yyyy a 14/06/yyyy</v>
      </c>
    </row>
    <row r="53" spans="1:13" x14ac:dyDescent="0.3">
      <c r="A53" t="s">
        <v>21</v>
      </c>
      <c r="B53" t="s">
        <v>29</v>
      </c>
      <c r="C53">
        <v>45848</v>
      </c>
      <c r="D53">
        <v>45855</v>
      </c>
      <c r="E53">
        <v>2.5</v>
      </c>
      <c r="F53">
        <v>2.5</v>
      </c>
      <c r="G53">
        <v>10</v>
      </c>
      <c r="H53">
        <v>2</v>
      </c>
      <c r="I53">
        <v>0.41666666666666669</v>
      </c>
      <c r="J53" t="s">
        <v>47</v>
      </c>
      <c r="K53">
        <v>0</v>
      </c>
      <c r="L53" s="17">
        <f t="shared" ca="1" si="0"/>
        <v>46188</v>
      </c>
      <c r="M53" s="6" t="str">
        <f t="shared" ca="1" si="1"/>
        <v>15/06/yyyy a 21/06/yyyy</v>
      </c>
    </row>
    <row r="54" spans="1:13" x14ac:dyDescent="0.3">
      <c r="A54" t="s">
        <v>21</v>
      </c>
      <c r="B54" t="s">
        <v>29</v>
      </c>
      <c r="C54">
        <v>45848</v>
      </c>
      <c r="D54">
        <v>45855</v>
      </c>
      <c r="E54">
        <v>2.5</v>
      </c>
      <c r="F54">
        <v>2.5</v>
      </c>
      <c r="G54">
        <v>10</v>
      </c>
      <c r="H54">
        <v>2</v>
      </c>
      <c r="I54">
        <v>0.41666666666666669</v>
      </c>
      <c r="J54" t="s">
        <v>48</v>
      </c>
      <c r="K54">
        <v>0</v>
      </c>
      <c r="L54" s="17">
        <f t="shared" ca="1" si="0"/>
        <v>46195</v>
      </c>
      <c r="M54" s="6" t="str">
        <f t="shared" ca="1" si="1"/>
        <v>22/06/yyyy a 28/06/yyyy</v>
      </c>
    </row>
    <row r="55" spans="1:13" x14ac:dyDescent="0.3">
      <c r="A55" t="s">
        <v>21</v>
      </c>
      <c r="B55" t="s">
        <v>29</v>
      </c>
      <c r="C55">
        <v>45848</v>
      </c>
      <c r="D55">
        <v>45855</v>
      </c>
      <c r="E55">
        <v>2.5</v>
      </c>
      <c r="F55">
        <v>2.5</v>
      </c>
      <c r="G55">
        <v>10</v>
      </c>
      <c r="H55">
        <v>2</v>
      </c>
      <c r="I55">
        <v>0.41666666666666669</v>
      </c>
      <c r="J55" t="s">
        <v>49</v>
      </c>
      <c r="K55">
        <v>0</v>
      </c>
      <c r="L55" s="17">
        <f t="shared" ca="1" si="0"/>
        <v>46202</v>
      </c>
      <c r="M55" s="6" t="str">
        <f t="shared" ca="1" si="1"/>
        <v>29/06/yyyy a 05/07/yyyy</v>
      </c>
    </row>
    <row r="56" spans="1:13" x14ac:dyDescent="0.3">
      <c r="A56" t="s">
        <v>21</v>
      </c>
      <c r="B56" t="s">
        <v>29</v>
      </c>
      <c r="C56">
        <v>45848</v>
      </c>
      <c r="D56">
        <v>45855</v>
      </c>
      <c r="E56">
        <v>2.5</v>
      </c>
      <c r="F56">
        <v>2.5</v>
      </c>
      <c r="G56">
        <v>10</v>
      </c>
      <c r="H56">
        <v>2</v>
      </c>
      <c r="I56">
        <v>0.41666666666666669</v>
      </c>
      <c r="J56" t="s">
        <v>50</v>
      </c>
      <c r="K56">
        <v>0</v>
      </c>
      <c r="L56" s="17">
        <f t="shared" ca="1" si="0"/>
        <v>46209</v>
      </c>
      <c r="M56" s="6" t="str">
        <f t="shared" ca="1" si="1"/>
        <v>06/07/yyyy a 12/07/yyyy</v>
      </c>
    </row>
    <row r="57" spans="1:13" x14ac:dyDescent="0.3">
      <c r="A57" t="s">
        <v>21</v>
      </c>
      <c r="B57" t="s">
        <v>29</v>
      </c>
      <c r="C57">
        <v>45848</v>
      </c>
      <c r="D57">
        <v>45855</v>
      </c>
      <c r="E57">
        <v>2.5</v>
      </c>
      <c r="F57">
        <v>2.5</v>
      </c>
      <c r="G57">
        <v>10</v>
      </c>
      <c r="H57">
        <v>2</v>
      </c>
      <c r="I57">
        <v>0.41666666666666669</v>
      </c>
      <c r="J57" t="s">
        <v>51</v>
      </c>
      <c r="K57">
        <v>0</v>
      </c>
      <c r="L57" s="17">
        <f t="shared" ca="1" si="0"/>
        <v>46216</v>
      </c>
      <c r="M57" s="6" t="str">
        <f t="shared" ca="1" si="1"/>
        <v>13/07/yyyy a 19/07/yyyy</v>
      </c>
    </row>
    <row r="58" spans="1:13" x14ac:dyDescent="0.3">
      <c r="A58" t="s">
        <v>21</v>
      </c>
      <c r="B58" t="s">
        <v>29</v>
      </c>
      <c r="C58">
        <v>45848</v>
      </c>
      <c r="D58">
        <v>45855</v>
      </c>
      <c r="E58">
        <v>2.5</v>
      </c>
      <c r="F58">
        <v>2.5</v>
      </c>
      <c r="G58">
        <v>10</v>
      </c>
      <c r="H58">
        <v>2</v>
      </c>
      <c r="I58">
        <v>0.41666666666666669</v>
      </c>
      <c r="J58" t="s">
        <v>52</v>
      </c>
      <c r="K58">
        <v>0</v>
      </c>
      <c r="L58" s="17">
        <f t="shared" ca="1" si="0"/>
        <v>46223</v>
      </c>
      <c r="M58" s="6" t="str">
        <f t="shared" ca="1" si="1"/>
        <v>20/07/yyyy a 26/07/yyyy</v>
      </c>
    </row>
    <row r="59" spans="1:13" x14ac:dyDescent="0.3">
      <c r="A59" t="s">
        <v>21</v>
      </c>
      <c r="B59" t="s">
        <v>29</v>
      </c>
      <c r="C59">
        <v>45848</v>
      </c>
      <c r="D59">
        <v>45855</v>
      </c>
      <c r="E59">
        <v>2.5</v>
      </c>
      <c r="F59">
        <v>2.5</v>
      </c>
      <c r="G59">
        <v>10</v>
      </c>
      <c r="H59">
        <v>2</v>
      </c>
      <c r="I59">
        <v>0.41666666666666669</v>
      </c>
      <c r="J59" t="s">
        <v>53</v>
      </c>
      <c r="K59">
        <v>0</v>
      </c>
      <c r="L59" s="17">
        <f t="shared" ca="1" si="0"/>
        <v>46167</v>
      </c>
      <c r="M59" s="6" t="str">
        <f t="shared" ca="1" si="1"/>
        <v>25/05/yyyy a 31/05/yyyy</v>
      </c>
    </row>
    <row r="60" spans="1:13" x14ac:dyDescent="0.3">
      <c r="A60" t="s">
        <v>21</v>
      </c>
      <c r="B60" t="s">
        <v>29</v>
      </c>
      <c r="C60">
        <v>45848</v>
      </c>
      <c r="D60">
        <v>45855</v>
      </c>
      <c r="E60">
        <v>2.5</v>
      </c>
      <c r="F60">
        <v>2.5</v>
      </c>
      <c r="G60">
        <v>10</v>
      </c>
      <c r="H60">
        <v>2</v>
      </c>
      <c r="I60">
        <v>0.41666666666666669</v>
      </c>
      <c r="J60" t="s">
        <v>54</v>
      </c>
      <c r="K60">
        <v>0</v>
      </c>
      <c r="L60" s="17">
        <f t="shared" ca="1" si="0"/>
        <v>46167</v>
      </c>
      <c r="M60" s="6" t="str">
        <f t="shared" ca="1" si="1"/>
        <v>25/05/yyyy a 31/05/yyyy</v>
      </c>
    </row>
    <row r="61" spans="1:13" x14ac:dyDescent="0.3">
      <c r="A61" t="s">
        <v>21</v>
      </c>
      <c r="B61" t="s">
        <v>29</v>
      </c>
      <c r="C61">
        <v>45848</v>
      </c>
      <c r="D61">
        <v>45855</v>
      </c>
      <c r="E61">
        <v>2.5</v>
      </c>
      <c r="F61">
        <v>2.5</v>
      </c>
      <c r="G61">
        <v>10</v>
      </c>
      <c r="H61">
        <v>2</v>
      </c>
      <c r="I61">
        <v>0.41666666666666669</v>
      </c>
      <c r="J61" t="s">
        <v>55</v>
      </c>
      <c r="K61">
        <v>0</v>
      </c>
      <c r="L61" s="17">
        <f t="shared" ca="1" si="0"/>
        <v>46167</v>
      </c>
      <c r="M61" s="6" t="str">
        <f t="shared" ca="1" si="1"/>
        <v>25/05/yyyy a 31/05/yyyy</v>
      </c>
    </row>
    <row r="62" spans="1:13" x14ac:dyDescent="0.3">
      <c r="A62" t="s">
        <v>21</v>
      </c>
      <c r="B62" t="s">
        <v>30</v>
      </c>
      <c r="C62">
        <v>45862</v>
      </c>
      <c r="D62">
        <v>45869</v>
      </c>
      <c r="E62">
        <v>3</v>
      </c>
      <c r="F62">
        <v>3</v>
      </c>
      <c r="G62">
        <v>20</v>
      </c>
      <c r="H62">
        <v>4</v>
      </c>
      <c r="I62">
        <v>0.5</v>
      </c>
      <c r="J62" t="s">
        <v>44</v>
      </c>
      <c r="K62">
        <v>0</v>
      </c>
      <c r="L62" s="17">
        <f t="shared" ca="1" si="0"/>
        <v>46167</v>
      </c>
      <c r="M62" s="6" t="str">
        <f t="shared" ca="1" si="1"/>
        <v>25/05/yyyy a 31/05/yyyy</v>
      </c>
    </row>
    <row r="63" spans="1:13" x14ac:dyDescent="0.3">
      <c r="A63" t="s">
        <v>21</v>
      </c>
      <c r="B63" t="s">
        <v>30</v>
      </c>
      <c r="C63">
        <v>45862</v>
      </c>
      <c r="D63">
        <v>45869</v>
      </c>
      <c r="E63">
        <v>3</v>
      </c>
      <c r="F63">
        <v>3</v>
      </c>
      <c r="G63">
        <v>20</v>
      </c>
      <c r="H63">
        <v>4</v>
      </c>
      <c r="I63">
        <v>0.5</v>
      </c>
      <c r="J63" t="s">
        <v>45</v>
      </c>
      <c r="K63">
        <v>0</v>
      </c>
      <c r="L63" s="17">
        <f t="shared" ca="1" si="0"/>
        <v>46174</v>
      </c>
      <c r="M63" s="6" t="str">
        <f t="shared" ca="1" si="1"/>
        <v>01/06/yyyy a 07/06/yyyy</v>
      </c>
    </row>
    <row r="64" spans="1:13" x14ac:dyDescent="0.3">
      <c r="A64" t="s">
        <v>21</v>
      </c>
      <c r="B64" t="s">
        <v>30</v>
      </c>
      <c r="C64">
        <v>45862</v>
      </c>
      <c r="D64">
        <v>45869</v>
      </c>
      <c r="E64">
        <v>3</v>
      </c>
      <c r="F64">
        <v>3</v>
      </c>
      <c r="G64">
        <v>20</v>
      </c>
      <c r="H64">
        <v>4</v>
      </c>
      <c r="I64">
        <v>0.5</v>
      </c>
      <c r="J64" t="s">
        <v>46</v>
      </c>
      <c r="K64">
        <v>0</v>
      </c>
      <c r="L64" s="17">
        <f t="shared" ca="1" si="0"/>
        <v>46181</v>
      </c>
      <c r="M64" s="6" t="str">
        <f t="shared" ca="1" si="1"/>
        <v>08/06/yyyy a 14/06/yyyy</v>
      </c>
    </row>
    <row r="65" spans="1:13" x14ac:dyDescent="0.3">
      <c r="A65" t="s">
        <v>21</v>
      </c>
      <c r="B65" t="s">
        <v>30</v>
      </c>
      <c r="C65">
        <v>45862</v>
      </c>
      <c r="D65">
        <v>45869</v>
      </c>
      <c r="E65">
        <v>3</v>
      </c>
      <c r="F65">
        <v>3</v>
      </c>
      <c r="G65">
        <v>20</v>
      </c>
      <c r="H65">
        <v>4</v>
      </c>
      <c r="I65">
        <v>0.5</v>
      </c>
      <c r="J65" t="s">
        <v>47</v>
      </c>
      <c r="K65">
        <v>1</v>
      </c>
      <c r="L65" s="17">
        <f t="shared" ca="1" si="0"/>
        <v>46188</v>
      </c>
      <c r="M65" s="6" t="str">
        <f t="shared" ca="1" si="1"/>
        <v>15/06/yyyy a 21/06/yyyy</v>
      </c>
    </row>
    <row r="66" spans="1:13" x14ac:dyDescent="0.3">
      <c r="A66" t="s">
        <v>21</v>
      </c>
      <c r="B66" t="s">
        <v>30</v>
      </c>
      <c r="C66">
        <v>45862</v>
      </c>
      <c r="D66">
        <v>45869</v>
      </c>
      <c r="E66">
        <v>3</v>
      </c>
      <c r="F66">
        <v>3</v>
      </c>
      <c r="G66">
        <v>20</v>
      </c>
      <c r="H66">
        <v>4</v>
      </c>
      <c r="I66">
        <v>0.5</v>
      </c>
      <c r="J66" t="s">
        <v>48</v>
      </c>
      <c r="K66">
        <v>2</v>
      </c>
      <c r="L66" s="17">
        <f t="shared" ref="L66:L129" ca="1" si="2">IFERROR(VLOOKUP(J66,$O$2:$P$13,2),"")</f>
        <v>46195</v>
      </c>
      <c r="M66" s="6" t="str">
        <f t="shared" ref="M66:M129" ca="1" si="3">IFERROR(TEXT(L66,"dd/mm/yyyy")&amp; " a " &amp; (TEXT(L66+6,"dd/mm/yyyy")),"")</f>
        <v>22/06/yyyy a 28/06/yyyy</v>
      </c>
    </row>
    <row r="67" spans="1:13" x14ac:dyDescent="0.3">
      <c r="A67" t="s">
        <v>21</v>
      </c>
      <c r="B67" t="s">
        <v>30</v>
      </c>
      <c r="C67">
        <v>45862</v>
      </c>
      <c r="D67">
        <v>45869</v>
      </c>
      <c r="E67">
        <v>3</v>
      </c>
      <c r="F67">
        <v>3</v>
      </c>
      <c r="G67">
        <v>20</v>
      </c>
      <c r="H67">
        <v>4</v>
      </c>
      <c r="I67">
        <v>0.5</v>
      </c>
      <c r="J67" t="s">
        <v>49</v>
      </c>
      <c r="K67">
        <v>0</v>
      </c>
      <c r="L67" s="17">
        <f t="shared" ca="1" si="2"/>
        <v>46202</v>
      </c>
      <c r="M67" s="6" t="str">
        <f t="shared" ca="1" si="3"/>
        <v>29/06/yyyy a 05/07/yyyy</v>
      </c>
    </row>
    <row r="68" spans="1:13" x14ac:dyDescent="0.3">
      <c r="A68" t="s">
        <v>21</v>
      </c>
      <c r="B68" t="s">
        <v>30</v>
      </c>
      <c r="C68">
        <v>45862</v>
      </c>
      <c r="D68">
        <v>45869</v>
      </c>
      <c r="E68">
        <v>3</v>
      </c>
      <c r="F68">
        <v>3</v>
      </c>
      <c r="G68">
        <v>20</v>
      </c>
      <c r="H68">
        <v>4</v>
      </c>
      <c r="I68">
        <v>0.5</v>
      </c>
      <c r="J68" t="s">
        <v>50</v>
      </c>
      <c r="K68">
        <v>0</v>
      </c>
      <c r="L68" s="17">
        <f t="shared" ca="1" si="2"/>
        <v>46209</v>
      </c>
      <c r="M68" s="6" t="str">
        <f t="shared" ca="1" si="3"/>
        <v>06/07/yyyy a 12/07/yyyy</v>
      </c>
    </row>
    <row r="69" spans="1:13" x14ac:dyDescent="0.3">
      <c r="A69" t="s">
        <v>21</v>
      </c>
      <c r="B69" t="s">
        <v>30</v>
      </c>
      <c r="C69">
        <v>45862</v>
      </c>
      <c r="D69">
        <v>45869</v>
      </c>
      <c r="E69">
        <v>3</v>
      </c>
      <c r="F69">
        <v>3</v>
      </c>
      <c r="G69">
        <v>20</v>
      </c>
      <c r="H69">
        <v>4</v>
      </c>
      <c r="I69">
        <v>0.5</v>
      </c>
      <c r="J69" t="s">
        <v>51</v>
      </c>
      <c r="K69">
        <v>0</v>
      </c>
      <c r="L69" s="17">
        <f t="shared" ca="1" si="2"/>
        <v>46216</v>
      </c>
      <c r="M69" s="6" t="str">
        <f t="shared" ca="1" si="3"/>
        <v>13/07/yyyy a 19/07/yyyy</v>
      </c>
    </row>
    <row r="70" spans="1:13" x14ac:dyDescent="0.3">
      <c r="A70" t="s">
        <v>21</v>
      </c>
      <c r="B70" t="s">
        <v>30</v>
      </c>
      <c r="C70">
        <v>45862</v>
      </c>
      <c r="D70">
        <v>45869</v>
      </c>
      <c r="E70">
        <v>3</v>
      </c>
      <c r="F70">
        <v>3</v>
      </c>
      <c r="G70">
        <v>20</v>
      </c>
      <c r="H70">
        <v>4</v>
      </c>
      <c r="I70">
        <v>0.5</v>
      </c>
      <c r="J70" t="s">
        <v>52</v>
      </c>
      <c r="K70">
        <v>0</v>
      </c>
      <c r="L70" s="17">
        <f t="shared" ca="1" si="2"/>
        <v>46223</v>
      </c>
      <c r="M70" s="6" t="str">
        <f t="shared" ca="1" si="3"/>
        <v>20/07/yyyy a 26/07/yyyy</v>
      </c>
    </row>
    <row r="71" spans="1:13" x14ac:dyDescent="0.3">
      <c r="A71" t="s">
        <v>21</v>
      </c>
      <c r="B71" t="s">
        <v>30</v>
      </c>
      <c r="C71">
        <v>45862</v>
      </c>
      <c r="D71">
        <v>45869</v>
      </c>
      <c r="E71">
        <v>3</v>
      </c>
      <c r="F71">
        <v>3</v>
      </c>
      <c r="G71">
        <v>20</v>
      </c>
      <c r="H71">
        <v>4</v>
      </c>
      <c r="I71">
        <v>0.5</v>
      </c>
      <c r="J71" t="s">
        <v>53</v>
      </c>
      <c r="K71">
        <v>0</v>
      </c>
      <c r="L71" s="17">
        <f t="shared" ca="1" si="2"/>
        <v>46167</v>
      </c>
      <c r="M71" s="6" t="str">
        <f t="shared" ca="1" si="3"/>
        <v>25/05/yyyy a 31/05/yyyy</v>
      </c>
    </row>
    <row r="72" spans="1:13" x14ac:dyDescent="0.3">
      <c r="A72" t="s">
        <v>21</v>
      </c>
      <c r="B72" t="s">
        <v>30</v>
      </c>
      <c r="C72">
        <v>45862</v>
      </c>
      <c r="D72">
        <v>45869</v>
      </c>
      <c r="E72">
        <v>3</v>
      </c>
      <c r="F72">
        <v>3</v>
      </c>
      <c r="G72">
        <v>20</v>
      </c>
      <c r="H72">
        <v>4</v>
      </c>
      <c r="I72">
        <v>0.5</v>
      </c>
      <c r="J72" t="s">
        <v>54</v>
      </c>
      <c r="K72">
        <v>0</v>
      </c>
      <c r="L72" s="17">
        <f t="shared" ca="1" si="2"/>
        <v>46167</v>
      </c>
      <c r="M72" s="6" t="str">
        <f t="shared" ca="1" si="3"/>
        <v>25/05/yyyy a 31/05/yyyy</v>
      </c>
    </row>
    <row r="73" spans="1:13" x14ac:dyDescent="0.3">
      <c r="A73" t="s">
        <v>21</v>
      </c>
      <c r="B73" t="s">
        <v>30</v>
      </c>
      <c r="C73">
        <v>45862</v>
      </c>
      <c r="D73">
        <v>45869</v>
      </c>
      <c r="E73">
        <v>3</v>
      </c>
      <c r="F73">
        <v>3</v>
      </c>
      <c r="G73">
        <v>20</v>
      </c>
      <c r="H73">
        <v>4</v>
      </c>
      <c r="I73">
        <v>0.5</v>
      </c>
      <c r="J73" t="s">
        <v>55</v>
      </c>
      <c r="K73">
        <v>0</v>
      </c>
      <c r="L73" s="17">
        <f t="shared" ca="1" si="2"/>
        <v>46167</v>
      </c>
      <c r="M73" s="6" t="str">
        <f t="shared" ca="1" si="3"/>
        <v>25/05/yyyy a 31/05/yyyy</v>
      </c>
    </row>
    <row r="74" spans="1:13" x14ac:dyDescent="0.3">
      <c r="A74" t="s">
        <v>21</v>
      </c>
      <c r="B74" t="s">
        <v>22</v>
      </c>
      <c r="C74">
        <v>45862</v>
      </c>
      <c r="D74">
        <v>45869</v>
      </c>
      <c r="E74">
        <v>3</v>
      </c>
      <c r="F74">
        <v>3</v>
      </c>
      <c r="G74">
        <v>20</v>
      </c>
      <c r="H74">
        <v>4</v>
      </c>
      <c r="I74">
        <v>0.5</v>
      </c>
      <c r="J74" t="s">
        <v>44</v>
      </c>
      <c r="K74">
        <v>0</v>
      </c>
      <c r="L74" s="17">
        <f t="shared" ca="1" si="2"/>
        <v>46167</v>
      </c>
      <c r="M74" s="6" t="str">
        <f t="shared" ca="1" si="3"/>
        <v>25/05/yyyy a 31/05/yyyy</v>
      </c>
    </row>
    <row r="75" spans="1:13" x14ac:dyDescent="0.3">
      <c r="A75" t="s">
        <v>21</v>
      </c>
      <c r="B75" t="s">
        <v>22</v>
      </c>
      <c r="C75">
        <v>45862</v>
      </c>
      <c r="D75">
        <v>45869</v>
      </c>
      <c r="E75">
        <v>3</v>
      </c>
      <c r="F75">
        <v>3</v>
      </c>
      <c r="G75">
        <v>20</v>
      </c>
      <c r="H75">
        <v>4</v>
      </c>
      <c r="I75">
        <v>0.5</v>
      </c>
      <c r="J75" t="s">
        <v>45</v>
      </c>
      <c r="K75">
        <v>0</v>
      </c>
      <c r="L75" s="17">
        <f t="shared" ca="1" si="2"/>
        <v>46174</v>
      </c>
      <c r="M75" s="6" t="str">
        <f t="shared" ca="1" si="3"/>
        <v>01/06/yyyy a 07/06/yyyy</v>
      </c>
    </row>
    <row r="76" spans="1:13" x14ac:dyDescent="0.3">
      <c r="A76" t="s">
        <v>21</v>
      </c>
      <c r="B76" t="s">
        <v>22</v>
      </c>
      <c r="C76">
        <v>45862</v>
      </c>
      <c r="D76">
        <v>45869</v>
      </c>
      <c r="E76">
        <v>3</v>
      </c>
      <c r="F76">
        <v>3</v>
      </c>
      <c r="G76">
        <v>20</v>
      </c>
      <c r="H76">
        <v>4</v>
      </c>
      <c r="I76">
        <v>0.5</v>
      </c>
      <c r="J76" t="s">
        <v>46</v>
      </c>
      <c r="K76">
        <v>0</v>
      </c>
      <c r="L76" s="17">
        <f t="shared" ca="1" si="2"/>
        <v>46181</v>
      </c>
      <c r="M76" s="6" t="str">
        <f t="shared" ca="1" si="3"/>
        <v>08/06/yyyy a 14/06/yyyy</v>
      </c>
    </row>
    <row r="77" spans="1:13" x14ac:dyDescent="0.3">
      <c r="A77" t="s">
        <v>21</v>
      </c>
      <c r="B77" t="s">
        <v>22</v>
      </c>
      <c r="C77">
        <v>45862</v>
      </c>
      <c r="D77">
        <v>45869</v>
      </c>
      <c r="E77">
        <v>3</v>
      </c>
      <c r="F77">
        <v>3</v>
      </c>
      <c r="G77">
        <v>20</v>
      </c>
      <c r="H77">
        <v>4</v>
      </c>
      <c r="I77">
        <v>0.5</v>
      </c>
      <c r="J77" t="s">
        <v>47</v>
      </c>
      <c r="K77">
        <v>1</v>
      </c>
      <c r="L77" s="17">
        <f t="shared" ca="1" si="2"/>
        <v>46188</v>
      </c>
      <c r="M77" s="6" t="str">
        <f t="shared" ca="1" si="3"/>
        <v>15/06/yyyy a 21/06/yyyy</v>
      </c>
    </row>
    <row r="78" spans="1:13" x14ac:dyDescent="0.3">
      <c r="A78" t="s">
        <v>21</v>
      </c>
      <c r="B78" t="s">
        <v>22</v>
      </c>
      <c r="C78">
        <v>45862</v>
      </c>
      <c r="D78">
        <v>45869</v>
      </c>
      <c r="E78">
        <v>3</v>
      </c>
      <c r="F78">
        <v>3</v>
      </c>
      <c r="G78">
        <v>20</v>
      </c>
      <c r="H78">
        <v>4</v>
      </c>
      <c r="I78">
        <v>0.5</v>
      </c>
      <c r="J78" t="s">
        <v>48</v>
      </c>
      <c r="K78">
        <v>2</v>
      </c>
      <c r="L78" s="17">
        <f t="shared" ca="1" si="2"/>
        <v>46195</v>
      </c>
      <c r="M78" s="6" t="str">
        <f t="shared" ca="1" si="3"/>
        <v>22/06/yyyy a 28/06/yyyy</v>
      </c>
    </row>
    <row r="79" spans="1:13" x14ac:dyDescent="0.3">
      <c r="A79" t="s">
        <v>21</v>
      </c>
      <c r="B79" t="s">
        <v>22</v>
      </c>
      <c r="C79">
        <v>45862</v>
      </c>
      <c r="D79">
        <v>45869</v>
      </c>
      <c r="E79">
        <v>3</v>
      </c>
      <c r="F79">
        <v>3</v>
      </c>
      <c r="G79">
        <v>20</v>
      </c>
      <c r="H79">
        <v>4</v>
      </c>
      <c r="I79">
        <v>0.5</v>
      </c>
      <c r="J79" t="s">
        <v>49</v>
      </c>
      <c r="K79">
        <v>0</v>
      </c>
      <c r="L79" s="17">
        <f t="shared" ca="1" si="2"/>
        <v>46202</v>
      </c>
      <c r="M79" s="6" t="str">
        <f t="shared" ca="1" si="3"/>
        <v>29/06/yyyy a 05/07/yyyy</v>
      </c>
    </row>
    <row r="80" spans="1:13" x14ac:dyDescent="0.3">
      <c r="A80" t="s">
        <v>21</v>
      </c>
      <c r="B80" t="s">
        <v>22</v>
      </c>
      <c r="C80">
        <v>45862</v>
      </c>
      <c r="D80">
        <v>45869</v>
      </c>
      <c r="E80">
        <v>3</v>
      </c>
      <c r="F80">
        <v>3</v>
      </c>
      <c r="G80">
        <v>20</v>
      </c>
      <c r="H80">
        <v>4</v>
      </c>
      <c r="I80">
        <v>0.5</v>
      </c>
      <c r="J80" t="s">
        <v>50</v>
      </c>
      <c r="K80">
        <v>0</v>
      </c>
      <c r="L80" s="17">
        <f t="shared" ca="1" si="2"/>
        <v>46209</v>
      </c>
      <c r="M80" s="6" t="str">
        <f t="shared" ca="1" si="3"/>
        <v>06/07/yyyy a 12/07/yyyy</v>
      </c>
    </row>
    <row r="81" spans="1:13" x14ac:dyDescent="0.3">
      <c r="A81" t="s">
        <v>21</v>
      </c>
      <c r="B81" t="s">
        <v>22</v>
      </c>
      <c r="C81">
        <v>45862</v>
      </c>
      <c r="D81">
        <v>45869</v>
      </c>
      <c r="E81">
        <v>3</v>
      </c>
      <c r="F81">
        <v>3</v>
      </c>
      <c r="G81">
        <v>20</v>
      </c>
      <c r="H81">
        <v>4</v>
      </c>
      <c r="I81">
        <v>0.5</v>
      </c>
      <c r="J81" t="s">
        <v>51</v>
      </c>
      <c r="K81">
        <v>0</v>
      </c>
      <c r="L81" s="17">
        <f t="shared" ca="1" si="2"/>
        <v>46216</v>
      </c>
      <c r="M81" s="6" t="str">
        <f t="shared" ca="1" si="3"/>
        <v>13/07/yyyy a 19/07/yyyy</v>
      </c>
    </row>
    <row r="82" spans="1:13" x14ac:dyDescent="0.3">
      <c r="A82" t="s">
        <v>21</v>
      </c>
      <c r="B82" t="s">
        <v>22</v>
      </c>
      <c r="C82">
        <v>45862</v>
      </c>
      <c r="D82">
        <v>45869</v>
      </c>
      <c r="E82">
        <v>3</v>
      </c>
      <c r="F82">
        <v>3</v>
      </c>
      <c r="G82">
        <v>20</v>
      </c>
      <c r="H82">
        <v>4</v>
      </c>
      <c r="I82">
        <v>0.5</v>
      </c>
      <c r="J82" t="s">
        <v>52</v>
      </c>
      <c r="K82">
        <v>0</v>
      </c>
      <c r="L82" s="17">
        <f t="shared" ca="1" si="2"/>
        <v>46223</v>
      </c>
      <c r="M82" s="6" t="str">
        <f t="shared" ca="1" si="3"/>
        <v>20/07/yyyy a 26/07/yyyy</v>
      </c>
    </row>
    <row r="83" spans="1:13" x14ac:dyDescent="0.3">
      <c r="A83" t="s">
        <v>21</v>
      </c>
      <c r="B83" t="s">
        <v>22</v>
      </c>
      <c r="C83">
        <v>45862</v>
      </c>
      <c r="D83">
        <v>45869</v>
      </c>
      <c r="E83">
        <v>3</v>
      </c>
      <c r="F83">
        <v>3</v>
      </c>
      <c r="G83">
        <v>20</v>
      </c>
      <c r="H83">
        <v>4</v>
      </c>
      <c r="I83">
        <v>0.5</v>
      </c>
      <c r="J83" t="s">
        <v>53</v>
      </c>
      <c r="K83">
        <v>0</v>
      </c>
      <c r="L83" s="17">
        <f t="shared" ca="1" si="2"/>
        <v>46167</v>
      </c>
      <c r="M83" s="6" t="str">
        <f t="shared" ca="1" si="3"/>
        <v>25/05/yyyy a 31/05/yyyy</v>
      </c>
    </row>
    <row r="84" spans="1:13" x14ac:dyDescent="0.3">
      <c r="A84" t="s">
        <v>21</v>
      </c>
      <c r="B84" t="s">
        <v>22</v>
      </c>
      <c r="C84">
        <v>45862</v>
      </c>
      <c r="D84">
        <v>45869</v>
      </c>
      <c r="E84">
        <v>3</v>
      </c>
      <c r="F84">
        <v>3</v>
      </c>
      <c r="G84">
        <v>20</v>
      </c>
      <c r="H84">
        <v>4</v>
      </c>
      <c r="I84">
        <v>0.5</v>
      </c>
      <c r="J84" t="s">
        <v>54</v>
      </c>
      <c r="K84">
        <v>0</v>
      </c>
      <c r="L84" s="17">
        <f t="shared" ca="1" si="2"/>
        <v>46167</v>
      </c>
      <c r="M84" s="6" t="str">
        <f t="shared" ca="1" si="3"/>
        <v>25/05/yyyy a 31/05/yyyy</v>
      </c>
    </row>
    <row r="85" spans="1:13" x14ac:dyDescent="0.3">
      <c r="A85" t="s">
        <v>21</v>
      </c>
      <c r="B85" t="s">
        <v>22</v>
      </c>
      <c r="C85">
        <v>45862</v>
      </c>
      <c r="D85">
        <v>45869</v>
      </c>
      <c r="E85">
        <v>3</v>
      </c>
      <c r="F85">
        <v>3</v>
      </c>
      <c r="G85">
        <v>20</v>
      </c>
      <c r="H85">
        <v>4</v>
      </c>
      <c r="I85">
        <v>0.5</v>
      </c>
      <c r="J85" t="s">
        <v>55</v>
      </c>
      <c r="K85">
        <v>0</v>
      </c>
      <c r="L85" s="17">
        <f t="shared" ca="1" si="2"/>
        <v>46167</v>
      </c>
      <c r="M85" s="6" t="str">
        <f t="shared" ca="1" si="3"/>
        <v>25/05/yyyy a 31/05/yyyy</v>
      </c>
    </row>
    <row r="86" spans="1:13" x14ac:dyDescent="0.3">
      <c r="A86" t="s">
        <v>21</v>
      </c>
      <c r="B86" t="s">
        <v>18</v>
      </c>
      <c r="C86">
        <v>45848</v>
      </c>
      <c r="D86">
        <v>45855</v>
      </c>
      <c r="E86">
        <v>3</v>
      </c>
      <c r="F86">
        <v>3</v>
      </c>
      <c r="G86">
        <v>10</v>
      </c>
      <c r="H86">
        <v>2</v>
      </c>
      <c r="I86">
        <v>0.5</v>
      </c>
      <c r="J86" t="s">
        <v>44</v>
      </c>
      <c r="K86">
        <v>0</v>
      </c>
      <c r="L86" s="17">
        <f t="shared" ca="1" si="2"/>
        <v>46167</v>
      </c>
      <c r="M86" s="6" t="str">
        <f t="shared" ca="1" si="3"/>
        <v>25/05/yyyy a 31/05/yyyy</v>
      </c>
    </row>
    <row r="87" spans="1:13" x14ac:dyDescent="0.3">
      <c r="A87" t="s">
        <v>21</v>
      </c>
      <c r="B87" t="s">
        <v>18</v>
      </c>
      <c r="C87">
        <v>45848</v>
      </c>
      <c r="D87">
        <v>45855</v>
      </c>
      <c r="E87">
        <v>3</v>
      </c>
      <c r="F87">
        <v>3</v>
      </c>
      <c r="G87">
        <v>10</v>
      </c>
      <c r="H87">
        <v>2</v>
      </c>
      <c r="I87">
        <v>0.5</v>
      </c>
      <c r="J87" t="s">
        <v>45</v>
      </c>
      <c r="K87">
        <v>1</v>
      </c>
      <c r="L87" s="17">
        <f t="shared" ca="1" si="2"/>
        <v>46174</v>
      </c>
      <c r="M87" s="6" t="str">
        <f t="shared" ca="1" si="3"/>
        <v>01/06/yyyy a 07/06/yyyy</v>
      </c>
    </row>
    <row r="88" spans="1:13" x14ac:dyDescent="0.3">
      <c r="A88" t="s">
        <v>21</v>
      </c>
      <c r="B88" t="s">
        <v>18</v>
      </c>
      <c r="C88">
        <v>45848</v>
      </c>
      <c r="D88">
        <v>45855</v>
      </c>
      <c r="E88">
        <v>3</v>
      </c>
      <c r="F88">
        <v>3</v>
      </c>
      <c r="G88">
        <v>10</v>
      </c>
      <c r="H88">
        <v>2</v>
      </c>
      <c r="I88">
        <v>0.5</v>
      </c>
      <c r="J88" t="s">
        <v>46</v>
      </c>
      <c r="K88">
        <v>2</v>
      </c>
      <c r="L88" s="17">
        <f t="shared" ca="1" si="2"/>
        <v>46181</v>
      </c>
      <c r="M88" s="6" t="str">
        <f t="shared" ca="1" si="3"/>
        <v>08/06/yyyy a 14/06/yyyy</v>
      </c>
    </row>
    <row r="89" spans="1:13" x14ac:dyDescent="0.3">
      <c r="A89" t="s">
        <v>21</v>
      </c>
      <c r="B89" t="s">
        <v>18</v>
      </c>
      <c r="C89">
        <v>45848</v>
      </c>
      <c r="D89">
        <v>45855</v>
      </c>
      <c r="E89">
        <v>3</v>
      </c>
      <c r="F89">
        <v>3</v>
      </c>
      <c r="G89">
        <v>10</v>
      </c>
      <c r="H89">
        <v>2</v>
      </c>
      <c r="I89">
        <v>0.5</v>
      </c>
      <c r="J89" t="s">
        <v>47</v>
      </c>
      <c r="K89">
        <v>0</v>
      </c>
      <c r="L89" s="17">
        <f t="shared" ca="1" si="2"/>
        <v>46188</v>
      </c>
      <c r="M89" s="6" t="str">
        <f t="shared" ca="1" si="3"/>
        <v>15/06/yyyy a 21/06/yyyy</v>
      </c>
    </row>
    <row r="90" spans="1:13" x14ac:dyDescent="0.3">
      <c r="A90" t="s">
        <v>21</v>
      </c>
      <c r="B90" t="s">
        <v>18</v>
      </c>
      <c r="C90">
        <v>45848</v>
      </c>
      <c r="D90">
        <v>45855</v>
      </c>
      <c r="E90">
        <v>3</v>
      </c>
      <c r="F90">
        <v>3</v>
      </c>
      <c r="G90">
        <v>10</v>
      </c>
      <c r="H90">
        <v>2</v>
      </c>
      <c r="I90">
        <v>0.5</v>
      </c>
      <c r="J90" t="s">
        <v>48</v>
      </c>
      <c r="K90">
        <v>0</v>
      </c>
      <c r="L90" s="17">
        <f t="shared" ca="1" si="2"/>
        <v>46195</v>
      </c>
      <c r="M90" s="6" t="str">
        <f t="shared" ca="1" si="3"/>
        <v>22/06/yyyy a 28/06/yyyy</v>
      </c>
    </row>
    <row r="91" spans="1:13" x14ac:dyDescent="0.3">
      <c r="A91" t="s">
        <v>21</v>
      </c>
      <c r="B91" t="s">
        <v>18</v>
      </c>
      <c r="C91">
        <v>45848</v>
      </c>
      <c r="D91">
        <v>45855</v>
      </c>
      <c r="E91">
        <v>3</v>
      </c>
      <c r="F91">
        <v>3</v>
      </c>
      <c r="G91">
        <v>10</v>
      </c>
      <c r="H91">
        <v>2</v>
      </c>
      <c r="I91">
        <v>0.5</v>
      </c>
      <c r="J91" t="s">
        <v>49</v>
      </c>
      <c r="K91">
        <v>0</v>
      </c>
      <c r="L91" s="17">
        <f t="shared" ca="1" si="2"/>
        <v>46202</v>
      </c>
      <c r="M91" s="6" t="str">
        <f t="shared" ca="1" si="3"/>
        <v>29/06/yyyy a 05/07/yyyy</v>
      </c>
    </row>
    <row r="92" spans="1:13" x14ac:dyDescent="0.3">
      <c r="A92" t="s">
        <v>21</v>
      </c>
      <c r="B92" t="s">
        <v>18</v>
      </c>
      <c r="C92">
        <v>45848</v>
      </c>
      <c r="D92">
        <v>45855</v>
      </c>
      <c r="E92">
        <v>3</v>
      </c>
      <c r="F92">
        <v>3</v>
      </c>
      <c r="G92">
        <v>10</v>
      </c>
      <c r="H92">
        <v>2</v>
      </c>
      <c r="I92">
        <v>0.5</v>
      </c>
      <c r="J92" t="s">
        <v>50</v>
      </c>
      <c r="K92">
        <v>0</v>
      </c>
      <c r="L92" s="17">
        <f t="shared" ca="1" si="2"/>
        <v>46209</v>
      </c>
      <c r="M92" s="6" t="str">
        <f t="shared" ca="1" si="3"/>
        <v>06/07/yyyy a 12/07/yyyy</v>
      </c>
    </row>
    <row r="93" spans="1:13" x14ac:dyDescent="0.3">
      <c r="A93" t="s">
        <v>21</v>
      </c>
      <c r="B93" t="s">
        <v>18</v>
      </c>
      <c r="C93">
        <v>45848</v>
      </c>
      <c r="D93">
        <v>45855</v>
      </c>
      <c r="E93">
        <v>3</v>
      </c>
      <c r="F93">
        <v>3</v>
      </c>
      <c r="G93">
        <v>10</v>
      </c>
      <c r="H93">
        <v>2</v>
      </c>
      <c r="I93">
        <v>0.5</v>
      </c>
      <c r="J93" t="s">
        <v>51</v>
      </c>
      <c r="K93">
        <v>0</v>
      </c>
      <c r="L93" s="17">
        <f t="shared" ca="1" si="2"/>
        <v>46216</v>
      </c>
      <c r="M93" s="6" t="str">
        <f t="shared" ca="1" si="3"/>
        <v>13/07/yyyy a 19/07/yyyy</v>
      </c>
    </row>
    <row r="94" spans="1:13" x14ac:dyDescent="0.3">
      <c r="A94" t="s">
        <v>21</v>
      </c>
      <c r="B94" t="s">
        <v>18</v>
      </c>
      <c r="C94">
        <v>45848</v>
      </c>
      <c r="D94">
        <v>45855</v>
      </c>
      <c r="E94">
        <v>3</v>
      </c>
      <c r="F94">
        <v>3</v>
      </c>
      <c r="G94">
        <v>10</v>
      </c>
      <c r="H94">
        <v>2</v>
      </c>
      <c r="I94">
        <v>0.5</v>
      </c>
      <c r="J94" t="s">
        <v>52</v>
      </c>
      <c r="K94">
        <v>0</v>
      </c>
      <c r="L94" s="17">
        <f t="shared" ca="1" si="2"/>
        <v>46223</v>
      </c>
      <c r="M94" s="6" t="str">
        <f t="shared" ca="1" si="3"/>
        <v>20/07/yyyy a 26/07/yyyy</v>
      </c>
    </row>
    <row r="95" spans="1:13" x14ac:dyDescent="0.3">
      <c r="A95" t="s">
        <v>21</v>
      </c>
      <c r="B95" t="s">
        <v>18</v>
      </c>
      <c r="C95">
        <v>45848</v>
      </c>
      <c r="D95">
        <v>45855</v>
      </c>
      <c r="E95">
        <v>3</v>
      </c>
      <c r="F95">
        <v>3</v>
      </c>
      <c r="G95">
        <v>10</v>
      </c>
      <c r="H95">
        <v>2</v>
      </c>
      <c r="I95">
        <v>0.5</v>
      </c>
      <c r="J95" t="s">
        <v>53</v>
      </c>
      <c r="K95">
        <v>0</v>
      </c>
      <c r="L95" s="17">
        <f t="shared" ca="1" si="2"/>
        <v>46167</v>
      </c>
      <c r="M95" s="6" t="str">
        <f t="shared" ca="1" si="3"/>
        <v>25/05/yyyy a 31/05/yyyy</v>
      </c>
    </row>
    <row r="96" spans="1:13" x14ac:dyDescent="0.3">
      <c r="A96" t="s">
        <v>21</v>
      </c>
      <c r="B96" t="s">
        <v>18</v>
      </c>
      <c r="C96">
        <v>45848</v>
      </c>
      <c r="D96">
        <v>45855</v>
      </c>
      <c r="E96">
        <v>3</v>
      </c>
      <c r="F96">
        <v>3</v>
      </c>
      <c r="G96">
        <v>10</v>
      </c>
      <c r="H96">
        <v>2</v>
      </c>
      <c r="I96">
        <v>0.5</v>
      </c>
      <c r="J96" t="s">
        <v>54</v>
      </c>
      <c r="K96">
        <v>0</v>
      </c>
      <c r="L96" s="17">
        <f t="shared" ca="1" si="2"/>
        <v>46167</v>
      </c>
      <c r="M96" s="6" t="str">
        <f t="shared" ca="1" si="3"/>
        <v>25/05/yyyy a 31/05/yyyy</v>
      </c>
    </row>
    <row r="97" spans="1:13" x14ac:dyDescent="0.3">
      <c r="A97" t="s">
        <v>21</v>
      </c>
      <c r="B97" t="s">
        <v>18</v>
      </c>
      <c r="C97">
        <v>45848</v>
      </c>
      <c r="D97">
        <v>45855</v>
      </c>
      <c r="E97">
        <v>3</v>
      </c>
      <c r="F97">
        <v>3</v>
      </c>
      <c r="G97">
        <v>10</v>
      </c>
      <c r="H97">
        <v>2</v>
      </c>
      <c r="I97">
        <v>0.5</v>
      </c>
      <c r="J97" t="s">
        <v>55</v>
      </c>
      <c r="K97">
        <v>0</v>
      </c>
      <c r="L97" s="17">
        <f t="shared" ca="1" si="2"/>
        <v>46167</v>
      </c>
      <c r="M97" s="6" t="str">
        <f t="shared" ca="1" si="3"/>
        <v>25/05/yyyy a 31/05/yyyy</v>
      </c>
    </row>
    <row r="98" spans="1:13" x14ac:dyDescent="0.3">
      <c r="A98" t="s">
        <v>21</v>
      </c>
      <c r="B98" t="s">
        <v>20</v>
      </c>
      <c r="C98">
        <v>45848</v>
      </c>
      <c r="D98">
        <v>45855</v>
      </c>
      <c r="E98">
        <v>9</v>
      </c>
      <c r="F98">
        <v>9</v>
      </c>
      <c r="G98">
        <v>10</v>
      </c>
      <c r="H98">
        <v>2</v>
      </c>
      <c r="I98">
        <v>1.5</v>
      </c>
      <c r="J98" t="s">
        <v>44</v>
      </c>
      <c r="K98">
        <v>0</v>
      </c>
      <c r="L98" s="17">
        <f t="shared" ca="1" si="2"/>
        <v>46167</v>
      </c>
      <c r="M98" s="6" t="str">
        <f t="shared" ca="1" si="3"/>
        <v>25/05/yyyy a 31/05/yyyy</v>
      </c>
    </row>
    <row r="99" spans="1:13" x14ac:dyDescent="0.3">
      <c r="A99" t="s">
        <v>21</v>
      </c>
      <c r="B99" t="s">
        <v>20</v>
      </c>
      <c r="C99">
        <v>45848</v>
      </c>
      <c r="D99">
        <v>45855</v>
      </c>
      <c r="E99">
        <v>9</v>
      </c>
      <c r="F99">
        <v>9</v>
      </c>
      <c r="G99">
        <v>10</v>
      </c>
      <c r="H99">
        <v>2</v>
      </c>
      <c r="I99">
        <v>1.5</v>
      </c>
      <c r="J99" t="s">
        <v>45</v>
      </c>
      <c r="K99">
        <v>3</v>
      </c>
      <c r="L99" s="17">
        <f t="shared" ca="1" si="2"/>
        <v>46174</v>
      </c>
      <c r="M99" s="6" t="str">
        <f t="shared" ca="1" si="3"/>
        <v>01/06/yyyy a 07/06/yyyy</v>
      </c>
    </row>
    <row r="100" spans="1:13" x14ac:dyDescent="0.3">
      <c r="A100" t="s">
        <v>21</v>
      </c>
      <c r="B100" t="s">
        <v>20</v>
      </c>
      <c r="C100">
        <v>45848</v>
      </c>
      <c r="D100">
        <v>45855</v>
      </c>
      <c r="E100">
        <v>9</v>
      </c>
      <c r="F100">
        <v>9</v>
      </c>
      <c r="G100">
        <v>10</v>
      </c>
      <c r="H100">
        <v>2</v>
      </c>
      <c r="I100">
        <v>1.5</v>
      </c>
      <c r="J100" t="s">
        <v>46</v>
      </c>
      <c r="K100">
        <v>6</v>
      </c>
      <c r="L100" s="17">
        <f t="shared" ca="1" si="2"/>
        <v>46181</v>
      </c>
      <c r="M100" s="6" t="str">
        <f t="shared" ca="1" si="3"/>
        <v>08/06/yyyy a 14/06/yyyy</v>
      </c>
    </row>
    <row r="101" spans="1:13" x14ac:dyDescent="0.3">
      <c r="A101" t="s">
        <v>21</v>
      </c>
      <c r="B101" t="s">
        <v>20</v>
      </c>
      <c r="C101">
        <v>45848</v>
      </c>
      <c r="D101">
        <v>45855</v>
      </c>
      <c r="E101">
        <v>9</v>
      </c>
      <c r="F101">
        <v>9</v>
      </c>
      <c r="G101">
        <v>10</v>
      </c>
      <c r="H101">
        <v>2</v>
      </c>
      <c r="I101">
        <v>1.5</v>
      </c>
      <c r="J101" t="s">
        <v>47</v>
      </c>
      <c r="K101">
        <v>0</v>
      </c>
      <c r="L101" s="17">
        <f t="shared" ca="1" si="2"/>
        <v>46188</v>
      </c>
      <c r="M101" s="6" t="str">
        <f t="shared" ca="1" si="3"/>
        <v>15/06/yyyy a 21/06/yyyy</v>
      </c>
    </row>
    <row r="102" spans="1:13" x14ac:dyDescent="0.3">
      <c r="A102" t="s">
        <v>21</v>
      </c>
      <c r="B102" t="s">
        <v>20</v>
      </c>
      <c r="C102">
        <v>45848</v>
      </c>
      <c r="D102">
        <v>45855</v>
      </c>
      <c r="E102">
        <v>9</v>
      </c>
      <c r="F102">
        <v>9</v>
      </c>
      <c r="G102">
        <v>10</v>
      </c>
      <c r="H102">
        <v>2</v>
      </c>
      <c r="I102">
        <v>1.5</v>
      </c>
      <c r="J102" t="s">
        <v>48</v>
      </c>
      <c r="K102">
        <v>0</v>
      </c>
      <c r="L102" s="17">
        <f t="shared" ca="1" si="2"/>
        <v>46195</v>
      </c>
      <c r="M102" s="6" t="str">
        <f t="shared" ca="1" si="3"/>
        <v>22/06/yyyy a 28/06/yyyy</v>
      </c>
    </row>
    <row r="103" spans="1:13" x14ac:dyDescent="0.3">
      <c r="A103" t="s">
        <v>21</v>
      </c>
      <c r="B103" t="s">
        <v>20</v>
      </c>
      <c r="C103">
        <v>45848</v>
      </c>
      <c r="D103">
        <v>45855</v>
      </c>
      <c r="E103">
        <v>9</v>
      </c>
      <c r="F103">
        <v>9</v>
      </c>
      <c r="G103">
        <v>10</v>
      </c>
      <c r="H103">
        <v>2</v>
      </c>
      <c r="I103">
        <v>1.5</v>
      </c>
      <c r="J103" t="s">
        <v>49</v>
      </c>
      <c r="K103">
        <v>0</v>
      </c>
      <c r="L103" s="17">
        <f t="shared" ca="1" si="2"/>
        <v>46202</v>
      </c>
      <c r="M103" s="6" t="str">
        <f t="shared" ca="1" si="3"/>
        <v>29/06/yyyy a 05/07/yyyy</v>
      </c>
    </row>
    <row r="104" spans="1:13" x14ac:dyDescent="0.3">
      <c r="A104" t="s">
        <v>21</v>
      </c>
      <c r="B104" t="s">
        <v>20</v>
      </c>
      <c r="C104">
        <v>45848</v>
      </c>
      <c r="D104">
        <v>45855</v>
      </c>
      <c r="E104">
        <v>9</v>
      </c>
      <c r="F104">
        <v>9</v>
      </c>
      <c r="G104">
        <v>10</v>
      </c>
      <c r="H104">
        <v>2</v>
      </c>
      <c r="I104">
        <v>1.5</v>
      </c>
      <c r="J104" t="s">
        <v>50</v>
      </c>
      <c r="K104">
        <v>0</v>
      </c>
      <c r="L104" s="17">
        <f t="shared" ca="1" si="2"/>
        <v>46209</v>
      </c>
      <c r="M104" s="6" t="str">
        <f t="shared" ca="1" si="3"/>
        <v>06/07/yyyy a 12/07/yyyy</v>
      </c>
    </row>
    <row r="105" spans="1:13" x14ac:dyDescent="0.3">
      <c r="A105" t="s">
        <v>21</v>
      </c>
      <c r="B105" t="s">
        <v>20</v>
      </c>
      <c r="C105">
        <v>45848</v>
      </c>
      <c r="D105">
        <v>45855</v>
      </c>
      <c r="E105">
        <v>9</v>
      </c>
      <c r="F105">
        <v>9</v>
      </c>
      <c r="G105">
        <v>10</v>
      </c>
      <c r="H105">
        <v>2</v>
      </c>
      <c r="I105">
        <v>1.5</v>
      </c>
      <c r="J105" t="s">
        <v>51</v>
      </c>
      <c r="K105">
        <v>0</v>
      </c>
      <c r="L105" s="17">
        <f t="shared" ca="1" si="2"/>
        <v>46216</v>
      </c>
      <c r="M105" s="6" t="str">
        <f t="shared" ca="1" si="3"/>
        <v>13/07/yyyy a 19/07/yyyy</v>
      </c>
    </row>
    <row r="106" spans="1:13" x14ac:dyDescent="0.3">
      <c r="A106" t="s">
        <v>21</v>
      </c>
      <c r="B106" t="s">
        <v>20</v>
      </c>
      <c r="C106">
        <v>45848</v>
      </c>
      <c r="D106">
        <v>45855</v>
      </c>
      <c r="E106">
        <v>9</v>
      </c>
      <c r="F106">
        <v>9</v>
      </c>
      <c r="G106">
        <v>10</v>
      </c>
      <c r="H106">
        <v>2</v>
      </c>
      <c r="I106">
        <v>1.5</v>
      </c>
      <c r="J106" t="s">
        <v>52</v>
      </c>
      <c r="K106">
        <v>0</v>
      </c>
      <c r="L106" s="17">
        <f t="shared" ca="1" si="2"/>
        <v>46223</v>
      </c>
      <c r="M106" s="6" t="str">
        <f t="shared" ca="1" si="3"/>
        <v>20/07/yyyy a 26/07/yyyy</v>
      </c>
    </row>
    <row r="107" spans="1:13" x14ac:dyDescent="0.3">
      <c r="A107" t="s">
        <v>21</v>
      </c>
      <c r="B107" t="s">
        <v>20</v>
      </c>
      <c r="C107">
        <v>45848</v>
      </c>
      <c r="D107">
        <v>45855</v>
      </c>
      <c r="E107">
        <v>9</v>
      </c>
      <c r="F107">
        <v>9</v>
      </c>
      <c r="G107">
        <v>10</v>
      </c>
      <c r="H107">
        <v>2</v>
      </c>
      <c r="I107">
        <v>1.5</v>
      </c>
      <c r="J107" t="s">
        <v>53</v>
      </c>
      <c r="K107">
        <v>0</v>
      </c>
      <c r="L107" s="17">
        <f t="shared" ca="1" si="2"/>
        <v>46167</v>
      </c>
      <c r="M107" s="6" t="str">
        <f t="shared" ca="1" si="3"/>
        <v>25/05/yyyy a 31/05/yyyy</v>
      </c>
    </row>
    <row r="108" spans="1:13" x14ac:dyDescent="0.3">
      <c r="A108" t="s">
        <v>21</v>
      </c>
      <c r="B108" t="s">
        <v>20</v>
      </c>
      <c r="C108">
        <v>45848</v>
      </c>
      <c r="D108">
        <v>45855</v>
      </c>
      <c r="E108">
        <v>9</v>
      </c>
      <c r="F108">
        <v>9</v>
      </c>
      <c r="G108">
        <v>10</v>
      </c>
      <c r="H108">
        <v>2</v>
      </c>
      <c r="I108">
        <v>1.5</v>
      </c>
      <c r="J108" t="s">
        <v>54</v>
      </c>
      <c r="K108">
        <v>0</v>
      </c>
      <c r="L108" s="17">
        <f t="shared" ca="1" si="2"/>
        <v>46167</v>
      </c>
      <c r="M108" s="6" t="str">
        <f t="shared" ca="1" si="3"/>
        <v>25/05/yyyy a 31/05/yyyy</v>
      </c>
    </row>
    <row r="109" spans="1:13" x14ac:dyDescent="0.3">
      <c r="A109" t="s">
        <v>21</v>
      </c>
      <c r="B109" t="s">
        <v>20</v>
      </c>
      <c r="C109">
        <v>45848</v>
      </c>
      <c r="D109">
        <v>45855</v>
      </c>
      <c r="E109">
        <v>9</v>
      </c>
      <c r="F109">
        <v>9</v>
      </c>
      <c r="G109">
        <v>10</v>
      </c>
      <c r="H109">
        <v>2</v>
      </c>
      <c r="I109">
        <v>1.5</v>
      </c>
      <c r="J109" t="s">
        <v>55</v>
      </c>
      <c r="K109">
        <v>0</v>
      </c>
      <c r="L109" s="17">
        <f t="shared" ca="1" si="2"/>
        <v>46167</v>
      </c>
      <c r="M109" s="6" t="str">
        <f t="shared" ca="1" si="3"/>
        <v>25/05/yyyy a 31/05/yyyy</v>
      </c>
    </row>
    <row r="110" spans="1:13" x14ac:dyDescent="0.3">
      <c r="A110" t="s">
        <v>21</v>
      </c>
      <c r="B110" t="s">
        <v>18</v>
      </c>
      <c r="C110">
        <v>45862</v>
      </c>
      <c r="D110">
        <v>45869</v>
      </c>
      <c r="E110">
        <v>3</v>
      </c>
      <c r="F110">
        <v>3</v>
      </c>
      <c r="G110">
        <v>20</v>
      </c>
      <c r="H110">
        <v>4</v>
      </c>
      <c r="I110">
        <v>0.5</v>
      </c>
      <c r="J110" t="s">
        <v>44</v>
      </c>
      <c r="K110">
        <v>0</v>
      </c>
      <c r="L110" s="17">
        <f t="shared" ca="1" si="2"/>
        <v>46167</v>
      </c>
      <c r="M110" s="6" t="str">
        <f t="shared" ca="1" si="3"/>
        <v>25/05/yyyy a 31/05/yyyy</v>
      </c>
    </row>
    <row r="111" spans="1:13" x14ac:dyDescent="0.3">
      <c r="A111" t="s">
        <v>21</v>
      </c>
      <c r="B111" t="s">
        <v>18</v>
      </c>
      <c r="C111">
        <v>45862</v>
      </c>
      <c r="D111">
        <v>45869</v>
      </c>
      <c r="E111">
        <v>3</v>
      </c>
      <c r="F111">
        <v>3</v>
      </c>
      <c r="G111">
        <v>20</v>
      </c>
      <c r="H111">
        <v>4</v>
      </c>
      <c r="I111">
        <v>0.5</v>
      </c>
      <c r="J111" t="s">
        <v>45</v>
      </c>
      <c r="K111">
        <v>0</v>
      </c>
      <c r="L111" s="17">
        <f t="shared" ca="1" si="2"/>
        <v>46174</v>
      </c>
      <c r="M111" s="6" t="str">
        <f t="shared" ca="1" si="3"/>
        <v>01/06/yyyy a 07/06/yyyy</v>
      </c>
    </row>
    <row r="112" spans="1:13" x14ac:dyDescent="0.3">
      <c r="A112" t="s">
        <v>21</v>
      </c>
      <c r="B112" t="s">
        <v>18</v>
      </c>
      <c r="C112">
        <v>45862</v>
      </c>
      <c r="D112">
        <v>45869</v>
      </c>
      <c r="E112">
        <v>3</v>
      </c>
      <c r="F112">
        <v>3</v>
      </c>
      <c r="G112">
        <v>20</v>
      </c>
      <c r="H112">
        <v>4</v>
      </c>
      <c r="I112">
        <v>0.5</v>
      </c>
      <c r="J112" t="s">
        <v>46</v>
      </c>
      <c r="K112">
        <v>0</v>
      </c>
      <c r="L112" s="17">
        <f t="shared" ca="1" si="2"/>
        <v>46181</v>
      </c>
      <c r="M112" s="6" t="str">
        <f t="shared" ca="1" si="3"/>
        <v>08/06/yyyy a 14/06/yyyy</v>
      </c>
    </row>
    <row r="113" spans="1:13" x14ac:dyDescent="0.3">
      <c r="A113" t="s">
        <v>21</v>
      </c>
      <c r="B113" t="s">
        <v>18</v>
      </c>
      <c r="C113">
        <v>45862</v>
      </c>
      <c r="D113">
        <v>45869</v>
      </c>
      <c r="E113">
        <v>3</v>
      </c>
      <c r="F113">
        <v>3</v>
      </c>
      <c r="G113">
        <v>20</v>
      </c>
      <c r="H113">
        <v>4</v>
      </c>
      <c r="I113">
        <v>0.5</v>
      </c>
      <c r="J113" t="s">
        <v>47</v>
      </c>
      <c r="K113">
        <v>1</v>
      </c>
      <c r="L113" s="17">
        <f t="shared" ca="1" si="2"/>
        <v>46188</v>
      </c>
      <c r="M113" s="6" t="str">
        <f t="shared" ca="1" si="3"/>
        <v>15/06/yyyy a 21/06/yyyy</v>
      </c>
    </row>
    <row r="114" spans="1:13" x14ac:dyDescent="0.3">
      <c r="A114" t="s">
        <v>21</v>
      </c>
      <c r="B114" t="s">
        <v>18</v>
      </c>
      <c r="C114">
        <v>45862</v>
      </c>
      <c r="D114">
        <v>45869</v>
      </c>
      <c r="E114">
        <v>3</v>
      </c>
      <c r="F114">
        <v>3</v>
      </c>
      <c r="G114">
        <v>20</v>
      </c>
      <c r="H114">
        <v>4</v>
      </c>
      <c r="I114">
        <v>0.5</v>
      </c>
      <c r="J114" t="s">
        <v>48</v>
      </c>
      <c r="K114">
        <v>2</v>
      </c>
      <c r="L114" s="17">
        <f t="shared" ca="1" si="2"/>
        <v>46195</v>
      </c>
      <c r="M114" s="6" t="str">
        <f t="shared" ca="1" si="3"/>
        <v>22/06/yyyy a 28/06/yyyy</v>
      </c>
    </row>
    <row r="115" spans="1:13" x14ac:dyDescent="0.3">
      <c r="A115" t="s">
        <v>21</v>
      </c>
      <c r="B115" t="s">
        <v>18</v>
      </c>
      <c r="C115">
        <v>45862</v>
      </c>
      <c r="D115">
        <v>45869</v>
      </c>
      <c r="E115">
        <v>3</v>
      </c>
      <c r="F115">
        <v>3</v>
      </c>
      <c r="G115">
        <v>20</v>
      </c>
      <c r="H115">
        <v>4</v>
      </c>
      <c r="I115">
        <v>0.5</v>
      </c>
      <c r="J115" t="s">
        <v>49</v>
      </c>
      <c r="K115">
        <v>0</v>
      </c>
      <c r="L115" s="17">
        <f t="shared" ca="1" si="2"/>
        <v>46202</v>
      </c>
      <c r="M115" s="6" t="str">
        <f t="shared" ca="1" si="3"/>
        <v>29/06/yyyy a 05/07/yyyy</v>
      </c>
    </row>
    <row r="116" spans="1:13" x14ac:dyDescent="0.3">
      <c r="A116" t="s">
        <v>21</v>
      </c>
      <c r="B116" t="s">
        <v>18</v>
      </c>
      <c r="C116">
        <v>45862</v>
      </c>
      <c r="D116">
        <v>45869</v>
      </c>
      <c r="E116">
        <v>3</v>
      </c>
      <c r="F116">
        <v>3</v>
      </c>
      <c r="G116">
        <v>20</v>
      </c>
      <c r="H116">
        <v>4</v>
      </c>
      <c r="I116">
        <v>0.5</v>
      </c>
      <c r="J116" t="s">
        <v>50</v>
      </c>
      <c r="K116">
        <v>0</v>
      </c>
      <c r="L116" s="17">
        <f t="shared" ca="1" si="2"/>
        <v>46209</v>
      </c>
      <c r="M116" s="6" t="str">
        <f t="shared" ca="1" si="3"/>
        <v>06/07/yyyy a 12/07/yyyy</v>
      </c>
    </row>
    <row r="117" spans="1:13" x14ac:dyDescent="0.3">
      <c r="A117" t="s">
        <v>21</v>
      </c>
      <c r="B117" t="s">
        <v>18</v>
      </c>
      <c r="C117">
        <v>45862</v>
      </c>
      <c r="D117">
        <v>45869</v>
      </c>
      <c r="E117">
        <v>3</v>
      </c>
      <c r="F117">
        <v>3</v>
      </c>
      <c r="G117">
        <v>20</v>
      </c>
      <c r="H117">
        <v>4</v>
      </c>
      <c r="I117">
        <v>0.5</v>
      </c>
      <c r="J117" t="s">
        <v>51</v>
      </c>
      <c r="K117">
        <v>0</v>
      </c>
      <c r="L117" s="17">
        <f t="shared" ca="1" si="2"/>
        <v>46216</v>
      </c>
      <c r="M117" s="6" t="str">
        <f t="shared" ca="1" si="3"/>
        <v>13/07/yyyy a 19/07/yyyy</v>
      </c>
    </row>
    <row r="118" spans="1:13" x14ac:dyDescent="0.3">
      <c r="A118" t="s">
        <v>21</v>
      </c>
      <c r="B118" t="s">
        <v>18</v>
      </c>
      <c r="C118">
        <v>45862</v>
      </c>
      <c r="D118">
        <v>45869</v>
      </c>
      <c r="E118">
        <v>3</v>
      </c>
      <c r="F118">
        <v>3</v>
      </c>
      <c r="G118">
        <v>20</v>
      </c>
      <c r="H118">
        <v>4</v>
      </c>
      <c r="I118">
        <v>0.5</v>
      </c>
      <c r="J118" t="s">
        <v>52</v>
      </c>
      <c r="K118">
        <v>0</v>
      </c>
      <c r="L118" s="17">
        <f t="shared" ca="1" si="2"/>
        <v>46223</v>
      </c>
      <c r="M118" s="6" t="str">
        <f t="shared" ca="1" si="3"/>
        <v>20/07/yyyy a 26/07/yyyy</v>
      </c>
    </row>
    <row r="119" spans="1:13" x14ac:dyDescent="0.3">
      <c r="A119" t="s">
        <v>21</v>
      </c>
      <c r="B119" t="s">
        <v>18</v>
      </c>
      <c r="C119">
        <v>45862</v>
      </c>
      <c r="D119">
        <v>45869</v>
      </c>
      <c r="E119">
        <v>3</v>
      </c>
      <c r="F119">
        <v>3</v>
      </c>
      <c r="G119">
        <v>20</v>
      </c>
      <c r="H119">
        <v>4</v>
      </c>
      <c r="I119">
        <v>0.5</v>
      </c>
      <c r="J119" t="s">
        <v>53</v>
      </c>
      <c r="K119">
        <v>0</v>
      </c>
      <c r="L119" s="17">
        <f t="shared" ca="1" si="2"/>
        <v>46167</v>
      </c>
      <c r="M119" s="6" t="str">
        <f t="shared" ca="1" si="3"/>
        <v>25/05/yyyy a 31/05/yyyy</v>
      </c>
    </row>
    <row r="120" spans="1:13" x14ac:dyDescent="0.3">
      <c r="A120" t="s">
        <v>21</v>
      </c>
      <c r="B120" t="s">
        <v>18</v>
      </c>
      <c r="C120">
        <v>45862</v>
      </c>
      <c r="D120">
        <v>45869</v>
      </c>
      <c r="E120">
        <v>3</v>
      </c>
      <c r="F120">
        <v>3</v>
      </c>
      <c r="G120">
        <v>20</v>
      </c>
      <c r="H120">
        <v>4</v>
      </c>
      <c r="I120">
        <v>0.5</v>
      </c>
      <c r="J120" t="s">
        <v>54</v>
      </c>
      <c r="K120">
        <v>0</v>
      </c>
      <c r="L120" s="17">
        <f t="shared" ca="1" si="2"/>
        <v>46167</v>
      </c>
      <c r="M120" s="6" t="str">
        <f t="shared" ca="1" si="3"/>
        <v>25/05/yyyy a 31/05/yyyy</v>
      </c>
    </row>
    <row r="121" spans="1:13" x14ac:dyDescent="0.3">
      <c r="A121" t="s">
        <v>21</v>
      </c>
      <c r="B121" t="s">
        <v>18</v>
      </c>
      <c r="C121">
        <v>45862</v>
      </c>
      <c r="D121">
        <v>45869</v>
      </c>
      <c r="E121">
        <v>3</v>
      </c>
      <c r="F121">
        <v>3</v>
      </c>
      <c r="G121">
        <v>20</v>
      </c>
      <c r="H121">
        <v>4</v>
      </c>
      <c r="I121">
        <v>0.5</v>
      </c>
      <c r="J121" t="s">
        <v>55</v>
      </c>
      <c r="K121">
        <v>0</v>
      </c>
      <c r="L121" s="17">
        <f t="shared" ca="1" si="2"/>
        <v>46167</v>
      </c>
      <c r="M121" s="6" t="str">
        <f t="shared" ca="1" si="3"/>
        <v>25/05/yyyy a 31/05/yyyy</v>
      </c>
    </row>
    <row r="122" spans="1:13" x14ac:dyDescent="0.3">
      <c r="A122" t="s">
        <v>21</v>
      </c>
      <c r="B122" t="s">
        <v>11</v>
      </c>
      <c r="C122">
        <v>45862</v>
      </c>
      <c r="D122">
        <v>45869</v>
      </c>
      <c r="E122">
        <v>6</v>
      </c>
      <c r="F122">
        <v>6</v>
      </c>
      <c r="G122">
        <v>20</v>
      </c>
      <c r="H122">
        <v>4</v>
      </c>
      <c r="I122">
        <v>1</v>
      </c>
      <c r="J122" t="s">
        <v>44</v>
      </c>
      <c r="K122">
        <v>0</v>
      </c>
      <c r="L122" s="17">
        <f t="shared" ca="1" si="2"/>
        <v>46167</v>
      </c>
      <c r="M122" s="6" t="str">
        <f t="shared" ca="1" si="3"/>
        <v>25/05/yyyy a 31/05/yyyy</v>
      </c>
    </row>
    <row r="123" spans="1:13" x14ac:dyDescent="0.3">
      <c r="A123" t="s">
        <v>21</v>
      </c>
      <c r="B123" t="s">
        <v>11</v>
      </c>
      <c r="C123">
        <v>45862</v>
      </c>
      <c r="D123">
        <v>45869</v>
      </c>
      <c r="E123">
        <v>6</v>
      </c>
      <c r="F123">
        <v>6</v>
      </c>
      <c r="G123">
        <v>20</v>
      </c>
      <c r="H123">
        <v>4</v>
      </c>
      <c r="I123">
        <v>1</v>
      </c>
      <c r="J123" t="s">
        <v>45</v>
      </c>
      <c r="K123">
        <v>0</v>
      </c>
      <c r="L123" s="17">
        <f t="shared" ca="1" si="2"/>
        <v>46174</v>
      </c>
      <c r="M123" s="6" t="str">
        <f t="shared" ca="1" si="3"/>
        <v>01/06/yyyy a 07/06/yyyy</v>
      </c>
    </row>
    <row r="124" spans="1:13" x14ac:dyDescent="0.3">
      <c r="A124" t="s">
        <v>21</v>
      </c>
      <c r="B124" t="s">
        <v>11</v>
      </c>
      <c r="C124">
        <v>45862</v>
      </c>
      <c r="D124">
        <v>45869</v>
      </c>
      <c r="E124">
        <v>6</v>
      </c>
      <c r="F124">
        <v>6</v>
      </c>
      <c r="G124">
        <v>20</v>
      </c>
      <c r="H124">
        <v>4</v>
      </c>
      <c r="I124">
        <v>1</v>
      </c>
      <c r="J124" t="s">
        <v>46</v>
      </c>
      <c r="K124">
        <v>0</v>
      </c>
      <c r="L124" s="17">
        <f t="shared" ca="1" si="2"/>
        <v>46181</v>
      </c>
      <c r="M124" s="6" t="str">
        <f t="shared" ca="1" si="3"/>
        <v>08/06/yyyy a 14/06/yyyy</v>
      </c>
    </row>
    <row r="125" spans="1:13" x14ac:dyDescent="0.3">
      <c r="A125" t="s">
        <v>21</v>
      </c>
      <c r="B125" t="s">
        <v>11</v>
      </c>
      <c r="C125">
        <v>45862</v>
      </c>
      <c r="D125">
        <v>45869</v>
      </c>
      <c r="E125">
        <v>6</v>
      </c>
      <c r="F125">
        <v>6</v>
      </c>
      <c r="G125">
        <v>20</v>
      </c>
      <c r="H125">
        <v>4</v>
      </c>
      <c r="I125">
        <v>1</v>
      </c>
      <c r="J125" t="s">
        <v>47</v>
      </c>
      <c r="K125">
        <v>2</v>
      </c>
      <c r="L125" s="17">
        <f t="shared" ca="1" si="2"/>
        <v>46188</v>
      </c>
      <c r="M125" s="6" t="str">
        <f t="shared" ca="1" si="3"/>
        <v>15/06/yyyy a 21/06/yyyy</v>
      </c>
    </row>
    <row r="126" spans="1:13" x14ac:dyDescent="0.3">
      <c r="A126" t="s">
        <v>21</v>
      </c>
      <c r="B126" t="s">
        <v>11</v>
      </c>
      <c r="C126">
        <v>45862</v>
      </c>
      <c r="D126">
        <v>45869</v>
      </c>
      <c r="E126">
        <v>6</v>
      </c>
      <c r="F126">
        <v>6</v>
      </c>
      <c r="G126">
        <v>20</v>
      </c>
      <c r="H126">
        <v>4</v>
      </c>
      <c r="I126">
        <v>1</v>
      </c>
      <c r="J126" t="s">
        <v>48</v>
      </c>
      <c r="K126">
        <v>4</v>
      </c>
      <c r="L126" s="17">
        <f t="shared" ca="1" si="2"/>
        <v>46195</v>
      </c>
      <c r="M126" s="6" t="str">
        <f t="shared" ca="1" si="3"/>
        <v>22/06/yyyy a 28/06/yyyy</v>
      </c>
    </row>
    <row r="127" spans="1:13" x14ac:dyDescent="0.3">
      <c r="A127" t="s">
        <v>21</v>
      </c>
      <c r="B127" t="s">
        <v>11</v>
      </c>
      <c r="C127">
        <v>45862</v>
      </c>
      <c r="D127">
        <v>45869</v>
      </c>
      <c r="E127">
        <v>6</v>
      </c>
      <c r="F127">
        <v>6</v>
      </c>
      <c r="G127">
        <v>20</v>
      </c>
      <c r="H127">
        <v>4</v>
      </c>
      <c r="I127">
        <v>1</v>
      </c>
      <c r="J127" t="s">
        <v>49</v>
      </c>
      <c r="K127">
        <v>0</v>
      </c>
      <c r="L127" s="17">
        <f t="shared" ca="1" si="2"/>
        <v>46202</v>
      </c>
      <c r="M127" s="6" t="str">
        <f t="shared" ca="1" si="3"/>
        <v>29/06/yyyy a 05/07/yyyy</v>
      </c>
    </row>
    <row r="128" spans="1:13" x14ac:dyDescent="0.3">
      <c r="A128" t="s">
        <v>21</v>
      </c>
      <c r="B128" t="s">
        <v>11</v>
      </c>
      <c r="C128">
        <v>45862</v>
      </c>
      <c r="D128">
        <v>45869</v>
      </c>
      <c r="E128">
        <v>6</v>
      </c>
      <c r="F128">
        <v>6</v>
      </c>
      <c r="G128">
        <v>20</v>
      </c>
      <c r="H128">
        <v>4</v>
      </c>
      <c r="I128">
        <v>1</v>
      </c>
      <c r="J128" t="s">
        <v>50</v>
      </c>
      <c r="K128">
        <v>0</v>
      </c>
      <c r="L128" s="17">
        <f t="shared" ca="1" si="2"/>
        <v>46209</v>
      </c>
      <c r="M128" s="6" t="str">
        <f t="shared" ca="1" si="3"/>
        <v>06/07/yyyy a 12/07/yyyy</v>
      </c>
    </row>
    <row r="129" spans="1:13" x14ac:dyDescent="0.3">
      <c r="A129" t="s">
        <v>21</v>
      </c>
      <c r="B129" t="s">
        <v>11</v>
      </c>
      <c r="C129">
        <v>45862</v>
      </c>
      <c r="D129">
        <v>45869</v>
      </c>
      <c r="E129">
        <v>6</v>
      </c>
      <c r="F129">
        <v>6</v>
      </c>
      <c r="G129">
        <v>20</v>
      </c>
      <c r="H129">
        <v>4</v>
      </c>
      <c r="I129">
        <v>1</v>
      </c>
      <c r="J129" t="s">
        <v>51</v>
      </c>
      <c r="K129">
        <v>0</v>
      </c>
      <c r="L129" s="17">
        <f t="shared" ca="1" si="2"/>
        <v>46216</v>
      </c>
      <c r="M129" s="6" t="str">
        <f t="shared" ca="1" si="3"/>
        <v>13/07/yyyy a 19/07/yyyy</v>
      </c>
    </row>
    <row r="130" spans="1:13" x14ac:dyDescent="0.3">
      <c r="A130" t="s">
        <v>21</v>
      </c>
      <c r="B130" t="s">
        <v>11</v>
      </c>
      <c r="C130">
        <v>45862</v>
      </c>
      <c r="D130">
        <v>45869</v>
      </c>
      <c r="E130">
        <v>6</v>
      </c>
      <c r="F130">
        <v>6</v>
      </c>
      <c r="G130">
        <v>20</v>
      </c>
      <c r="H130">
        <v>4</v>
      </c>
      <c r="I130">
        <v>1</v>
      </c>
      <c r="J130" t="s">
        <v>52</v>
      </c>
      <c r="K130">
        <v>0</v>
      </c>
      <c r="L130" s="17">
        <f t="shared" ref="L130:L193" ca="1" si="4">IFERROR(VLOOKUP(J130,$O$2:$P$13,2),"")</f>
        <v>46223</v>
      </c>
      <c r="M130" s="6" t="str">
        <f t="shared" ref="M130:M193" ca="1" si="5">IFERROR(TEXT(L130,"dd/mm/yyyy")&amp; " a " &amp; (TEXT(L130+6,"dd/mm/yyyy")),"")</f>
        <v>20/07/yyyy a 26/07/yyyy</v>
      </c>
    </row>
    <row r="131" spans="1:13" x14ac:dyDescent="0.3">
      <c r="A131" t="s">
        <v>21</v>
      </c>
      <c r="B131" t="s">
        <v>11</v>
      </c>
      <c r="C131">
        <v>45862</v>
      </c>
      <c r="D131">
        <v>45869</v>
      </c>
      <c r="E131">
        <v>6</v>
      </c>
      <c r="F131">
        <v>6</v>
      </c>
      <c r="G131">
        <v>20</v>
      </c>
      <c r="H131">
        <v>4</v>
      </c>
      <c r="I131">
        <v>1</v>
      </c>
      <c r="J131" t="s">
        <v>53</v>
      </c>
      <c r="K131">
        <v>0</v>
      </c>
      <c r="L131" s="17">
        <f t="shared" ca="1" si="4"/>
        <v>46167</v>
      </c>
      <c r="M131" s="6" t="str">
        <f t="shared" ca="1" si="5"/>
        <v>25/05/yyyy a 31/05/yyyy</v>
      </c>
    </row>
    <row r="132" spans="1:13" x14ac:dyDescent="0.3">
      <c r="A132" t="s">
        <v>21</v>
      </c>
      <c r="B132" t="s">
        <v>11</v>
      </c>
      <c r="C132">
        <v>45862</v>
      </c>
      <c r="D132">
        <v>45869</v>
      </c>
      <c r="E132">
        <v>6</v>
      </c>
      <c r="F132">
        <v>6</v>
      </c>
      <c r="G132">
        <v>20</v>
      </c>
      <c r="H132">
        <v>4</v>
      </c>
      <c r="I132">
        <v>1</v>
      </c>
      <c r="J132" t="s">
        <v>54</v>
      </c>
      <c r="K132">
        <v>0</v>
      </c>
      <c r="L132" s="17">
        <f t="shared" ca="1" si="4"/>
        <v>46167</v>
      </c>
      <c r="M132" s="6" t="str">
        <f t="shared" ca="1" si="5"/>
        <v>25/05/yyyy a 31/05/yyyy</v>
      </c>
    </row>
    <row r="133" spans="1:13" x14ac:dyDescent="0.3">
      <c r="A133" t="s">
        <v>21</v>
      </c>
      <c r="B133" t="s">
        <v>11</v>
      </c>
      <c r="C133">
        <v>45862</v>
      </c>
      <c r="D133">
        <v>45869</v>
      </c>
      <c r="E133">
        <v>6</v>
      </c>
      <c r="F133">
        <v>6</v>
      </c>
      <c r="G133">
        <v>20</v>
      </c>
      <c r="H133">
        <v>4</v>
      </c>
      <c r="I133">
        <v>1</v>
      </c>
      <c r="J133" t="s">
        <v>55</v>
      </c>
      <c r="K133">
        <v>0</v>
      </c>
      <c r="L133" s="17">
        <f t="shared" ca="1" si="4"/>
        <v>46167</v>
      </c>
      <c r="M133" s="6" t="str">
        <f t="shared" ca="1" si="5"/>
        <v>25/05/yyyy a 31/05/yyyy</v>
      </c>
    </row>
    <row r="134" spans="1:13" x14ac:dyDescent="0.3">
      <c r="A134" t="s">
        <v>10</v>
      </c>
      <c r="B134" t="s">
        <v>11</v>
      </c>
      <c r="C134">
        <v>45841</v>
      </c>
      <c r="D134">
        <v>45847</v>
      </c>
      <c r="E134">
        <v>6</v>
      </c>
      <c r="F134">
        <v>2.4000000000000004</v>
      </c>
      <c r="G134">
        <v>4</v>
      </c>
      <c r="H134">
        <v>0.8</v>
      </c>
      <c r="I134">
        <v>1.2</v>
      </c>
      <c r="J134" t="s">
        <v>44</v>
      </c>
      <c r="K134">
        <v>4.4408920985006262E-16</v>
      </c>
      <c r="L134" s="17">
        <f t="shared" ca="1" si="4"/>
        <v>46167</v>
      </c>
      <c r="M134" s="6" t="str">
        <f t="shared" ca="1" si="5"/>
        <v>25/05/yyyy a 31/05/yyyy</v>
      </c>
    </row>
    <row r="135" spans="1:13" x14ac:dyDescent="0.3">
      <c r="A135" t="s">
        <v>10</v>
      </c>
      <c r="B135" t="s">
        <v>11</v>
      </c>
      <c r="C135">
        <v>45841</v>
      </c>
      <c r="D135">
        <v>45847</v>
      </c>
      <c r="E135">
        <v>6</v>
      </c>
      <c r="F135">
        <v>2.4000000000000004</v>
      </c>
      <c r="G135">
        <v>4</v>
      </c>
      <c r="H135">
        <v>0.8</v>
      </c>
      <c r="I135">
        <v>1.2</v>
      </c>
      <c r="J135" t="s">
        <v>45</v>
      </c>
      <c r="K135">
        <v>3.6</v>
      </c>
      <c r="L135" s="17">
        <f t="shared" ca="1" si="4"/>
        <v>46174</v>
      </c>
      <c r="M135" s="6" t="str">
        <f t="shared" ca="1" si="5"/>
        <v>01/06/yyyy a 07/06/yyyy</v>
      </c>
    </row>
    <row r="136" spans="1:13" x14ac:dyDescent="0.3">
      <c r="A136" t="s">
        <v>10</v>
      </c>
      <c r="B136" t="s">
        <v>11</v>
      </c>
      <c r="C136">
        <v>45841</v>
      </c>
      <c r="D136">
        <v>45847</v>
      </c>
      <c r="E136">
        <v>6</v>
      </c>
      <c r="F136">
        <v>2.4000000000000004</v>
      </c>
      <c r="G136">
        <v>4</v>
      </c>
      <c r="H136">
        <v>0.8</v>
      </c>
      <c r="I136">
        <v>1.2</v>
      </c>
      <c r="J136" t="s">
        <v>46</v>
      </c>
      <c r="K136">
        <v>0</v>
      </c>
      <c r="L136" s="17">
        <f t="shared" ca="1" si="4"/>
        <v>46181</v>
      </c>
      <c r="M136" s="6" t="str">
        <f t="shared" ca="1" si="5"/>
        <v>08/06/yyyy a 14/06/yyyy</v>
      </c>
    </row>
    <row r="137" spans="1:13" x14ac:dyDescent="0.3">
      <c r="A137" t="s">
        <v>10</v>
      </c>
      <c r="B137" t="s">
        <v>11</v>
      </c>
      <c r="C137">
        <v>45841</v>
      </c>
      <c r="D137">
        <v>45847</v>
      </c>
      <c r="E137">
        <v>6</v>
      </c>
      <c r="F137">
        <v>2.4000000000000004</v>
      </c>
      <c r="G137">
        <v>4</v>
      </c>
      <c r="H137">
        <v>0.8</v>
      </c>
      <c r="I137">
        <v>1.2</v>
      </c>
      <c r="J137" t="s">
        <v>47</v>
      </c>
      <c r="K137">
        <v>0</v>
      </c>
      <c r="L137" s="17">
        <f t="shared" ca="1" si="4"/>
        <v>46188</v>
      </c>
      <c r="M137" s="6" t="str">
        <f t="shared" ca="1" si="5"/>
        <v>15/06/yyyy a 21/06/yyyy</v>
      </c>
    </row>
    <row r="138" spans="1:13" x14ac:dyDescent="0.3">
      <c r="A138" t="s">
        <v>10</v>
      </c>
      <c r="B138" t="s">
        <v>11</v>
      </c>
      <c r="C138">
        <v>45841</v>
      </c>
      <c r="D138">
        <v>45847</v>
      </c>
      <c r="E138">
        <v>6</v>
      </c>
      <c r="F138">
        <v>2.4000000000000004</v>
      </c>
      <c r="G138">
        <v>4</v>
      </c>
      <c r="H138">
        <v>0.8</v>
      </c>
      <c r="I138">
        <v>1.2</v>
      </c>
      <c r="J138" t="s">
        <v>48</v>
      </c>
      <c r="K138">
        <v>0</v>
      </c>
      <c r="L138" s="17">
        <f t="shared" ca="1" si="4"/>
        <v>46195</v>
      </c>
      <c r="M138" s="6" t="str">
        <f t="shared" ca="1" si="5"/>
        <v>22/06/yyyy a 28/06/yyyy</v>
      </c>
    </row>
    <row r="139" spans="1:13" x14ac:dyDescent="0.3">
      <c r="A139" t="s">
        <v>10</v>
      </c>
      <c r="B139" t="s">
        <v>11</v>
      </c>
      <c r="C139">
        <v>45841</v>
      </c>
      <c r="D139">
        <v>45847</v>
      </c>
      <c r="E139">
        <v>6</v>
      </c>
      <c r="F139">
        <v>2.4000000000000004</v>
      </c>
      <c r="G139">
        <v>4</v>
      </c>
      <c r="H139">
        <v>0.8</v>
      </c>
      <c r="I139">
        <v>1.2</v>
      </c>
      <c r="J139" t="s">
        <v>49</v>
      </c>
      <c r="K139">
        <v>0</v>
      </c>
      <c r="L139" s="17">
        <f t="shared" ca="1" si="4"/>
        <v>46202</v>
      </c>
      <c r="M139" s="6" t="str">
        <f t="shared" ca="1" si="5"/>
        <v>29/06/yyyy a 05/07/yyyy</v>
      </c>
    </row>
    <row r="140" spans="1:13" x14ac:dyDescent="0.3">
      <c r="A140" t="s">
        <v>10</v>
      </c>
      <c r="B140" t="s">
        <v>11</v>
      </c>
      <c r="C140">
        <v>45841</v>
      </c>
      <c r="D140">
        <v>45847</v>
      </c>
      <c r="E140">
        <v>6</v>
      </c>
      <c r="F140">
        <v>2.4000000000000004</v>
      </c>
      <c r="G140">
        <v>4</v>
      </c>
      <c r="H140">
        <v>0.8</v>
      </c>
      <c r="I140">
        <v>1.2</v>
      </c>
      <c r="J140" t="s">
        <v>50</v>
      </c>
      <c r="K140">
        <v>0</v>
      </c>
      <c r="L140" s="17">
        <f t="shared" ca="1" si="4"/>
        <v>46209</v>
      </c>
      <c r="M140" s="6" t="str">
        <f t="shared" ca="1" si="5"/>
        <v>06/07/yyyy a 12/07/yyyy</v>
      </c>
    </row>
    <row r="141" spans="1:13" x14ac:dyDescent="0.3">
      <c r="A141" t="s">
        <v>10</v>
      </c>
      <c r="B141" t="s">
        <v>11</v>
      </c>
      <c r="C141">
        <v>45841</v>
      </c>
      <c r="D141">
        <v>45847</v>
      </c>
      <c r="E141">
        <v>6</v>
      </c>
      <c r="F141">
        <v>2.4000000000000004</v>
      </c>
      <c r="G141">
        <v>4</v>
      </c>
      <c r="H141">
        <v>0.8</v>
      </c>
      <c r="I141">
        <v>1.2</v>
      </c>
      <c r="J141" t="s">
        <v>51</v>
      </c>
      <c r="K141">
        <v>0</v>
      </c>
      <c r="L141" s="17">
        <f t="shared" ca="1" si="4"/>
        <v>46216</v>
      </c>
      <c r="M141" s="6" t="str">
        <f t="shared" ca="1" si="5"/>
        <v>13/07/yyyy a 19/07/yyyy</v>
      </c>
    </row>
    <row r="142" spans="1:13" x14ac:dyDescent="0.3">
      <c r="A142" t="s">
        <v>10</v>
      </c>
      <c r="B142" t="s">
        <v>11</v>
      </c>
      <c r="C142">
        <v>45841</v>
      </c>
      <c r="D142">
        <v>45847</v>
      </c>
      <c r="E142">
        <v>6</v>
      </c>
      <c r="F142">
        <v>2.4000000000000004</v>
      </c>
      <c r="G142">
        <v>4</v>
      </c>
      <c r="H142">
        <v>0.8</v>
      </c>
      <c r="I142">
        <v>1.2</v>
      </c>
      <c r="J142" t="s">
        <v>52</v>
      </c>
      <c r="K142">
        <v>0</v>
      </c>
      <c r="L142" s="17">
        <f t="shared" ca="1" si="4"/>
        <v>46223</v>
      </c>
      <c r="M142" s="6" t="str">
        <f t="shared" ca="1" si="5"/>
        <v>20/07/yyyy a 26/07/yyyy</v>
      </c>
    </row>
    <row r="143" spans="1:13" x14ac:dyDescent="0.3">
      <c r="A143" t="s">
        <v>10</v>
      </c>
      <c r="B143" t="s">
        <v>11</v>
      </c>
      <c r="C143">
        <v>45841</v>
      </c>
      <c r="D143">
        <v>45847</v>
      </c>
      <c r="E143">
        <v>6</v>
      </c>
      <c r="F143">
        <v>2.4000000000000004</v>
      </c>
      <c r="G143">
        <v>4</v>
      </c>
      <c r="H143">
        <v>0.8</v>
      </c>
      <c r="I143">
        <v>1.2</v>
      </c>
      <c r="J143" t="s">
        <v>53</v>
      </c>
      <c r="K143">
        <v>0</v>
      </c>
      <c r="L143" s="17">
        <f t="shared" ca="1" si="4"/>
        <v>46167</v>
      </c>
      <c r="M143" s="6" t="str">
        <f t="shared" ca="1" si="5"/>
        <v>25/05/yyyy a 31/05/yyyy</v>
      </c>
    </row>
    <row r="144" spans="1:13" x14ac:dyDescent="0.3">
      <c r="A144" t="s">
        <v>10</v>
      </c>
      <c r="B144" t="s">
        <v>11</v>
      </c>
      <c r="C144">
        <v>45841</v>
      </c>
      <c r="D144">
        <v>45847</v>
      </c>
      <c r="E144">
        <v>6</v>
      </c>
      <c r="F144">
        <v>2.4000000000000004</v>
      </c>
      <c r="G144">
        <v>4</v>
      </c>
      <c r="H144">
        <v>0.8</v>
      </c>
      <c r="I144">
        <v>1.2</v>
      </c>
      <c r="J144" t="s">
        <v>54</v>
      </c>
      <c r="K144">
        <v>0</v>
      </c>
      <c r="L144" s="17">
        <f t="shared" ca="1" si="4"/>
        <v>46167</v>
      </c>
      <c r="M144" s="6" t="str">
        <f t="shared" ca="1" si="5"/>
        <v>25/05/yyyy a 31/05/yyyy</v>
      </c>
    </row>
    <row r="145" spans="1:13" x14ac:dyDescent="0.3">
      <c r="A145" t="s">
        <v>10</v>
      </c>
      <c r="B145" t="s">
        <v>11</v>
      </c>
      <c r="C145">
        <v>45841</v>
      </c>
      <c r="D145">
        <v>45847</v>
      </c>
      <c r="E145">
        <v>6</v>
      </c>
      <c r="F145">
        <v>2.4000000000000004</v>
      </c>
      <c r="G145">
        <v>4</v>
      </c>
      <c r="H145">
        <v>0.8</v>
      </c>
      <c r="I145">
        <v>1.2</v>
      </c>
      <c r="J145" t="s">
        <v>55</v>
      </c>
      <c r="K145">
        <v>0</v>
      </c>
      <c r="L145" s="17">
        <f t="shared" ca="1" si="4"/>
        <v>46167</v>
      </c>
      <c r="M145" s="6" t="str">
        <f t="shared" ca="1" si="5"/>
        <v>25/05/yyyy a 31/05/yyyy</v>
      </c>
    </row>
    <row r="146" spans="1:13" x14ac:dyDescent="0.3">
      <c r="A146" t="s">
        <v>10</v>
      </c>
      <c r="B146" t="s">
        <v>28</v>
      </c>
      <c r="C146">
        <v>45841</v>
      </c>
      <c r="D146">
        <v>45852</v>
      </c>
      <c r="E146">
        <v>4</v>
      </c>
      <c r="F146">
        <v>2.5</v>
      </c>
      <c r="G146">
        <v>7</v>
      </c>
      <c r="H146">
        <v>1.4</v>
      </c>
      <c r="I146">
        <v>0.5</v>
      </c>
      <c r="J146" t="s">
        <v>44</v>
      </c>
      <c r="K146">
        <v>0</v>
      </c>
      <c r="L146" s="17">
        <f t="shared" ca="1" si="4"/>
        <v>46167</v>
      </c>
      <c r="M146" s="6" t="str">
        <f t="shared" ca="1" si="5"/>
        <v>25/05/yyyy a 31/05/yyyy</v>
      </c>
    </row>
    <row r="147" spans="1:13" x14ac:dyDescent="0.3">
      <c r="A147" t="s">
        <v>10</v>
      </c>
      <c r="B147" t="s">
        <v>28</v>
      </c>
      <c r="C147">
        <v>45841</v>
      </c>
      <c r="D147">
        <v>45852</v>
      </c>
      <c r="E147">
        <v>4</v>
      </c>
      <c r="F147">
        <v>2.5</v>
      </c>
      <c r="G147">
        <v>7</v>
      </c>
      <c r="H147">
        <v>1.4</v>
      </c>
      <c r="I147">
        <v>0.5</v>
      </c>
      <c r="J147" t="s">
        <v>45</v>
      </c>
      <c r="K147">
        <v>2.5</v>
      </c>
      <c r="L147" s="17">
        <f t="shared" ca="1" si="4"/>
        <v>46174</v>
      </c>
      <c r="M147" s="6" t="str">
        <f t="shared" ca="1" si="5"/>
        <v>01/06/yyyy a 07/06/yyyy</v>
      </c>
    </row>
    <row r="148" spans="1:13" x14ac:dyDescent="0.3">
      <c r="A148" t="s">
        <v>10</v>
      </c>
      <c r="B148" t="s">
        <v>28</v>
      </c>
      <c r="C148">
        <v>45841</v>
      </c>
      <c r="D148">
        <v>45852</v>
      </c>
      <c r="E148">
        <v>4</v>
      </c>
      <c r="F148">
        <v>2.5</v>
      </c>
      <c r="G148">
        <v>7</v>
      </c>
      <c r="H148">
        <v>1.4</v>
      </c>
      <c r="I148">
        <v>0.5</v>
      </c>
      <c r="J148" t="s">
        <v>46</v>
      </c>
      <c r="K148">
        <v>0.5</v>
      </c>
      <c r="L148" s="17">
        <f t="shared" ca="1" si="4"/>
        <v>46181</v>
      </c>
      <c r="M148" s="6" t="str">
        <f t="shared" ca="1" si="5"/>
        <v>08/06/yyyy a 14/06/yyyy</v>
      </c>
    </row>
    <row r="149" spans="1:13" x14ac:dyDescent="0.3">
      <c r="A149" t="s">
        <v>10</v>
      </c>
      <c r="B149" t="s">
        <v>28</v>
      </c>
      <c r="C149">
        <v>45841</v>
      </c>
      <c r="D149">
        <v>45852</v>
      </c>
      <c r="E149">
        <v>4</v>
      </c>
      <c r="F149">
        <v>2.5</v>
      </c>
      <c r="G149">
        <v>7</v>
      </c>
      <c r="H149">
        <v>1.4</v>
      </c>
      <c r="I149">
        <v>0.5</v>
      </c>
      <c r="J149" t="s">
        <v>47</v>
      </c>
      <c r="K149">
        <v>0</v>
      </c>
      <c r="L149" s="17">
        <f t="shared" ca="1" si="4"/>
        <v>46188</v>
      </c>
      <c r="M149" s="6" t="str">
        <f t="shared" ca="1" si="5"/>
        <v>15/06/yyyy a 21/06/yyyy</v>
      </c>
    </row>
    <row r="150" spans="1:13" x14ac:dyDescent="0.3">
      <c r="A150" t="s">
        <v>10</v>
      </c>
      <c r="B150" t="s">
        <v>28</v>
      </c>
      <c r="C150">
        <v>45841</v>
      </c>
      <c r="D150">
        <v>45852</v>
      </c>
      <c r="E150">
        <v>4</v>
      </c>
      <c r="F150">
        <v>2.5</v>
      </c>
      <c r="G150">
        <v>7</v>
      </c>
      <c r="H150">
        <v>1.4</v>
      </c>
      <c r="I150">
        <v>0.5</v>
      </c>
      <c r="J150" t="s">
        <v>48</v>
      </c>
      <c r="K150">
        <v>0</v>
      </c>
      <c r="L150" s="17">
        <f t="shared" ca="1" si="4"/>
        <v>46195</v>
      </c>
      <c r="M150" s="6" t="str">
        <f t="shared" ca="1" si="5"/>
        <v>22/06/yyyy a 28/06/yyyy</v>
      </c>
    </row>
    <row r="151" spans="1:13" x14ac:dyDescent="0.3">
      <c r="A151" t="s">
        <v>10</v>
      </c>
      <c r="B151" t="s">
        <v>28</v>
      </c>
      <c r="C151">
        <v>45841</v>
      </c>
      <c r="D151">
        <v>45852</v>
      </c>
      <c r="E151">
        <v>4</v>
      </c>
      <c r="F151">
        <v>2.5</v>
      </c>
      <c r="G151">
        <v>7</v>
      </c>
      <c r="H151">
        <v>1.4</v>
      </c>
      <c r="I151">
        <v>0.5</v>
      </c>
      <c r="J151" t="s">
        <v>49</v>
      </c>
      <c r="K151">
        <v>0</v>
      </c>
      <c r="L151" s="17">
        <f t="shared" ca="1" si="4"/>
        <v>46202</v>
      </c>
      <c r="M151" s="6" t="str">
        <f t="shared" ca="1" si="5"/>
        <v>29/06/yyyy a 05/07/yyyy</v>
      </c>
    </row>
    <row r="152" spans="1:13" x14ac:dyDescent="0.3">
      <c r="A152" t="s">
        <v>10</v>
      </c>
      <c r="B152" t="s">
        <v>28</v>
      </c>
      <c r="C152">
        <v>45841</v>
      </c>
      <c r="D152">
        <v>45852</v>
      </c>
      <c r="E152">
        <v>4</v>
      </c>
      <c r="F152">
        <v>2.5</v>
      </c>
      <c r="G152">
        <v>7</v>
      </c>
      <c r="H152">
        <v>1.4</v>
      </c>
      <c r="I152">
        <v>0.5</v>
      </c>
      <c r="J152" t="s">
        <v>50</v>
      </c>
      <c r="K152">
        <v>0</v>
      </c>
      <c r="L152" s="17">
        <f t="shared" ca="1" si="4"/>
        <v>46209</v>
      </c>
      <c r="M152" s="6" t="str">
        <f t="shared" ca="1" si="5"/>
        <v>06/07/yyyy a 12/07/yyyy</v>
      </c>
    </row>
    <row r="153" spans="1:13" x14ac:dyDescent="0.3">
      <c r="A153" t="s">
        <v>10</v>
      </c>
      <c r="B153" t="s">
        <v>28</v>
      </c>
      <c r="C153">
        <v>45841</v>
      </c>
      <c r="D153">
        <v>45852</v>
      </c>
      <c r="E153">
        <v>4</v>
      </c>
      <c r="F153">
        <v>2.5</v>
      </c>
      <c r="G153">
        <v>7</v>
      </c>
      <c r="H153">
        <v>1.4</v>
      </c>
      <c r="I153">
        <v>0.5</v>
      </c>
      <c r="J153" t="s">
        <v>51</v>
      </c>
      <c r="K153">
        <v>0</v>
      </c>
      <c r="L153" s="17">
        <f t="shared" ca="1" si="4"/>
        <v>46216</v>
      </c>
      <c r="M153" s="6" t="str">
        <f t="shared" ca="1" si="5"/>
        <v>13/07/yyyy a 19/07/yyyy</v>
      </c>
    </row>
    <row r="154" spans="1:13" x14ac:dyDescent="0.3">
      <c r="A154" t="s">
        <v>10</v>
      </c>
      <c r="B154" t="s">
        <v>28</v>
      </c>
      <c r="C154">
        <v>45841</v>
      </c>
      <c r="D154">
        <v>45852</v>
      </c>
      <c r="E154">
        <v>4</v>
      </c>
      <c r="F154">
        <v>2.5</v>
      </c>
      <c r="G154">
        <v>7</v>
      </c>
      <c r="H154">
        <v>1.4</v>
      </c>
      <c r="I154">
        <v>0.5</v>
      </c>
      <c r="J154" t="s">
        <v>52</v>
      </c>
      <c r="K154">
        <v>0</v>
      </c>
      <c r="L154" s="17">
        <f t="shared" ca="1" si="4"/>
        <v>46223</v>
      </c>
      <c r="M154" s="6" t="str">
        <f t="shared" ca="1" si="5"/>
        <v>20/07/yyyy a 26/07/yyyy</v>
      </c>
    </row>
    <row r="155" spans="1:13" x14ac:dyDescent="0.3">
      <c r="A155" t="s">
        <v>10</v>
      </c>
      <c r="B155" t="s">
        <v>28</v>
      </c>
      <c r="C155">
        <v>45841</v>
      </c>
      <c r="D155">
        <v>45852</v>
      </c>
      <c r="E155">
        <v>4</v>
      </c>
      <c r="F155">
        <v>2.5</v>
      </c>
      <c r="G155">
        <v>7</v>
      </c>
      <c r="H155">
        <v>1.4</v>
      </c>
      <c r="I155">
        <v>0.5</v>
      </c>
      <c r="J155" t="s">
        <v>53</v>
      </c>
      <c r="K155">
        <v>0</v>
      </c>
      <c r="L155" s="17">
        <f t="shared" ca="1" si="4"/>
        <v>46167</v>
      </c>
      <c r="M155" s="6" t="str">
        <f t="shared" ca="1" si="5"/>
        <v>25/05/yyyy a 31/05/yyyy</v>
      </c>
    </row>
    <row r="156" spans="1:13" x14ac:dyDescent="0.3">
      <c r="A156" t="s">
        <v>10</v>
      </c>
      <c r="B156" t="s">
        <v>28</v>
      </c>
      <c r="C156">
        <v>45841</v>
      </c>
      <c r="D156">
        <v>45852</v>
      </c>
      <c r="E156">
        <v>4</v>
      </c>
      <c r="F156">
        <v>2.5</v>
      </c>
      <c r="G156">
        <v>7</v>
      </c>
      <c r="H156">
        <v>1.4</v>
      </c>
      <c r="I156">
        <v>0.5</v>
      </c>
      <c r="J156" t="s">
        <v>54</v>
      </c>
      <c r="K156">
        <v>0</v>
      </c>
      <c r="L156" s="17">
        <f t="shared" ca="1" si="4"/>
        <v>46167</v>
      </c>
      <c r="M156" s="6" t="str">
        <f t="shared" ca="1" si="5"/>
        <v>25/05/yyyy a 31/05/yyyy</v>
      </c>
    </row>
    <row r="157" spans="1:13" x14ac:dyDescent="0.3">
      <c r="A157" t="s">
        <v>10</v>
      </c>
      <c r="B157" t="s">
        <v>28</v>
      </c>
      <c r="C157">
        <v>45841</v>
      </c>
      <c r="D157">
        <v>45852</v>
      </c>
      <c r="E157">
        <v>4</v>
      </c>
      <c r="F157">
        <v>2.5</v>
      </c>
      <c r="G157">
        <v>7</v>
      </c>
      <c r="H157">
        <v>1.4</v>
      </c>
      <c r="I157">
        <v>0.5</v>
      </c>
      <c r="J157" t="s">
        <v>55</v>
      </c>
      <c r="K157">
        <v>0</v>
      </c>
      <c r="L157" s="17">
        <f t="shared" ca="1" si="4"/>
        <v>46167</v>
      </c>
      <c r="M157" s="6" t="str">
        <f t="shared" ca="1" si="5"/>
        <v>25/05/yyyy a 31/05/yyyy</v>
      </c>
    </row>
    <row r="158" spans="1:13" x14ac:dyDescent="0.3">
      <c r="A158" t="s">
        <v>10</v>
      </c>
      <c r="B158" t="s">
        <v>20</v>
      </c>
      <c r="C158">
        <v>45841</v>
      </c>
      <c r="D158">
        <v>45849</v>
      </c>
      <c r="E158">
        <v>9</v>
      </c>
      <c r="F158">
        <v>5.1428571428571423</v>
      </c>
      <c r="G158">
        <v>6</v>
      </c>
      <c r="H158">
        <v>1.2</v>
      </c>
      <c r="I158">
        <v>1.2857142857142858</v>
      </c>
      <c r="J158" t="s">
        <v>44</v>
      </c>
      <c r="K158">
        <v>-4.4408920985006262E-16</v>
      </c>
      <c r="L158" s="17">
        <f t="shared" ca="1" si="4"/>
        <v>46167</v>
      </c>
      <c r="M158" s="6" t="str">
        <f t="shared" ca="1" si="5"/>
        <v>25/05/yyyy a 31/05/yyyy</v>
      </c>
    </row>
    <row r="159" spans="1:13" x14ac:dyDescent="0.3">
      <c r="A159" t="s">
        <v>10</v>
      </c>
      <c r="B159" t="s">
        <v>20</v>
      </c>
      <c r="C159">
        <v>45841</v>
      </c>
      <c r="D159">
        <v>45849</v>
      </c>
      <c r="E159">
        <v>9</v>
      </c>
      <c r="F159">
        <v>5.1428571428571423</v>
      </c>
      <c r="G159">
        <v>6</v>
      </c>
      <c r="H159">
        <v>1.2</v>
      </c>
      <c r="I159">
        <v>1.2857142857142858</v>
      </c>
      <c r="J159" t="s">
        <v>45</v>
      </c>
      <c r="K159">
        <v>6.4285714285714288</v>
      </c>
      <c r="L159" s="17">
        <f t="shared" ca="1" si="4"/>
        <v>46174</v>
      </c>
      <c r="M159" s="6" t="str">
        <f t="shared" ca="1" si="5"/>
        <v>01/06/yyyy a 07/06/yyyy</v>
      </c>
    </row>
    <row r="160" spans="1:13" x14ac:dyDescent="0.3">
      <c r="A160" t="s">
        <v>10</v>
      </c>
      <c r="B160" t="s">
        <v>20</v>
      </c>
      <c r="C160">
        <v>45841</v>
      </c>
      <c r="D160">
        <v>45849</v>
      </c>
      <c r="E160">
        <v>9</v>
      </c>
      <c r="F160">
        <v>5.1428571428571423</v>
      </c>
      <c r="G160">
        <v>6</v>
      </c>
      <c r="H160">
        <v>1.2</v>
      </c>
      <c r="I160">
        <v>1.2857142857142858</v>
      </c>
      <c r="J160" t="s">
        <v>46</v>
      </c>
      <c r="K160">
        <v>0</v>
      </c>
      <c r="L160" s="17">
        <f t="shared" ca="1" si="4"/>
        <v>46181</v>
      </c>
      <c r="M160" s="6" t="str">
        <f t="shared" ca="1" si="5"/>
        <v>08/06/yyyy a 14/06/yyyy</v>
      </c>
    </row>
    <row r="161" spans="1:13" x14ac:dyDescent="0.3">
      <c r="A161" t="s">
        <v>10</v>
      </c>
      <c r="B161" t="s">
        <v>20</v>
      </c>
      <c r="C161">
        <v>45841</v>
      </c>
      <c r="D161">
        <v>45849</v>
      </c>
      <c r="E161">
        <v>9</v>
      </c>
      <c r="F161">
        <v>5.1428571428571423</v>
      </c>
      <c r="G161">
        <v>6</v>
      </c>
      <c r="H161">
        <v>1.2</v>
      </c>
      <c r="I161">
        <v>1.2857142857142858</v>
      </c>
      <c r="J161" t="s">
        <v>47</v>
      </c>
      <c r="K161">
        <v>0</v>
      </c>
      <c r="L161" s="17">
        <f t="shared" ca="1" si="4"/>
        <v>46188</v>
      </c>
      <c r="M161" s="6" t="str">
        <f t="shared" ca="1" si="5"/>
        <v>15/06/yyyy a 21/06/yyyy</v>
      </c>
    </row>
    <row r="162" spans="1:13" x14ac:dyDescent="0.3">
      <c r="A162" t="s">
        <v>10</v>
      </c>
      <c r="B162" t="s">
        <v>20</v>
      </c>
      <c r="C162">
        <v>45841</v>
      </c>
      <c r="D162">
        <v>45849</v>
      </c>
      <c r="E162">
        <v>9</v>
      </c>
      <c r="F162">
        <v>5.1428571428571423</v>
      </c>
      <c r="G162">
        <v>6</v>
      </c>
      <c r="H162">
        <v>1.2</v>
      </c>
      <c r="I162">
        <v>1.2857142857142858</v>
      </c>
      <c r="J162" t="s">
        <v>48</v>
      </c>
      <c r="K162">
        <v>0</v>
      </c>
      <c r="L162" s="17">
        <f t="shared" ca="1" si="4"/>
        <v>46195</v>
      </c>
      <c r="M162" s="6" t="str">
        <f t="shared" ca="1" si="5"/>
        <v>22/06/yyyy a 28/06/yyyy</v>
      </c>
    </row>
    <row r="163" spans="1:13" x14ac:dyDescent="0.3">
      <c r="A163" t="s">
        <v>10</v>
      </c>
      <c r="B163" t="s">
        <v>20</v>
      </c>
      <c r="C163">
        <v>45841</v>
      </c>
      <c r="D163">
        <v>45849</v>
      </c>
      <c r="E163">
        <v>9</v>
      </c>
      <c r="F163">
        <v>5.1428571428571423</v>
      </c>
      <c r="G163">
        <v>6</v>
      </c>
      <c r="H163">
        <v>1.2</v>
      </c>
      <c r="I163">
        <v>1.2857142857142858</v>
      </c>
      <c r="J163" t="s">
        <v>49</v>
      </c>
      <c r="K163">
        <v>0</v>
      </c>
      <c r="L163" s="17">
        <f t="shared" ca="1" si="4"/>
        <v>46202</v>
      </c>
      <c r="M163" s="6" t="str">
        <f t="shared" ca="1" si="5"/>
        <v>29/06/yyyy a 05/07/yyyy</v>
      </c>
    </row>
    <row r="164" spans="1:13" x14ac:dyDescent="0.3">
      <c r="A164" t="s">
        <v>10</v>
      </c>
      <c r="B164" t="s">
        <v>20</v>
      </c>
      <c r="C164">
        <v>45841</v>
      </c>
      <c r="D164">
        <v>45849</v>
      </c>
      <c r="E164">
        <v>9</v>
      </c>
      <c r="F164">
        <v>5.1428571428571423</v>
      </c>
      <c r="G164">
        <v>6</v>
      </c>
      <c r="H164">
        <v>1.2</v>
      </c>
      <c r="I164">
        <v>1.2857142857142858</v>
      </c>
      <c r="J164" t="s">
        <v>50</v>
      </c>
      <c r="K164">
        <v>0</v>
      </c>
      <c r="L164" s="17">
        <f t="shared" ca="1" si="4"/>
        <v>46209</v>
      </c>
      <c r="M164" s="6" t="str">
        <f t="shared" ca="1" si="5"/>
        <v>06/07/yyyy a 12/07/yyyy</v>
      </c>
    </row>
    <row r="165" spans="1:13" x14ac:dyDescent="0.3">
      <c r="A165" t="s">
        <v>10</v>
      </c>
      <c r="B165" t="s">
        <v>20</v>
      </c>
      <c r="C165">
        <v>45841</v>
      </c>
      <c r="D165">
        <v>45849</v>
      </c>
      <c r="E165">
        <v>9</v>
      </c>
      <c r="F165">
        <v>5.1428571428571423</v>
      </c>
      <c r="G165">
        <v>6</v>
      </c>
      <c r="H165">
        <v>1.2</v>
      </c>
      <c r="I165">
        <v>1.2857142857142858</v>
      </c>
      <c r="J165" t="s">
        <v>51</v>
      </c>
      <c r="K165">
        <v>0</v>
      </c>
      <c r="L165" s="17">
        <f t="shared" ca="1" si="4"/>
        <v>46216</v>
      </c>
      <c r="M165" s="6" t="str">
        <f t="shared" ca="1" si="5"/>
        <v>13/07/yyyy a 19/07/yyyy</v>
      </c>
    </row>
    <row r="166" spans="1:13" x14ac:dyDescent="0.3">
      <c r="A166" t="s">
        <v>10</v>
      </c>
      <c r="B166" t="s">
        <v>20</v>
      </c>
      <c r="C166">
        <v>45841</v>
      </c>
      <c r="D166">
        <v>45849</v>
      </c>
      <c r="E166">
        <v>9</v>
      </c>
      <c r="F166">
        <v>5.1428571428571423</v>
      </c>
      <c r="G166">
        <v>6</v>
      </c>
      <c r="H166">
        <v>1.2</v>
      </c>
      <c r="I166">
        <v>1.2857142857142858</v>
      </c>
      <c r="J166" t="s">
        <v>52</v>
      </c>
      <c r="K166">
        <v>0</v>
      </c>
      <c r="L166" s="17">
        <f t="shared" ca="1" si="4"/>
        <v>46223</v>
      </c>
      <c r="M166" s="6" t="str">
        <f t="shared" ca="1" si="5"/>
        <v>20/07/yyyy a 26/07/yyyy</v>
      </c>
    </row>
    <row r="167" spans="1:13" x14ac:dyDescent="0.3">
      <c r="A167" t="s">
        <v>10</v>
      </c>
      <c r="B167" t="s">
        <v>20</v>
      </c>
      <c r="C167">
        <v>45841</v>
      </c>
      <c r="D167">
        <v>45849</v>
      </c>
      <c r="E167">
        <v>9</v>
      </c>
      <c r="F167">
        <v>5.1428571428571423</v>
      </c>
      <c r="G167">
        <v>6</v>
      </c>
      <c r="H167">
        <v>1.2</v>
      </c>
      <c r="I167">
        <v>1.2857142857142858</v>
      </c>
      <c r="J167" t="s">
        <v>53</v>
      </c>
      <c r="K167">
        <v>0</v>
      </c>
      <c r="L167" s="17">
        <f t="shared" ca="1" si="4"/>
        <v>46167</v>
      </c>
      <c r="M167" s="6" t="str">
        <f t="shared" ca="1" si="5"/>
        <v>25/05/yyyy a 31/05/yyyy</v>
      </c>
    </row>
    <row r="168" spans="1:13" x14ac:dyDescent="0.3">
      <c r="A168" t="s">
        <v>10</v>
      </c>
      <c r="B168" t="s">
        <v>20</v>
      </c>
      <c r="C168">
        <v>45841</v>
      </c>
      <c r="D168">
        <v>45849</v>
      </c>
      <c r="E168">
        <v>9</v>
      </c>
      <c r="F168">
        <v>5.1428571428571423</v>
      </c>
      <c r="G168">
        <v>6</v>
      </c>
      <c r="H168">
        <v>1.2</v>
      </c>
      <c r="I168">
        <v>1.2857142857142858</v>
      </c>
      <c r="J168" t="s">
        <v>54</v>
      </c>
      <c r="K168">
        <v>0</v>
      </c>
      <c r="L168" s="17">
        <f t="shared" ca="1" si="4"/>
        <v>46167</v>
      </c>
      <c r="M168" s="6" t="str">
        <f t="shared" ca="1" si="5"/>
        <v>25/05/yyyy a 31/05/yyyy</v>
      </c>
    </row>
    <row r="169" spans="1:13" x14ac:dyDescent="0.3">
      <c r="A169" t="s">
        <v>10</v>
      </c>
      <c r="B169" t="s">
        <v>20</v>
      </c>
      <c r="C169">
        <v>45841</v>
      </c>
      <c r="D169">
        <v>45849</v>
      </c>
      <c r="E169">
        <v>9</v>
      </c>
      <c r="F169">
        <v>5.1428571428571423</v>
      </c>
      <c r="G169">
        <v>6</v>
      </c>
      <c r="H169">
        <v>1.2</v>
      </c>
      <c r="I169">
        <v>1.2857142857142858</v>
      </c>
      <c r="J169" t="s">
        <v>55</v>
      </c>
      <c r="K169">
        <v>0</v>
      </c>
      <c r="L169" s="17">
        <f t="shared" ca="1" si="4"/>
        <v>46167</v>
      </c>
      <c r="M169" s="6" t="str">
        <f t="shared" ca="1" si="5"/>
        <v>25/05/yyyy a 31/05/yyyy</v>
      </c>
    </row>
    <row r="170" spans="1:13" x14ac:dyDescent="0.3">
      <c r="A170" t="s">
        <v>10</v>
      </c>
      <c r="B170" t="s">
        <v>11</v>
      </c>
      <c r="C170">
        <v>45855</v>
      </c>
      <c r="D170">
        <v>45861</v>
      </c>
      <c r="E170">
        <v>6</v>
      </c>
      <c r="F170">
        <v>6</v>
      </c>
      <c r="G170">
        <v>14</v>
      </c>
      <c r="H170">
        <v>2.8</v>
      </c>
      <c r="I170">
        <v>1.2</v>
      </c>
      <c r="J170" t="s">
        <v>44</v>
      </c>
      <c r="K170">
        <v>0</v>
      </c>
      <c r="L170" s="17">
        <f t="shared" ca="1" si="4"/>
        <v>46167</v>
      </c>
      <c r="M170" s="6" t="str">
        <f t="shared" ca="1" si="5"/>
        <v>25/05/yyyy a 31/05/yyyy</v>
      </c>
    </row>
    <row r="171" spans="1:13" x14ac:dyDescent="0.3">
      <c r="A171" t="s">
        <v>10</v>
      </c>
      <c r="B171" t="s">
        <v>11</v>
      </c>
      <c r="C171">
        <v>45855</v>
      </c>
      <c r="D171">
        <v>45861</v>
      </c>
      <c r="E171">
        <v>6</v>
      </c>
      <c r="F171">
        <v>6</v>
      </c>
      <c r="G171">
        <v>14</v>
      </c>
      <c r="H171">
        <v>2.8</v>
      </c>
      <c r="I171">
        <v>1.2</v>
      </c>
      <c r="J171" t="s">
        <v>45</v>
      </c>
      <c r="K171">
        <v>0</v>
      </c>
      <c r="L171" s="17">
        <f t="shared" ca="1" si="4"/>
        <v>46174</v>
      </c>
      <c r="M171" s="6" t="str">
        <f t="shared" ca="1" si="5"/>
        <v>01/06/yyyy a 07/06/yyyy</v>
      </c>
    </row>
    <row r="172" spans="1:13" x14ac:dyDescent="0.3">
      <c r="A172" t="s">
        <v>10</v>
      </c>
      <c r="B172" t="s">
        <v>11</v>
      </c>
      <c r="C172">
        <v>45855</v>
      </c>
      <c r="D172">
        <v>45861</v>
      </c>
      <c r="E172">
        <v>6</v>
      </c>
      <c r="F172">
        <v>6</v>
      </c>
      <c r="G172">
        <v>14</v>
      </c>
      <c r="H172">
        <v>2.8</v>
      </c>
      <c r="I172">
        <v>1.2</v>
      </c>
      <c r="J172" t="s">
        <v>46</v>
      </c>
      <c r="K172">
        <v>2.4000000000000004</v>
      </c>
      <c r="L172" s="17">
        <f t="shared" ca="1" si="4"/>
        <v>46181</v>
      </c>
      <c r="M172" s="6" t="str">
        <f t="shared" ca="1" si="5"/>
        <v>08/06/yyyy a 14/06/yyyy</v>
      </c>
    </row>
    <row r="173" spans="1:13" x14ac:dyDescent="0.3">
      <c r="A173" t="s">
        <v>10</v>
      </c>
      <c r="B173" t="s">
        <v>11</v>
      </c>
      <c r="C173">
        <v>45855</v>
      </c>
      <c r="D173">
        <v>45861</v>
      </c>
      <c r="E173">
        <v>6</v>
      </c>
      <c r="F173">
        <v>6</v>
      </c>
      <c r="G173">
        <v>14</v>
      </c>
      <c r="H173">
        <v>2.8</v>
      </c>
      <c r="I173">
        <v>1.2</v>
      </c>
      <c r="J173" t="s">
        <v>47</v>
      </c>
      <c r="K173">
        <v>3.6</v>
      </c>
      <c r="L173" s="17">
        <f t="shared" ca="1" si="4"/>
        <v>46188</v>
      </c>
      <c r="M173" s="6" t="str">
        <f t="shared" ca="1" si="5"/>
        <v>15/06/yyyy a 21/06/yyyy</v>
      </c>
    </row>
    <row r="174" spans="1:13" x14ac:dyDescent="0.3">
      <c r="A174" t="s">
        <v>10</v>
      </c>
      <c r="B174" t="s">
        <v>11</v>
      </c>
      <c r="C174">
        <v>45855</v>
      </c>
      <c r="D174">
        <v>45861</v>
      </c>
      <c r="E174">
        <v>6</v>
      </c>
      <c r="F174">
        <v>6</v>
      </c>
      <c r="G174">
        <v>14</v>
      </c>
      <c r="H174">
        <v>2.8</v>
      </c>
      <c r="I174">
        <v>1.2</v>
      </c>
      <c r="J174" t="s">
        <v>48</v>
      </c>
      <c r="K174">
        <v>0</v>
      </c>
      <c r="L174" s="17">
        <f t="shared" ca="1" si="4"/>
        <v>46195</v>
      </c>
      <c r="M174" s="6" t="str">
        <f t="shared" ca="1" si="5"/>
        <v>22/06/yyyy a 28/06/yyyy</v>
      </c>
    </row>
    <row r="175" spans="1:13" x14ac:dyDescent="0.3">
      <c r="A175" t="s">
        <v>10</v>
      </c>
      <c r="B175" t="s">
        <v>11</v>
      </c>
      <c r="C175">
        <v>45855</v>
      </c>
      <c r="D175">
        <v>45861</v>
      </c>
      <c r="E175">
        <v>6</v>
      </c>
      <c r="F175">
        <v>6</v>
      </c>
      <c r="G175">
        <v>14</v>
      </c>
      <c r="H175">
        <v>2.8</v>
      </c>
      <c r="I175">
        <v>1.2</v>
      </c>
      <c r="J175" t="s">
        <v>49</v>
      </c>
      <c r="K175">
        <v>0</v>
      </c>
      <c r="L175" s="17">
        <f t="shared" ca="1" si="4"/>
        <v>46202</v>
      </c>
      <c r="M175" s="6" t="str">
        <f t="shared" ca="1" si="5"/>
        <v>29/06/yyyy a 05/07/yyyy</v>
      </c>
    </row>
    <row r="176" spans="1:13" x14ac:dyDescent="0.3">
      <c r="A176" t="s">
        <v>10</v>
      </c>
      <c r="B176" t="s">
        <v>11</v>
      </c>
      <c r="C176">
        <v>45855</v>
      </c>
      <c r="D176">
        <v>45861</v>
      </c>
      <c r="E176">
        <v>6</v>
      </c>
      <c r="F176">
        <v>6</v>
      </c>
      <c r="G176">
        <v>14</v>
      </c>
      <c r="H176">
        <v>2.8</v>
      </c>
      <c r="I176">
        <v>1.2</v>
      </c>
      <c r="J176" t="s">
        <v>50</v>
      </c>
      <c r="K176">
        <v>0</v>
      </c>
      <c r="L176" s="17">
        <f t="shared" ca="1" si="4"/>
        <v>46209</v>
      </c>
      <c r="M176" s="6" t="str">
        <f t="shared" ca="1" si="5"/>
        <v>06/07/yyyy a 12/07/yyyy</v>
      </c>
    </row>
    <row r="177" spans="1:13" x14ac:dyDescent="0.3">
      <c r="A177" t="s">
        <v>10</v>
      </c>
      <c r="B177" t="s">
        <v>11</v>
      </c>
      <c r="C177">
        <v>45855</v>
      </c>
      <c r="D177">
        <v>45861</v>
      </c>
      <c r="E177">
        <v>6</v>
      </c>
      <c r="F177">
        <v>6</v>
      </c>
      <c r="G177">
        <v>14</v>
      </c>
      <c r="H177">
        <v>2.8</v>
      </c>
      <c r="I177">
        <v>1.2</v>
      </c>
      <c r="J177" t="s">
        <v>51</v>
      </c>
      <c r="K177">
        <v>0</v>
      </c>
      <c r="L177" s="17">
        <f t="shared" ca="1" si="4"/>
        <v>46216</v>
      </c>
      <c r="M177" s="6" t="str">
        <f t="shared" ca="1" si="5"/>
        <v>13/07/yyyy a 19/07/yyyy</v>
      </c>
    </row>
    <row r="178" spans="1:13" x14ac:dyDescent="0.3">
      <c r="A178" t="s">
        <v>10</v>
      </c>
      <c r="B178" t="s">
        <v>11</v>
      </c>
      <c r="C178">
        <v>45855</v>
      </c>
      <c r="D178">
        <v>45861</v>
      </c>
      <c r="E178">
        <v>6</v>
      </c>
      <c r="F178">
        <v>6</v>
      </c>
      <c r="G178">
        <v>14</v>
      </c>
      <c r="H178">
        <v>2.8</v>
      </c>
      <c r="I178">
        <v>1.2</v>
      </c>
      <c r="J178" t="s">
        <v>52</v>
      </c>
      <c r="K178">
        <v>0</v>
      </c>
      <c r="L178" s="17">
        <f t="shared" ca="1" si="4"/>
        <v>46223</v>
      </c>
      <c r="M178" s="6" t="str">
        <f t="shared" ca="1" si="5"/>
        <v>20/07/yyyy a 26/07/yyyy</v>
      </c>
    </row>
    <row r="179" spans="1:13" x14ac:dyDescent="0.3">
      <c r="A179" t="s">
        <v>10</v>
      </c>
      <c r="B179" t="s">
        <v>11</v>
      </c>
      <c r="C179">
        <v>45855</v>
      </c>
      <c r="D179">
        <v>45861</v>
      </c>
      <c r="E179">
        <v>6</v>
      </c>
      <c r="F179">
        <v>6</v>
      </c>
      <c r="G179">
        <v>14</v>
      </c>
      <c r="H179">
        <v>2.8</v>
      </c>
      <c r="I179">
        <v>1.2</v>
      </c>
      <c r="J179" t="s">
        <v>53</v>
      </c>
      <c r="K179">
        <v>0</v>
      </c>
      <c r="L179" s="17">
        <f t="shared" ca="1" si="4"/>
        <v>46167</v>
      </c>
      <c r="M179" s="6" t="str">
        <f t="shared" ca="1" si="5"/>
        <v>25/05/yyyy a 31/05/yyyy</v>
      </c>
    </row>
    <row r="180" spans="1:13" x14ac:dyDescent="0.3">
      <c r="A180" t="s">
        <v>10</v>
      </c>
      <c r="B180" t="s">
        <v>11</v>
      </c>
      <c r="C180">
        <v>45855</v>
      </c>
      <c r="D180">
        <v>45861</v>
      </c>
      <c r="E180">
        <v>6</v>
      </c>
      <c r="F180">
        <v>6</v>
      </c>
      <c r="G180">
        <v>14</v>
      </c>
      <c r="H180">
        <v>2.8</v>
      </c>
      <c r="I180">
        <v>1.2</v>
      </c>
      <c r="J180" t="s">
        <v>54</v>
      </c>
      <c r="K180">
        <v>0</v>
      </c>
      <c r="L180" s="17">
        <f t="shared" ca="1" si="4"/>
        <v>46167</v>
      </c>
      <c r="M180" s="6" t="str">
        <f t="shared" ca="1" si="5"/>
        <v>25/05/yyyy a 31/05/yyyy</v>
      </c>
    </row>
    <row r="181" spans="1:13" x14ac:dyDescent="0.3">
      <c r="A181" t="s">
        <v>10</v>
      </c>
      <c r="B181" t="s">
        <v>11</v>
      </c>
      <c r="C181">
        <v>45855</v>
      </c>
      <c r="D181">
        <v>45861</v>
      </c>
      <c r="E181">
        <v>6</v>
      </c>
      <c r="F181">
        <v>6</v>
      </c>
      <c r="G181">
        <v>14</v>
      </c>
      <c r="H181">
        <v>2.8</v>
      </c>
      <c r="I181">
        <v>1.2</v>
      </c>
      <c r="J181" t="s">
        <v>55</v>
      </c>
      <c r="K181">
        <v>0</v>
      </c>
      <c r="L181" s="17">
        <f t="shared" ca="1" si="4"/>
        <v>46167</v>
      </c>
      <c r="M181" s="6" t="str">
        <f t="shared" ca="1" si="5"/>
        <v>25/05/yyyy a 31/05/yyyy</v>
      </c>
    </row>
    <row r="182" spans="1:13" x14ac:dyDescent="0.3">
      <c r="A182" t="s">
        <v>10</v>
      </c>
      <c r="B182" t="s">
        <v>28</v>
      </c>
      <c r="C182">
        <v>45855</v>
      </c>
      <c r="D182">
        <v>45866</v>
      </c>
      <c r="E182">
        <v>4</v>
      </c>
      <c r="F182">
        <v>4</v>
      </c>
      <c r="G182">
        <v>17</v>
      </c>
      <c r="H182">
        <v>3.4</v>
      </c>
      <c r="I182">
        <v>0.5</v>
      </c>
      <c r="J182" t="s">
        <v>44</v>
      </c>
      <c r="K182">
        <v>0</v>
      </c>
      <c r="L182" s="17">
        <f t="shared" ca="1" si="4"/>
        <v>46167</v>
      </c>
      <c r="M182" s="6" t="str">
        <f t="shared" ca="1" si="5"/>
        <v>25/05/yyyy a 31/05/yyyy</v>
      </c>
    </row>
    <row r="183" spans="1:13" x14ac:dyDescent="0.3">
      <c r="A183" t="s">
        <v>10</v>
      </c>
      <c r="B183" t="s">
        <v>28</v>
      </c>
      <c r="C183">
        <v>45855</v>
      </c>
      <c r="D183">
        <v>45866</v>
      </c>
      <c r="E183">
        <v>4</v>
      </c>
      <c r="F183">
        <v>4</v>
      </c>
      <c r="G183">
        <v>17</v>
      </c>
      <c r="H183">
        <v>3.4</v>
      </c>
      <c r="I183">
        <v>0.5</v>
      </c>
      <c r="J183" t="s">
        <v>45</v>
      </c>
      <c r="K183">
        <v>0</v>
      </c>
      <c r="L183" s="17">
        <f t="shared" ca="1" si="4"/>
        <v>46174</v>
      </c>
      <c r="M183" s="6" t="str">
        <f t="shared" ca="1" si="5"/>
        <v>01/06/yyyy a 07/06/yyyy</v>
      </c>
    </row>
    <row r="184" spans="1:13" x14ac:dyDescent="0.3">
      <c r="A184" t="s">
        <v>10</v>
      </c>
      <c r="B184" t="s">
        <v>28</v>
      </c>
      <c r="C184">
        <v>45855</v>
      </c>
      <c r="D184">
        <v>45866</v>
      </c>
      <c r="E184">
        <v>4</v>
      </c>
      <c r="F184">
        <v>4</v>
      </c>
      <c r="G184">
        <v>17</v>
      </c>
      <c r="H184">
        <v>3.4</v>
      </c>
      <c r="I184">
        <v>0.5</v>
      </c>
      <c r="J184" t="s">
        <v>46</v>
      </c>
      <c r="K184">
        <v>1</v>
      </c>
      <c r="L184" s="17">
        <f t="shared" ca="1" si="4"/>
        <v>46181</v>
      </c>
      <c r="M184" s="6" t="str">
        <f t="shared" ca="1" si="5"/>
        <v>08/06/yyyy a 14/06/yyyy</v>
      </c>
    </row>
    <row r="185" spans="1:13" x14ac:dyDescent="0.3">
      <c r="A185" t="s">
        <v>10</v>
      </c>
      <c r="B185" t="s">
        <v>28</v>
      </c>
      <c r="C185">
        <v>45855</v>
      </c>
      <c r="D185">
        <v>45866</v>
      </c>
      <c r="E185">
        <v>4</v>
      </c>
      <c r="F185">
        <v>4</v>
      </c>
      <c r="G185">
        <v>17</v>
      </c>
      <c r="H185">
        <v>3.4</v>
      </c>
      <c r="I185">
        <v>0.5</v>
      </c>
      <c r="J185" t="s">
        <v>47</v>
      </c>
      <c r="K185">
        <v>2.5</v>
      </c>
      <c r="L185" s="17">
        <f t="shared" ca="1" si="4"/>
        <v>46188</v>
      </c>
      <c r="M185" s="6" t="str">
        <f t="shared" ca="1" si="5"/>
        <v>15/06/yyyy a 21/06/yyyy</v>
      </c>
    </row>
    <row r="186" spans="1:13" x14ac:dyDescent="0.3">
      <c r="A186" t="s">
        <v>10</v>
      </c>
      <c r="B186" t="s">
        <v>28</v>
      </c>
      <c r="C186">
        <v>45855</v>
      </c>
      <c r="D186">
        <v>45866</v>
      </c>
      <c r="E186">
        <v>4</v>
      </c>
      <c r="F186">
        <v>4</v>
      </c>
      <c r="G186">
        <v>17</v>
      </c>
      <c r="H186">
        <v>3.4</v>
      </c>
      <c r="I186">
        <v>0.5</v>
      </c>
      <c r="J186" t="s">
        <v>48</v>
      </c>
      <c r="K186">
        <v>0.5</v>
      </c>
      <c r="L186" s="17">
        <f t="shared" ca="1" si="4"/>
        <v>46195</v>
      </c>
      <c r="M186" s="6" t="str">
        <f t="shared" ca="1" si="5"/>
        <v>22/06/yyyy a 28/06/yyyy</v>
      </c>
    </row>
    <row r="187" spans="1:13" x14ac:dyDescent="0.3">
      <c r="A187" t="s">
        <v>10</v>
      </c>
      <c r="B187" t="s">
        <v>28</v>
      </c>
      <c r="C187">
        <v>45855</v>
      </c>
      <c r="D187">
        <v>45866</v>
      </c>
      <c r="E187">
        <v>4</v>
      </c>
      <c r="F187">
        <v>4</v>
      </c>
      <c r="G187">
        <v>17</v>
      </c>
      <c r="H187">
        <v>3.4</v>
      </c>
      <c r="I187">
        <v>0.5</v>
      </c>
      <c r="J187" t="s">
        <v>49</v>
      </c>
      <c r="K187">
        <v>0</v>
      </c>
      <c r="L187" s="17">
        <f t="shared" ca="1" si="4"/>
        <v>46202</v>
      </c>
      <c r="M187" s="6" t="str">
        <f t="shared" ca="1" si="5"/>
        <v>29/06/yyyy a 05/07/yyyy</v>
      </c>
    </row>
    <row r="188" spans="1:13" x14ac:dyDescent="0.3">
      <c r="A188" t="s">
        <v>10</v>
      </c>
      <c r="B188" t="s">
        <v>28</v>
      </c>
      <c r="C188">
        <v>45855</v>
      </c>
      <c r="D188">
        <v>45866</v>
      </c>
      <c r="E188">
        <v>4</v>
      </c>
      <c r="F188">
        <v>4</v>
      </c>
      <c r="G188">
        <v>17</v>
      </c>
      <c r="H188">
        <v>3.4</v>
      </c>
      <c r="I188">
        <v>0.5</v>
      </c>
      <c r="J188" t="s">
        <v>50</v>
      </c>
      <c r="K188">
        <v>0</v>
      </c>
      <c r="L188" s="17">
        <f t="shared" ca="1" si="4"/>
        <v>46209</v>
      </c>
      <c r="M188" s="6" t="str">
        <f t="shared" ca="1" si="5"/>
        <v>06/07/yyyy a 12/07/yyyy</v>
      </c>
    </row>
    <row r="189" spans="1:13" x14ac:dyDescent="0.3">
      <c r="A189" t="s">
        <v>10</v>
      </c>
      <c r="B189" t="s">
        <v>28</v>
      </c>
      <c r="C189">
        <v>45855</v>
      </c>
      <c r="D189">
        <v>45866</v>
      </c>
      <c r="E189">
        <v>4</v>
      </c>
      <c r="F189">
        <v>4</v>
      </c>
      <c r="G189">
        <v>17</v>
      </c>
      <c r="H189">
        <v>3.4</v>
      </c>
      <c r="I189">
        <v>0.5</v>
      </c>
      <c r="J189" t="s">
        <v>51</v>
      </c>
      <c r="K189">
        <v>0</v>
      </c>
      <c r="L189" s="17">
        <f t="shared" ca="1" si="4"/>
        <v>46216</v>
      </c>
      <c r="M189" s="6" t="str">
        <f t="shared" ca="1" si="5"/>
        <v>13/07/yyyy a 19/07/yyyy</v>
      </c>
    </row>
    <row r="190" spans="1:13" x14ac:dyDescent="0.3">
      <c r="A190" t="s">
        <v>10</v>
      </c>
      <c r="B190" t="s">
        <v>28</v>
      </c>
      <c r="C190">
        <v>45855</v>
      </c>
      <c r="D190">
        <v>45866</v>
      </c>
      <c r="E190">
        <v>4</v>
      </c>
      <c r="F190">
        <v>4</v>
      </c>
      <c r="G190">
        <v>17</v>
      </c>
      <c r="H190">
        <v>3.4</v>
      </c>
      <c r="I190">
        <v>0.5</v>
      </c>
      <c r="J190" t="s">
        <v>52</v>
      </c>
      <c r="K190">
        <v>0</v>
      </c>
      <c r="L190" s="17">
        <f t="shared" ca="1" si="4"/>
        <v>46223</v>
      </c>
      <c r="M190" s="6" t="str">
        <f t="shared" ca="1" si="5"/>
        <v>20/07/yyyy a 26/07/yyyy</v>
      </c>
    </row>
    <row r="191" spans="1:13" x14ac:dyDescent="0.3">
      <c r="A191" t="s">
        <v>10</v>
      </c>
      <c r="B191" t="s">
        <v>28</v>
      </c>
      <c r="C191">
        <v>45855</v>
      </c>
      <c r="D191">
        <v>45866</v>
      </c>
      <c r="E191">
        <v>4</v>
      </c>
      <c r="F191">
        <v>4</v>
      </c>
      <c r="G191">
        <v>17</v>
      </c>
      <c r="H191">
        <v>3.4</v>
      </c>
      <c r="I191">
        <v>0.5</v>
      </c>
      <c r="J191" t="s">
        <v>53</v>
      </c>
      <c r="K191">
        <v>0</v>
      </c>
      <c r="L191" s="17">
        <f t="shared" ca="1" si="4"/>
        <v>46167</v>
      </c>
      <c r="M191" s="6" t="str">
        <f t="shared" ca="1" si="5"/>
        <v>25/05/yyyy a 31/05/yyyy</v>
      </c>
    </row>
    <row r="192" spans="1:13" x14ac:dyDescent="0.3">
      <c r="A192" t="s">
        <v>10</v>
      </c>
      <c r="B192" t="s">
        <v>28</v>
      </c>
      <c r="C192">
        <v>45855</v>
      </c>
      <c r="D192">
        <v>45866</v>
      </c>
      <c r="E192">
        <v>4</v>
      </c>
      <c r="F192">
        <v>4</v>
      </c>
      <c r="G192">
        <v>17</v>
      </c>
      <c r="H192">
        <v>3.4</v>
      </c>
      <c r="I192">
        <v>0.5</v>
      </c>
      <c r="J192" t="s">
        <v>54</v>
      </c>
      <c r="K192">
        <v>0</v>
      </c>
      <c r="L192" s="17">
        <f t="shared" ca="1" si="4"/>
        <v>46167</v>
      </c>
      <c r="M192" s="6" t="str">
        <f t="shared" ca="1" si="5"/>
        <v>25/05/yyyy a 31/05/yyyy</v>
      </c>
    </row>
    <row r="193" spans="1:13" x14ac:dyDescent="0.3">
      <c r="A193" t="s">
        <v>10</v>
      </c>
      <c r="B193" t="s">
        <v>28</v>
      </c>
      <c r="C193">
        <v>45855</v>
      </c>
      <c r="D193">
        <v>45866</v>
      </c>
      <c r="E193">
        <v>4</v>
      </c>
      <c r="F193">
        <v>4</v>
      </c>
      <c r="G193">
        <v>17</v>
      </c>
      <c r="H193">
        <v>3.4</v>
      </c>
      <c r="I193">
        <v>0.5</v>
      </c>
      <c r="J193" t="s">
        <v>55</v>
      </c>
      <c r="K193">
        <v>0</v>
      </c>
      <c r="L193" s="17">
        <f t="shared" ca="1" si="4"/>
        <v>46167</v>
      </c>
      <c r="M193" s="6" t="str">
        <f t="shared" ca="1" si="5"/>
        <v>25/05/yyyy a 31/05/yyyy</v>
      </c>
    </row>
    <row r="194" spans="1:13" x14ac:dyDescent="0.3">
      <c r="A194" t="s">
        <v>10</v>
      </c>
      <c r="B194" t="s">
        <v>20</v>
      </c>
      <c r="C194">
        <v>45855</v>
      </c>
      <c r="D194">
        <v>45863</v>
      </c>
      <c r="E194">
        <v>9</v>
      </c>
      <c r="F194">
        <v>9</v>
      </c>
      <c r="G194">
        <v>16</v>
      </c>
      <c r="H194">
        <v>3.2</v>
      </c>
      <c r="I194">
        <v>1.2857142857142858</v>
      </c>
      <c r="J194" t="s">
        <v>44</v>
      </c>
      <c r="K194">
        <v>0</v>
      </c>
      <c r="L194" s="17">
        <f t="shared" ref="L194:L257" ca="1" si="6">IFERROR(VLOOKUP(J194,$O$2:$P$13,2),"")</f>
        <v>46167</v>
      </c>
      <c r="M194" s="6" t="str">
        <f t="shared" ref="M194:M257" ca="1" si="7">IFERROR(TEXT(L194,"dd/mm/yyyy")&amp; " a " &amp; (TEXT(L194+6,"dd/mm/yyyy")),"")</f>
        <v>25/05/yyyy a 31/05/yyyy</v>
      </c>
    </row>
    <row r="195" spans="1:13" x14ac:dyDescent="0.3">
      <c r="A195" t="s">
        <v>10</v>
      </c>
      <c r="B195" t="s">
        <v>20</v>
      </c>
      <c r="C195">
        <v>45855</v>
      </c>
      <c r="D195">
        <v>45863</v>
      </c>
      <c r="E195">
        <v>9</v>
      </c>
      <c r="F195">
        <v>9</v>
      </c>
      <c r="G195">
        <v>16</v>
      </c>
      <c r="H195">
        <v>3.2</v>
      </c>
      <c r="I195">
        <v>1.2857142857142858</v>
      </c>
      <c r="J195" t="s">
        <v>45</v>
      </c>
      <c r="K195">
        <v>0</v>
      </c>
      <c r="L195" s="17">
        <f t="shared" ca="1" si="6"/>
        <v>46174</v>
      </c>
      <c r="M195" s="6" t="str">
        <f t="shared" ca="1" si="7"/>
        <v>01/06/yyyy a 07/06/yyyy</v>
      </c>
    </row>
    <row r="196" spans="1:13" x14ac:dyDescent="0.3">
      <c r="A196" t="s">
        <v>10</v>
      </c>
      <c r="B196" t="s">
        <v>20</v>
      </c>
      <c r="C196">
        <v>45855</v>
      </c>
      <c r="D196">
        <v>45863</v>
      </c>
      <c r="E196">
        <v>9</v>
      </c>
      <c r="F196">
        <v>9</v>
      </c>
      <c r="G196">
        <v>16</v>
      </c>
      <c r="H196">
        <v>3.2</v>
      </c>
      <c r="I196">
        <v>1.2857142857142858</v>
      </c>
      <c r="J196" t="s">
        <v>46</v>
      </c>
      <c r="K196">
        <v>2.5714285714285712</v>
      </c>
      <c r="L196" s="17">
        <f t="shared" ca="1" si="6"/>
        <v>46181</v>
      </c>
      <c r="M196" s="6" t="str">
        <f t="shared" ca="1" si="7"/>
        <v>08/06/yyyy a 14/06/yyyy</v>
      </c>
    </row>
    <row r="197" spans="1:13" x14ac:dyDescent="0.3">
      <c r="A197" t="s">
        <v>10</v>
      </c>
      <c r="B197" t="s">
        <v>20</v>
      </c>
      <c r="C197">
        <v>45855</v>
      </c>
      <c r="D197">
        <v>45863</v>
      </c>
      <c r="E197">
        <v>9</v>
      </c>
      <c r="F197">
        <v>9</v>
      </c>
      <c r="G197">
        <v>16</v>
      </c>
      <c r="H197">
        <v>3.2</v>
      </c>
      <c r="I197">
        <v>1.2857142857142858</v>
      </c>
      <c r="J197" t="s">
        <v>47</v>
      </c>
      <c r="K197">
        <v>6.4285714285714288</v>
      </c>
      <c r="L197" s="17">
        <f t="shared" ca="1" si="6"/>
        <v>46188</v>
      </c>
      <c r="M197" s="6" t="str">
        <f t="shared" ca="1" si="7"/>
        <v>15/06/yyyy a 21/06/yyyy</v>
      </c>
    </row>
    <row r="198" spans="1:13" x14ac:dyDescent="0.3">
      <c r="A198" t="s">
        <v>10</v>
      </c>
      <c r="B198" t="s">
        <v>20</v>
      </c>
      <c r="C198">
        <v>45855</v>
      </c>
      <c r="D198">
        <v>45863</v>
      </c>
      <c r="E198">
        <v>9</v>
      </c>
      <c r="F198">
        <v>9</v>
      </c>
      <c r="G198">
        <v>16</v>
      </c>
      <c r="H198">
        <v>3.2</v>
      </c>
      <c r="I198">
        <v>1.2857142857142858</v>
      </c>
      <c r="J198" t="s">
        <v>48</v>
      </c>
      <c r="K198">
        <v>0</v>
      </c>
      <c r="L198" s="17">
        <f t="shared" ca="1" si="6"/>
        <v>46195</v>
      </c>
      <c r="M198" s="6" t="str">
        <f t="shared" ca="1" si="7"/>
        <v>22/06/yyyy a 28/06/yyyy</v>
      </c>
    </row>
    <row r="199" spans="1:13" x14ac:dyDescent="0.3">
      <c r="A199" t="s">
        <v>10</v>
      </c>
      <c r="B199" t="s">
        <v>20</v>
      </c>
      <c r="C199">
        <v>45855</v>
      </c>
      <c r="D199">
        <v>45863</v>
      </c>
      <c r="E199">
        <v>9</v>
      </c>
      <c r="F199">
        <v>9</v>
      </c>
      <c r="G199">
        <v>16</v>
      </c>
      <c r="H199">
        <v>3.2</v>
      </c>
      <c r="I199">
        <v>1.2857142857142858</v>
      </c>
      <c r="J199" t="s">
        <v>49</v>
      </c>
      <c r="K199">
        <v>0</v>
      </c>
      <c r="L199" s="17">
        <f t="shared" ca="1" si="6"/>
        <v>46202</v>
      </c>
      <c r="M199" s="6" t="str">
        <f t="shared" ca="1" si="7"/>
        <v>29/06/yyyy a 05/07/yyyy</v>
      </c>
    </row>
    <row r="200" spans="1:13" x14ac:dyDescent="0.3">
      <c r="A200" t="s">
        <v>10</v>
      </c>
      <c r="B200" t="s">
        <v>20</v>
      </c>
      <c r="C200">
        <v>45855</v>
      </c>
      <c r="D200">
        <v>45863</v>
      </c>
      <c r="E200">
        <v>9</v>
      </c>
      <c r="F200">
        <v>9</v>
      </c>
      <c r="G200">
        <v>16</v>
      </c>
      <c r="H200">
        <v>3.2</v>
      </c>
      <c r="I200">
        <v>1.2857142857142858</v>
      </c>
      <c r="J200" t="s">
        <v>50</v>
      </c>
      <c r="K200">
        <v>0</v>
      </c>
      <c r="L200" s="17">
        <f t="shared" ca="1" si="6"/>
        <v>46209</v>
      </c>
      <c r="M200" s="6" t="str">
        <f t="shared" ca="1" si="7"/>
        <v>06/07/yyyy a 12/07/yyyy</v>
      </c>
    </row>
    <row r="201" spans="1:13" x14ac:dyDescent="0.3">
      <c r="A201" t="s">
        <v>10</v>
      </c>
      <c r="B201" t="s">
        <v>20</v>
      </c>
      <c r="C201">
        <v>45855</v>
      </c>
      <c r="D201">
        <v>45863</v>
      </c>
      <c r="E201">
        <v>9</v>
      </c>
      <c r="F201">
        <v>9</v>
      </c>
      <c r="G201">
        <v>16</v>
      </c>
      <c r="H201">
        <v>3.2</v>
      </c>
      <c r="I201">
        <v>1.2857142857142858</v>
      </c>
      <c r="J201" t="s">
        <v>51</v>
      </c>
      <c r="K201">
        <v>0</v>
      </c>
      <c r="L201" s="17">
        <f t="shared" ca="1" si="6"/>
        <v>46216</v>
      </c>
      <c r="M201" s="6" t="str">
        <f t="shared" ca="1" si="7"/>
        <v>13/07/yyyy a 19/07/yyyy</v>
      </c>
    </row>
    <row r="202" spans="1:13" x14ac:dyDescent="0.3">
      <c r="A202" t="s">
        <v>10</v>
      </c>
      <c r="B202" t="s">
        <v>20</v>
      </c>
      <c r="C202">
        <v>45855</v>
      </c>
      <c r="D202">
        <v>45863</v>
      </c>
      <c r="E202">
        <v>9</v>
      </c>
      <c r="F202">
        <v>9</v>
      </c>
      <c r="G202">
        <v>16</v>
      </c>
      <c r="H202">
        <v>3.2</v>
      </c>
      <c r="I202">
        <v>1.2857142857142858</v>
      </c>
      <c r="J202" t="s">
        <v>52</v>
      </c>
      <c r="K202">
        <v>0</v>
      </c>
      <c r="L202" s="17">
        <f t="shared" ca="1" si="6"/>
        <v>46223</v>
      </c>
      <c r="M202" s="6" t="str">
        <f t="shared" ca="1" si="7"/>
        <v>20/07/yyyy a 26/07/yyyy</v>
      </c>
    </row>
    <row r="203" spans="1:13" x14ac:dyDescent="0.3">
      <c r="A203" t="s">
        <v>10</v>
      </c>
      <c r="B203" t="s">
        <v>20</v>
      </c>
      <c r="C203">
        <v>45855</v>
      </c>
      <c r="D203">
        <v>45863</v>
      </c>
      <c r="E203">
        <v>9</v>
      </c>
      <c r="F203">
        <v>9</v>
      </c>
      <c r="G203">
        <v>16</v>
      </c>
      <c r="H203">
        <v>3.2</v>
      </c>
      <c r="I203">
        <v>1.2857142857142858</v>
      </c>
      <c r="J203" t="s">
        <v>53</v>
      </c>
      <c r="K203">
        <v>0</v>
      </c>
      <c r="L203" s="17">
        <f t="shared" ca="1" si="6"/>
        <v>46167</v>
      </c>
      <c r="M203" s="6" t="str">
        <f t="shared" ca="1" si="7"/>
        <v>25/05/yyyy a 31/05/yyyy</v>
      </c>
    </row>
    <row r="204" spans="1:13" x14ac:dyDescent="0.3">
      <c r="A204" t="s">
        <v>10</v>
      </c>
      <c r="B204" t="s">
        <v>20</v>
      </c>
      <c r="C204">
        <v>45855</v>
      </c>
      <c r="D204">
        <v>45863</v>
      </c>
      <c r="E204">
        <v>9</v>
      </c>
      <c r="F204">
        <v>9</v>
      </c>
      <c r="G204">
        <v>16</v>
      </c>
      <c r="H204">
        <v>3.2</v>
      </c>
      <c r="I204">
        <v>1.2857142857142858</v>
      </c>
      <c r="J204" t="s">
        <v>54</v>
      </c>
      <c r="K204">
        <v>0</v>
      </c>
      <c r="L204" s="17">
        <f t="shared" ca="1" si="6"/>
        <v>46167</v>
      </c>
      <c r="M204" s="6" t="str">
        <f t="shared" ca="1" si="7"/>
        <v>25/05/yyyy a 31/05/yyyy</v>
      </c>
    </row>
    <row r="205" spans="1:13" x14ac:dyDescent="0.3">
      <c r="A205" t="s">
        <v>10</v>
      </c>
      <c r="B205" t="s">
        <v>20</v>
      </c>
      <c r="C205">
        <v>45855</v>
      </c>
      <c r="D205">
        <v>45863</v>
      </c>
      <c r="E205">
        <v>9</v>
      </c>
      <c r="F205">
        <v>9</v>
      </c>
      <c r="G205">
        <v>16</v>
      </c>
      <c r="H205">
        <v>3.2</v>
      </c>
      <c r="I205">
        <v>1.2857142857142858</v>
      </c>
      <c r="J205" t="s">
        <v>55</v>
      </c>
      <c r="K205">
        <v>0</v>
      </c>
      <c r="L205" s="17">
        <f t="shared" ca="1" si="6"/>
        <v>46167</v>
      </c>
      <c r="M205" s="6" t="str">
        <f t="shared" ca="1" si="7"/>
        <v>25/05/yyyy a 31/05/yyyy</v>
      </c>
    </row>
    <row r="206" spans="1:13" x14ac:dyDescent="0.3">
      <c r="A206" t="s">
        <v>10</v>
      </c>
      <c r="B206" t="s">
        <v>20</v>
      </c>
      <c r="C206">
        <v>45848</v>
      </c>
      <c r="D206">
        <v>45855</v>
      </c>
      <c r="E206">
        <v>9</v>
      </c>
      <c r="F206">
        <v>9</v>
      </c>
      <c r="G206">
        <v>10</v>
      </c>
      <c r="H206">
        <v>2</v>
      </c>
      <c r="I206">
        <v>1.5</v>
      </c>
      <c r="J206" t="s">
        <v>44</v>
      </c>
      <c r="K206">
        <v>0</v>
      </c>
      <c r="L206" s="17">
        <f t="shared" ca="1" si="6"/>
        <v>46167</v>
      </c>
      <c r="M206" s="6" t="str">
        <f t="shared" ca="1" si="7"/>
        <v>25/05/yyyy a 31/05/yyyy</v>
      </c>
    </row>
    <row r="207" spans="1:13" x14ac:dyDescent="0.3">
      <c r="A207" t="s">
        <v>10</v>
      </c>
      <c r="B207" t="s">
        <v>20</v>
      </c>
      <c r="C207">
        <v>45848</v>
      </c>
      <c r="D207">
        <v>45855</v>
      </c>
      <c r="E207">
        <v>9</v>
      </c>
      <c r="F207">
        <v>9</v>
      </c>
      <c r="G207">
        <v>10</v>
      </c>
      <c r="H207">
        <v>2</v>
      </c>
      <c r="I207">
        <v>1.5</v>
      </c>
      <c r="J207" t="s">
        <v>45</v>
      </c>
      <c r="K207">
        <v>3</v>
      </c>
      <c r="L207" s="17">
        <f t="shared" ca="1" si="6"/>
        <v>46174</v>
      </c>
      <c r="M207" s="6" t="str">
        <f t="shared" ca="1" si="7"/>
        <v>01/06/yyyy a 07/06/yyyy</v>
      </c>
    </row>
    <row r="208" spans="1:13" x14ac:dyDescent="0.3">
      <c r="A208" t="s">
        <v>10</v>
      </c>
      <c r="B208" t="s">
        <v>20</v>
      </c>
      <c r="C208">
        <v>45848</v>
      </c>
      <c r="D208">
        <v>45855</v>
      </c>
      <c r="E208">
        <v>9</v>
      </c>
      <c r="F208">
        <v>9</v>
      </c>
      <c r="G208">
        <v>10</v>
      </c>
      <c r="H208">
        <v>2</v>
      </c>
      <c r="I208">
        <v>1.5</v>
      </c>
      <c r="J208" t="s">
        <v>46</v>
      </c>
      <c r="K208">
        <v>6</v>
      </c>
      <c r="L208" s="17">
        <f t="shared" ca="1" si="6"/>
        <v>46181</v>
      </c>
      <c r="M208" s="6" t="str">
        <f t="shared" ca="1" si="7"/>
        <v>08/06/yyyy a 14/06/yyyy</v>
      </c>
    </row>
    <row r="209" spans="1:13" x14ac:dyDescent="0.3">
      <c r="A209" t="s">
        <v>10</v>
      </c>
      <c r="B209" t="s">
        <v>20</v>
      </c>
      <c r="C209">
        <v>45848</v>
      </c>
      <c r="D209">
        <v>45855</v>
      </c>
      <c r="E209">
        <v>9</v>
      </c>
      <c r="F209">
        <v>9</v>
      </c>
      <c r="G209">
        <v>10</v>
      </c>
      <c r="H209">
        <v>2</v>
      </c>
      <c r="I209">
        <v>1.5</v>
      </c>
      <c r="J209" t="s">
        <v>47</v>
      </c>
      <c r="K209">
        <v>0</v>
      </c>
      <c r="L209" s="17">
        <f t="shared" ca="1" si="6"/>
        <v>46188</v>
      </c>
      <c r="M209" s="6" t="str">
        <f t="shared" ca="1" si="7"/>
        <v>15/06/yyyy a 21/06/yyyy</v>
      </c>
    </row>
    <row r="210" spans="1:13" x14ac:dyDescent="0.3">
      <c r="A210" t="s">
        <v>10</v>
      </c>
      <c r="B210" t="s">
        <v>20</v>
      </c>
      <c r="C210">
        <v>45848</v>
      </c>
      <c r="D210">
        <v>45855</v>
      </c>
      <c r="E210">
        <v>9</v>
      </c>
      <c r="F210">
        <v>9</v>
      </c>
      <c r="G210">
        <v>10</v>
      </c>
      <c r="H210">
        <v>2</v>
      </c>
      <c r="I210">
        <v>1.5</v>
      </c>
      <c r="J210" t="s">
        <v>48</v>
      </c>
      <c r="K210">
        <v>0</v>
      </c>
      <c r="L210" s="17">
        <f t="shared" ca="1" si="6"/>
        <v>46195</v>
      </c>
      <c r="M210" s="6" t="str">
        <f t="shared" ca="1" si="7"/>
        <v>22/06/yyyy a 28/06/yyyy</v>
      </c>
    </row>
    <row r="211" spans="1:13" x14ac:dyDescent="0.3">
      <c r="A211" t="s">
        <v>10</v>
      </c>
      <c r="B211" t="s">
        <v>20</v>
      </c>
      <c r="C211">
        <v>45848</v>
      </c>
      <c r="D211">
        <v>45855</v>
      </c>
      <c r="E211">
        <v>9</v>
      </c>
      <c r="F211">
        <v>9</v>
      </c>
      <c r="G211">
        <v>10</v>
      </c>
      <c r="H211">
        <v>2</v>
      </c>
      <c r="I211">
        <v>1.5</v>
      </c>
      <c r="J211" t="s">
        <v>49</v>
      </c>
      <c r="K211">
        <v>0</v>
      </c>
      <c r="L211" s="17">
        <f t="shared" ca="1" si="6"/>
        <v>46202</v>
      </c>
      <c r="M211" s="6" t="str">
        <f t="shared" ca="1" si="7"/>
        <v>29/06/yyyy a 05/07/yyyy</v>
      </c>
    </row>
    <row r="212" spans="1:13" x14ac:dyDescent="0.3">
      <c r="A212" t="s">
        <v>10</v>
      </c>
      <c r="B212" t="s">
        <v>20</v>
      </c>
      <c r="C212">
        <v>45848</v>
      </c>
      <c r="D212">
        <v>45855</v>
      </c>
      <c r="E212">
        <v>9</v>
      </c>
      <c r="F212">
        <v>9</v>
      </c>
      <c r="G212">
        <v>10</v>
      </c>
      <c r="H212">
        <v>2</v>
      </c>
      <c r="I212">
        <v>1.5</v>
      </c>
      <c r="J212" t="s">
        <v>50</v>
      </c>
      <c r="K212">
        <v>0</v>
      </c>
      <c r="L212" s="17">
        <f t="shared" ca="1" si="6"/>
        <v>46209</v>
      </c>
      <c r="M212" s="6" t="str">
        <f t="shared" ca="1" si="7"/>
        <v>06/07/yyyy a 12/07/yyyy</v>
      </c>
    </row>
    <row r="213" spans="1:13" x14ac:dyDescent="0.3">
      <c r="A213" t="s">
        <v>10</v>
      </c>
      <c r="B213" t="s">
        <v>20</v>
      </c>
      <c r="C213">
        <v>45848</v>
      </c>
      <c r="D213">
        <v>45855</v>
      </c>
      <c r="E213">
        <v>9</v>
      </c>
      <c r="F213">
        <v>9</v>
      </c>
      <c r="G213">
        <v>10</v>
      </c>
      <c r="H213">
        <v>2</v>
      </c>
      <c r="I213">
        <v>1.5</v>
      </c>
      <c r="J213" t="s">
        <v>51</v>
      </c>
      <c r="K213">
        <v>0</v>
      </c>
      <c r="L213" s="17">
        <f t="shared" ca="1" si="6"/>
        <v>46216</v>
      </c>
      <c r="M213" s="6" t="str">
        <f t="shared" ca="1" si="7"/>
        <v>13/07/yyyy a 19/07/yyyy</v>
      </c>
    </row>
    <row r="214" spans="1:13" x14ac:dyDescent="0.3">
      <c r="A214" t="s">
        <v>10</v>
      </c>
      <c r="B214" t="s">
        <v>20</v>
      </c>
      <c r="C214">
        <v>45848</v>
      </c>
      <c r="D214">
        <v>45855</v>
      </c>
      <c r="E214">
        <v>9</v>
      </c>
      <c r="F214">
        <v>9</v>
      </c>
      <c r="G214">
        <v>10</v>
      </c>
      <c r="H214">
        <v>2</v>
      </c>
      <c r="I214">
        <v>1.5</v>
      </c>
      <c r="J214" t="s">
        <v>52</v>
      </c>
      <c r="K214">
        <v>0</v>
      </c>
      <c r="L214" s="17">
        <f t="shared" ca="1" si="6"/>
        <v>46223</v>
      </c>
      <c r="M214" s="6" t="str">
        <f t="shared" ca="1" si="7"/>
        <v>20/07/yyyy a 26/07/yyyy</v>
      </c>
    </row>
    <row r="215" spans="1:13" x14ac:dyDescent="0.3">
      <c r="A215" t="s">
        <v>10</v>
      </c>
      <c r="B215" t="s">
        <v>20</v>
      </c>
      <c r="C215">
        <v>45848</v>
      </c>
      <c r="D215">
        <v>45855</v>
      </c>
      <c r="E215">
        <v>9</v>
      </c>
      <c r="F215">
        <v>9</v>
      </c>
      <c r="G215">
        <v>10</v>
      </c>
      <c r="H215">
        <v>2</v>
      </c>
      <c r="I215">
        <v>1.5</v>
      </c>
      <c r="J215" t="s">
        <v>53</v>
      </c>
      <c r="K215">
        <v>0</v>
      </c>
      <c r="L215" s="17">
        <f t="shared" ca="1" si="6"/>
        <v>46167</v>
      </c>
      <c r="M215" s="6" t="str">
        <f t="shared" ca="1" si="7"/>
        <v>25/05/yyyy a 31/05/yyyy</v>
      </c>
    </row>
    <row r="216" spans="1:13" x14ac:dyDescent="0.3">
      <c r="A216" t="s">
        <v>10</v>
      </c>
      <c r="B216" t="s">
        <v>20</v>
      </c>
      <c r="C216">
        <v>45848</v>
      </c>
      <c r="D216">
        <v>45855</v>
      </c>
      <c r="E216">
        <v>9</v>
      </c>
      <c r="F216">
        <v>9</v>
      </c>
      <c r="G216">
        <v>10</v>
      </c>
      <c r="H216">
        <v>2</v>
      </c>
      <c r="I216">
        <v>1.5</v>
      </c>
      <c r="J216" t="s">
        <v>54</v>
      </c>
      <c r="K216">
        <v>0</v>
      </c>
      <c r="L216" s="17">
        <f t="shared" ca="1" si="6"/>
        <v>46167</v>
      </c>
      <c r="M216" s="6" t="str">
        <f t="shared" ca="1" si="7"/>
        <v>25/05/yyyy a 31/05/yyyy</v>
      </c>
    </row>
    <row r="217" spans="1:13" x14ac:dyDescent="0.3">
      <c r="A217" t="s">
        <v>10</v>
      </c>
      <c r="B217" t="s">
        <v>20</v>
      </c>
      <c r="C217">
        <v>45848</v>
      </c>
      <c r="D217">
        <v>45855</v>
      </c>
      <c r="E217">
        <v>9</v>
      </c>
      <c r="F217">
        <v>9</v>
      </c>
      <c r="G217">
        <v>10</v>
      </c>
      <c r="H217">
        <v>2</v>
      </c>
      <c r="I217">
        <v>1.5</v>
      </c>
      <c r="J217" t="s">
        <v>55</v>
      </c>
      <c r="K217">
        <v>0</v>
      </c>
      <c r="L217" s="17">
        <f t="shared" ca="1" si="6"/>
        <v>46167</v>
      </c>
      <c r="M217" s="6" t="str">
        <f t="shared" ca="1" si="7"/>
        <v>25/05/yyyy a 31/05/yyyy</v>
      </c>
    </row>
    <row r="218" spans="1:13" x14ac:dyDescent="0.3">
      <c r="A218" t="s">
        <v>10</v>
      </c>
      <c r="B218" t="s">
        <v>27</v>
      </c>
      <c r="C218">
        <v>45848</v>
      </c>
      <c r="D218">
        <v>45855</v>
      </c>
      <c r="E218">
        <v>3.5</v>
      </c>
      <c r="F218">
        <v>3.5</v>
      </c>
      <c r="G218">
        <v>10</v>
      </c>
      <c r="H218">
        <v>2</v>
      </c>
      <c r="I218">
        <v>0.58333333333333337</v>
      </c>
      <c r="J218" t="s">
        <v>44</v>
      </c>
      <c r="K218">
        <v>0</v>
      </c>
      <c r="L218" s="17">
        <f t="shared" ca="1" si="6"/>
        <v>46167</v>
      </c>
      <c r="M218" s="6" t="str">
        <f t="shared" ca="1" si="7"/>
        <v>25/05/yyyy a 31/05/yyyy</v>
      </c>
    </row>
    <row r="219" spans="1:13" x14ac:dyDescent="0.3">
      <c r="A219" t="s">
        <v>10</v>
      </c>
      <c r="B219" t="s">
        <v>27</v>
      </c>
      <c r="C219">
        <v>45848</v>
      </c>
      <c r="D219">
        <v>45855</v>
      </c>
      <c r="E219">
        <v>3.5</v>
      </c>
      <c r="F219">
        <v>3.5</v>
      </c>
      <c r="G219">
        <v>10</v>
      </c>
      <c r="H219">
        <v>2</v>
      </c>
      <c r="I219">
        <v>0.58333333333333337</v>
      </c>
      <c r="J219" t="s">
        <v>45</v>
      </c>
      <c r="K219">
        <v>1.166666666666667</v>
      </c>
      <c r="L219" s="17">
        <f t="shared" ca="1" si="6"/>
        <v>46174</v>
      </c>
      <c r="M219" s="6" t="str">
        <f t="shared" ca="1" si="7"/>
        <v>01/06/yyyy a 07/06/yyyy</v>
      </c>
    </row>
    <row r="220" spans="1:13" x14ac:dyDescent="0.3">
      <c r="A220" t="s">
        <v>10</v>
      </c>
      <c r="B220" t="s">
        <v>27</v>
      </c>
      <c r="C220">
        <v>45848</v>
      </c>
      <c r="D220">
        <v>45855</v>
      </c>
      <c r="E220">
        <v>3.5</v>
      </c>
      <c r="F220">
        <v>3.5</v>
      </c>
      <c r="G220">
        <v>10</v>
      </c>
      <c r="H220">
        <v>2</v>
      </c>
      <c r="I220">
        <v>0.58333333333333337</v>
      </c>
      <c r="J220" t="s">
        <v>46</v>
      </c>
      <c r="K220">
        <v>2.3333333333333335</v>
      </c>
      <c r="L220" s="17">
        <f t="shared" ca="1" si="6"/>
        <v>46181</v>
      </c>
      <c r="M220" s="6" t="str">
        <f t="shared" ca="1" si="7"/>
        <v>08/06/yyyy a 14/06/yyyy</v>
      </c>
    </row>
    <row r="221" spans="1:13" x14ac:dyDescent="0.3">
      <c r="A221" t="s">
        <v>10</v>
      </c>
      <c r="B221" t="s">
        <v>27</v>
      </c>
      <c r="C221">
        <v>45848</v>
      </c>
      <c r="D221">
        <v>45855</v>
      </c>
      <c r="E221">
        <v>3.5</v>
      </c>
      <c r="F221">
        <v>3.5</v>
      </c>
      <c r="G221">
        <v>10</v>
      </c>
      <c r="H221">
        <v>2</v>
      </c>
      <c r="I221">
        <v>0.58333333333333337</v>
      </c>
      <c r="J221" t="s">
        <v>47</v>
      </c>
      <c r="K221">
        <v>0</v>
      </c>
      <c r="L221" s="17">
        <f t="shared" ca="1" si="6"/>
        <v>46188</v>
      </c>
      <c r="M221" s="6" t="str">
        <f t="shared" ca="1" si="7"/>
        <v>15/06/yyyy a 21/06/yyyy</v>
      </c>
    </row>
    <row r="222" spans="1:13" x14ac:dyDescent="0.3">
      <c r="A222" t="s">
        <v>10</v>
      </c>
      <c r="B222" t="s">
        <v>27</v>
      </c>
      <c r="C222">
        <v>45848</v>
      </c>
      <c r="D222">
        <v>45855</v>
      </c>
      <c r="E222">
        <v>3.5</v>
      </c>
      <c r="F222">
        <v>3.5</v>
      </c>
      <c r="G222">
        <v>10</v>
      </c>
      <c r="H222">
        <v>2</v>
      </c>
      <c r="I222">
        <v>0.58333333333333337</v>
      </c>
      <c r="J222" t="s">
        <v>48</v>
      </c>
      <c r="K222">
        <v>0</v>
      </c>
      <c r="L222" s="17">
        <f t="shared" ca="1" si="6"/>
        <v>46195</v>
      </c>
      <c r="M222" s="6" t="str">
        <f t="shared" ca="1" si="7"/>
        <v>22/06/yyyy a 28/06/yyyy</v>
      </c>
    </row>
    <row r="223" spans="1:13" x14ac:dyDescent="0.3">
      <c r="A223" t="s">
        <v>10</v>
      </c>
      <c r="B223" t="s">
        <v>27</v>
      </c>
      <c r="C223">
        <v>45848</v>
      </c>
      <c r="D223">
        <v>45855</v>
      </c>
      <c r="E223">
        <v>3.5</v>
      </c>
      <c r="F223">
        <v>3.5</v>
      </c>
      <c r="G223">
        <v>10</v>
      </c>
      <c r="H223">
        <v>2</v>
      </c>
      <c r="I223">
        <v>0.58333333333333337</v>
      </c>
      <c r="J223" t="s">
        <v>49</v>
      </c>
      <c r="K223">
        <v>0</v>
      </c>
      <c r="L223" s="17">
        <f t="shared" ca="1" si="6"/>
        <v>46202</v>
      </c>
      <c r="M223" s="6" t="str">
        <f t="shared" ca="1" si="7"/>
        <v>29/06/yyyy a 05/07/yyyy</v>
      </c>
    </row>
    <row r="224" spans="1:13" x14ac:dyDescent="0.3">
      <c r="A224" t="s">
        <v>10</v>
      </c>
      <c r="B224" t="s">
        <v>27</v>
      </c>
      <c r="C224">
        <v>45848</v>
      </c>
      <c r="D224">
        <v>45855</v>
      </c>
      <c r="E224">
        <v>3.5</v>
      </c>
      <c r="F224">
        <v>3.5</v>
      </c>
      <c r="G224">
        <v>10</v>
      </c>
      <c r="H224">
        <v>2</v>
      </c>
      <c r="I224">
        <v>0.58333333333333337</v>
      </c>
      <c r="J224" t="s">
        <v>50</v>
      </c>
      <c r="K224">
        <v>0</v>
      </c>
      <c r="L224" s="17">
        <f t="shared" ca="1" si="6"/>
        <v>46209</v>
      </c>
      <c r="M224" s="6" t="str">
        <f t="shared" ca="1" si="7"/>
        <v>06/07/yyyy a 12/07/yyyy</v>
      </c>
    </row>
    <row r="225" spans="1:13" x14ac:dyDescent="0.3">
      <c r="A225" t="s">
        <v>10</v>
      </c>
      <c r="B225" t="s">
        <v>27</v>
      </c>
      <c r="C225">
        <v>45848</v>
      </c>
      <c r="D225">
        <v>45855</v>
      </c>
      <c r="E225">
        <v>3.5</v>
      </c>
      <c r="F225">
        <v>3.5</v>
      </c>
      <c r="G225">
        <v>10</v>
      </c>
      <c r="H225">
        <v>2</v>
      </c>
      <c r="I225">
        <v>0.58333333333333337</v>
      </c>
      <c r="J225" t="s">
        <v>51</v>
      </c>
      <c r="K225">
        <v>0</v>
      </c>
      <c r="L225" s="17">
        <f t="shared" ca="1" si="6"/>
        <v>46216</v>
      </c>
      <c r="M225" s="6" t="str">
        <f t="shared" ca="1" si="7"/>
        <v>13/07/yyyy a 19/07/yyyy</v>
      </c>
    </row>
    <row r="226" spans="1:13" x14ac:dyDescent="0.3">
      <c r="A226" t="s">
        <v>10</v>
      </c>
      <c r="B226" t="s">
        <v>27</v>
      </c>
      <c r="C226">
        <v>45848</v>
      </c>
      <c r="D226">
        <v>45855</v>
      </c>
      <c r="E226">
        <v>3.5</v>
      </c>
      <c r="F226">
        <v>3.5</v>
      </c>
      <c r="G226">
        <v>10</v>
      </c>
      <c r="H226">
        <v>2</v>
      </c>
      <c r="I226">
        <v>0.58333333333333337</v>
      </c>
      <c r="J226" t="s">
        <v>52</v>
      </c>
      <c r="K226">
        <v>0</v>
      </c>
      <c r="L226" s="17">
        <f t="shared" ca="1" si="6"/>
        <v>46223</v>
      </c>
      <c r="M226" s="6" t="str">
        <f t="shared" ca="1" si="7"/>
        <v>20/07/yyyy a 26/07/yyyy</v>
      </c>
    </row>
    <row r="227" spans="1:13" x14ac:dyDescent="0.3">
      <c r="A227" t="s">
        <v>10</v>
      </c>
      <c r="B227" t="s">
        <v>27</v>
      </c>
      <c r="C227">
        <v>45848</v>
      </c>
      <c r="D227">
        <v>45855</v>
      </c>
      <c r="E227">
        <v>3.5</v>
      </c>
      <c r="F227">
        <v>3.5</v>
      </c>
      <c r="G227">
        <v>10</v>
      </c>
      <c r="H227">
        <v>2</v>
      </c>
      <c r="I227">
        <v>0.58333333333333337</v>
      </c>
      <c r="J227" t="s">
        <v>53</v>
      </c>
      <c r="K227">
        <v>0</v>
      </c>
      <c r="L227" s="17">
        <f t="shared" ca="1" si="6"/>
        <v>46167</v>
      </c>
      <c r="M227" s="6" t="str">
        <f t="shared" ca="1" si="7"/>
        <v>25/05/yyyy a 31/05/yyyy</v>
      </c>
    </row>
    <row r="228" spans="1:13" x14ac:dyDescent="0.3">
      <c r="A228" t="s">
        <v>10</v>
      </c>
      <c r="B228" t="s">
        <v>27</v>
      </c>
      <c r="C228">
        <v>45848</v>
      </c>
      <c r="D228">
        <v>45855</v>
      </c>
      <c r="E228">
        <v>3.5</v>
      </c>
      <c r="F228">
        <v>3.5</v>
      </c>
      <c r="G228">
        <v>10</v>
      </c>
      <c r="H228">
        <v>2</v>
      </c>
      <c r="I228">
        <v>0.58333333333333337</v>
      </c>
      <c r="J228" t="s">
        <v>54</v>
      </c>
      <c r="K228">
        <v>0</v>
      </c>
      <c r="L228" s="17">
        <f t="shared" ca="1" si="6"/>
        <v>46167</v>
      </c>
      <c r="M228" s="6" t="str">
        <f t="shared" ca="1" si="7"/>
        <v>25/05/yyyy a 31/05/yyyy</v>
      </c>
    </row>
    <row r="229" spans="1:13" x14ac:dyDescent="0.3">
      <c r="A229" t="s">
        <v>10</v>
      </c>
      <c r="B229" t="s">
        <v>27</v>
      </c>
      <c r="C229">
        <v>45848</v>
      </c>
      <c r="D229">
        <v>45855</v>
      </c>
      <c r="E229">
        <v>3.5</v>
      </c>
      <c r="F229">
        <v>3.5</v>
      </c>
      <c r="G229">
        <v>10</v>
      </c>
      <c r="H229">
        <v>2</v>
      </c>
      <c r="I229">
        <v>0.58333333333333337</v>
      </c>
      <c r="J229" t="s">
        <v>55</v>
      </c>
      <c r="K229">
        <v>0</v>
      </c>
      <c r="L229" s="17">
        <f t="shared" ca="1" si="6"/>
        <v>46167</v>
      </c>
      <c r="M229" s="6" t="str">
        <f t="shared" ca="1" si="7"/>
        <v>25/05/yyyy a 31/05/yyyy</v>
      </c>
    </row>
    <row r="230" spans="1:13" x14ac:dyDescent="0.3">
      <c r="A230" t="s">
        <v>10</v>
      </c>
      <c r="B230" t="s">
        <v>29</v>
      </c>
      <c r="C230">
        <v>45848</v>
      </c>
      <c r="D230">
        <v>45855</v>
      </c>
      <c r="E230">
        <v>2.5</v>
      </c>
      <c r="F230">
        <v>2.5</v>
      </c>
      <c r="G230">
        <v>10</v>
      </c>
      <c r="H230">
        <v>2</v>
      </c>
      <c r="I230">
        <v>0.41666666666666669</v>
      </c>
      <c r="J230" t="s">
        <v>44</v>
      </c>
      <c r="K230">
        <v>0</v>
      </c>
      <c r="L230" s="17">
        <f t="shared" ca="1" si="6"/>
        <v>46167</v>
      </c>
      <c r="M230" s="6" t="str">
        <f t="shared" ca="1" si="7"/>
        <v>25/05/yyyy a 31/05/yyyy</v>
      </c>
    </row>
    <row r="231" spans="1:13" x14ac:dyDescent="0.3">
      <c r="A231" t="s">
        <v>10</v>
      </c>
      <c r="B231" t="s">
        <v>29</v>
      </c>
      <c r="C231">
        <v>45848</v>
      </c>
      <c r="D231">
        <v>45855</v>
      </c>
      <c r="E231">
        <v>2.5</v>
      </c>
      <c r="F231">
        <v>2.5</v>
      </c>
      <c r="G231">
        <v>10</v>
      </c>
      <c r="H231">
        <v>2</v>
      </c>
      <c r="I231">
        <v>0.41666666666666669</v>
      </c>
      <c r="J231" t="s">
        <v>45</v>
      </c>
      <c r="K231">
        <v>0.83333333333333348</v>
      </c>
      <c r="L231" s="17">
        <f t="shared" ca="1" si="6"/>
        <v>46174</v>
      </c>
      <c r="M231" s="6" t="str">
        <f t="shared" ca="1" si="7"/>
        <v>01/06/yyyy a 07/06/yyyy</v>
      </c>
    </row>
    <row r="232" spans="1:13" x14ac:dyDescent="0.3">
      <c r="A232" t="s">
        <v>10</v>
      </c>
      <c r="B232" t="s">
        <v>29</v>
      </c>
      <c r="C232">
        <v>45848</v>
      </c>
      <c r="D232">
        <v>45855</v>
      </c>
      <c r="E232">
        <v>2.5</v>
      </c>
      <c r="F232">
        <v>2.5</v>
      </c>
      <c r="G232">
        <v>10</v>
      </c>
      <c r="H232">
        <v>2</v>
      </c>
      <c r="I232">
        <v>0.41666666666666669</v>
      </c>
      <c r="J232" t="s">
        <v>46</v>
      </c>
      <c r="K232">
        <v>1.6666666666666667</v>
      </c>
      <c r="L232" s="17">
        <f t="shared" ca="1" si="6"/>
        <v>46181</v>
      </c>
      <c r="M232" s="6" t="str">
        <f t="shared" ca="1" si="7"/>
        <v>08/06/yyyy a 14/06/yyyy</v>
      </c>
    </row>
    <row r="233" spans="1:13" x14ac:dyDescent="0.3">
      <c r="A233" t="s">
        <v>10</v>
      </c>
      <c r="B233" t="s">
        <v>29</v>
      </c>
      <c r="C233">
        <v>45848</v>
      </c>
      <c r="D233">
        <v>45855</v>
      </c>
      <c r="E233">
        <v>2.5</v>
      </c>
      <c r="F233">
        <v>2.5</v>
      </c>
      <c r="G233">
        <v>10</v>
      </c>
      <c r="H233">
        <v>2</v>
      </c>
      <c r="I233">
        <v>0.41666666666666669</v>
      </c>
      <c r="J233" t="s">
        <v>47</v>
      </c>
      <c r="K233">
        <v>0</v>
      </c>
      <c r="L233" s="17">
        <f t="shared" ca="1" si="6"/>
        <v>46188</v>
      </c>
      <c r="M233" s="6" t="str">
        <f t="shared" ca="1" si="7"/>
        <v>15/06/yyyy a 21/06/yyyy</v>
      </c>
    </row>
    <row r="234" spans="1:13" x14ac:dyDescent="0.3">
      <c r="A234" t="s">
        <v>10</v>
      </c>
      <c r="B234" t="s">
        <v>29</v>
      </c>
      <c r="C234">
        <v>45848</v>
      </c>
      <c r="D234">
        <v>45855</v>
      </c>
      <c r="E234">
        <v>2.5</v>
      </c>
      <c r="F234">
        <v>2.5</v>
      </c>
      <c r="G234">
        <v>10</v>
      </c>
      <c r="H234">
        <v>2</v>
      </c>
      <c r="I234">
        <v>0.41666666666666669</v>
      </c>
      <c r="J234" t="s">
        <v>48</v>
      </c>
      <c r="K234">
        <v>0</v>
      </c>
      <c r="L234" s="17">
        <f t="shared" ca="1" si="6"/>
        <v>46195</v>
      </c>
      <c r="M234" s="6" t="str">
        <f t="shared" ca="1" si="7"/>
        <v>22/06/yyyy a 28/06/yyyy</v>
      </c>
    </row>
    <row r="235" spans="1:13" x14ac:dyDescent="0.3">
      <c r="A235" t="s">
        <v>10</v>
      </c>
      <c r="B235" t="s">
        <v>29</v>
      </c>
      <c r="C235">
        <v>45848</v>
      </c>
      <c r="D235">
        <v>45855</v>
      </c>
      <c r="E235">
        <v>2.5</v>
      </c>
      <c r="F235">
        <v>2.5</v>
      </c>
      <c r="G235">
        <v>10</v>
      </c>
      <c r="H235">
        <v>2</v>
      </c>
      <c r="I235">
        <v>0.41666666666666669</v>
      </c>
      <c r="J235" t="s">
        <v>49</v>
      </c>
      <c r="K235">
        <v>0</v>
      </c>
      <c r="L235" s="17">
        <f t="shared" ca="1" si="6"/>
        <v>46202</v>
      </c>
      <c r="M235" s="6" t="str">
        <f t="shared" ca="1" si="7"/>
        <v>29/06/yyyy a 05/07/yyyy</v>
      </c>
    </row>
    <row r="236" spans="1:13" x14ac:dyDescent="0.3">
      <c r="A236" t="s">
        <v>10</v>
      </c>
      <c r="B236" t="s">
        <v>29</v>
      </c>
      <c r="C236">
        <v>45848</v>
      </c>
      <c r="D236">
        <v>45855</v>
      </c>
      <c r="E236">
        <v>2.5</v>
      </c>
      <c r="F236">
        <v>2.5</v>
      </c>
      <c r="G236">
        <v>10</v>
      </c>
      <c r="H236">
        <v>2</v>
      </c>
      <c r="I236">
        <v>0.41666666666666669</v>
      </c>
      <c r="J236" t="s">
        <v>50</v>
      </c>
      <c r="K236">
        <v>0</v>
      </c>
      <c r="L236" s="17">
        <f t="shared" ca="1" si="6"/>
        <v>46209</v>
      </c>
      <c r="M236" s="6" t="str">
        <f t="shared" ca="1" si="7"/>
        <v>06/07/yyyy a 12/07/yyyy</v>
      </c>
    </row>
    <row r="237" spans="1:13" x14ac:dyDescent="0.3">
      <c r="A237" t="s">
        <v>10</v>
      </c>
      <c r="B237" t="s">
        <v>29</v>
      </c>
      <c r="C237">
        <v>45848</v>
      </c>
      <c r="D237">
        <v>45855</v>
      </c>
      <c r="E237">
        <v>2.5</v>
      </c>
      <c r="F237">
        <v>2.5</v>
      </c>
      <c r="G237">
        <v>10</v>
      </c>
      <c r="H237">
        <v>2</v>
      </c>
      <c r="I237">
        <v>0.41666666666666669</v>
      </c>
      <c r="J237" t="s">
        <v>51</v>
      </c>
      <c r="K237">
        <v>0</v>
      </c>
      <c r="L237" s="17">
        <f t="shared" ca="1" si="6"/>
        <v>46216</v>
      </c>
      <c r="M237" s="6" t="str">
        <f t="shared" ca="1" si="7"/>
        <v>13/07/yyyy a 19/07/yyyy</v>
      </c>
    </row>
    <row r="238" spans="1:13" x14ac:dyDescent="0.3">
      <c r="A238" t="s">
        <v>10</v>
      </c>
      <c r="B238" t="s">
        <v>29</v>
      </c>
      <c r="C238">
        <v>45848</v>
      </c>
      <c r="D238">
        <v>45855</v>
      </c>
      <c r="E238">
        <v>2.5</v>
      </c>
      <c r="F238">
        <v>2.5</v>
      </c>
      <c r="G238">
        <v>10</v>
      </c>
      <c r="H238">
        <v>2</v>
      </c>
      <c r="I238">
        <v>0.41666666666666669</v>
      </c>
      <c r="J238" t="s">
        <v>52</v>
      </c>
      <c r="K238">
        <v>0</v>
      </c>
      <c r="L238" s="17">
        <f t="shared" ca="1" si="6"/>
        <v>46223</v>
      </c>
      <c r="M238" s="6" t="str">
        <f t="shared" ca="1" si="7"/>
        <v>20/07/yyyy a 26/07/yyyy</v>
      </c>
    </row>
    <row r="239" spans="1:13" x14ac:dyDescent="0.3">
      <c r="A239" t="s">
        <v>10</v>
      </c>
      <c r="B239" t="s">
        <v>29</v>
      </c>
      <c r="C239">
        <v>45848</v>
      </c>
      <c r="D239">
        <v>45855</v>
      </c>
      <c r="E239">
        <v>2.5</v>
      </c>
      <c r="F239">
        <v>2.5</v>
      </c>
      <c r="G239">
        <v>10</v>
      </c>
      <c r="H239">
        <v>2</v>
      </c>
      <c r="I239">
        <v>0.41666666666666669</v>
      </c>
      <c r="J239" t="s">
        <v>53</v>
      </c>
      <c r="K239">
        <v>0</v>
      </c>
      <c r="L239" s="17">
        <f t="shared" ca="1" si="6"/>
        <v>46167</v>
      </c>
      <c r="M239" s="6" t="str">
        <f t="shared" ca="1" si="7"/>
        <v>25/05/yyyy a 31/05/yyyy</v>
      </c>
    </row>
    <row r="240" spans="1:13" x14ac:dyDescent="0.3">
      <c r="A240" t="s">
        <v>10</v>
      </c>
      <c r="B240" t="s">
        <v>29</v>
      </c>
      <c r="C240">
        <v>45848</v>
      </c>
      <c r="D240">
        <v>45855</v>
      </c>
      <c r="E240">
        <v>2.5</v>
      </c>
      <c r="F240">
        <v>2.5</v>
      </c>
      <c r="G240">
        <v>10</v>
      </c>
      <c r="H240">
        <v>2</v>
      </c>
      <c r="I240">
        <v>0.41666666666666669</v>
      </c>
      <c r="J240" t="s">
        <v>54</v>
      </c>
      <c r="K240">
        <v>0</v>
      </c>
      <c r="L240" s="17">
        <f t="shared" ca="1" si="6"/>
        <v>46167</v>
      </c>
      <c r="M240" s="6" t="str">
        <f t="shared" ca="1" si="7"/>
        <v>25/05/yyyy a 31/05/yyyy</v>
      </c>
    </row>
    <row r="241" spans="1:13" x14ac:dyDescent="0.3">
      <c r="A241" t="s">
        <v>10</v>
      </c>
      <c r="B241" t="s">
        <v>29</v>
      </c>
      <c r="C241">
        <v>45848</v>
      </c>
      <c r="D241">
        <v>45855</v>
      </c>
      <c r="E241">
        <v>2.5</v>
      </c>
      <c r="F241">
        <v>2.5</v>
      </c>
      <c r="G241">
        <v>10</v>
      </c>
      <c r="H241">
        <v>2</v>
      </c>
      <c r="I241">
        <v>0.41666666666666669</v>
      </c>
      <c r="J241" t="s">
        <v>55</v>
      </c>
      <c r="K241">
        <v>0</v>
      </c>
      <c r="L241" s="17">
        <f t="shared" ca="1" si="6"/>
        <v>46167</v>
      </c>
      <c r="M241" s="6" t="str">
        <f t="shared" ca="1" si="7"/>
        <v>25/05/yyyy a 31/05/yyyy</v>
      </c>
    </row>
    <row r="242" spans="1:13" x14ac:dyDescent="0.3">
      <c r="A242" t="s">
        <v>10</v>
      </c>
      <c r="B242" t="s">
        <v>25</v>
      </c>
      <c r="C242">
        <v>45862</v>
      </c>
      <c r="D242">
        <v>45869</v>
      </c>
      <c r="E242">
        <v>10</v>
      </c>
      <c r="F242">
        <v>10</v>
      </c>
      <c r="G242">
        <v>20</v>
      </c>
      <c r="H242">
        <v>4</v>
      </c>
      <c r="I242">
        <v>1.6666666666666667</v>
      </c>
      <c r="J242" t="s">
        <v>44</v>
      </c>
      <c r="K242">
        <v>0</v>
      </c>
      <c r="L242" s="17">
        <f t="shared" ca="1" si="6"/>
        <v>46167</v>
      </c>
      <c r="M242" s="6" t="str">
        <f t="shared" ca="1" si="7"/>
        <v>25/05/yyyy a 31/05/yyyy</v>
      </c>
    </row>
    <row r="243" spans="1:13" x14ac:dyDescent="0.3">
      <c r="A243" t="s">
        <v>10</v>
      </c>
      <c r="B243" t="s">
        <v>25</v>
      </c>
      <c r="C243">
        <v>45862</v>
      </c>
      <c r="D243">
        <v>45869</v>
      </c>
      <c r="E243">
        <v>10</v>
      </c>
      <c r="F243">
        <v>10</v>
      </c>
      <c r="G243">
        <v>20</v>
      </c>
      <c r="H243">
        <v>4</v>
      </c>
      <c r="I243">
        <v>1.6666666666666667</v>
      </c>
      <c r="J243" t="s">
        <v>45</v>
      </c>
      <c r="K243">
        <v>0</v>
      </c>
      <c r="L243" s="17">
        <f t="shared" ca="1" si="6"/>
        <v>46174</v>
      </c>
      <c r="M243" s="6" t="str">
        <f t="shared" ca="1" si="7"/>
        <v>01/06/yyyy a 07/06/yyyy</v>
      </c>
    </row>
    <row r="244" spans="1:13" x14ac:dyDescent="0.3">
      <c r="A244" t="s">
        <v>10</v>
      </c>
      <c r="B244" t="s">
        <v>25</v>
      </c>
      <c r="C244">
        <v>45862</v>
      </c>
      <c r="D244">
        <v>45869</v>
      </c>
      <c r="E244">
        <v>10</v>
      </c>
      <c r="F244">
        <v>10</v>
      </c>
      <c r="G244">
        <v>20</v>
      </c>
      <c r="H244">
        <v>4</v>
      </c>
      <c r="I244">
        <v>1.6666666666666667</v>
      </c>
      <c r="J244" t="s">
        <v>46</v>
      </c>
      <c r="K244">
        <v>0</v>
      </c>
      <c r="L244" s="17">
        <f t="shared" ca="1" si="6"/>
        <v>46181</v>
      </c>
      <c r="M244" s="6" t="str">
        <f t="shared" ca="1" si="7"/>
        <v>08/06/yyyy a 14/06/yyyy</v>
      </c>
    </row>
    <row r="245" spans="1:13" x14ac:dyDescent="0.3">
      <c r="A245" t="s">
        <v>10</v>
      </c>
      <c r="B245" t="s">
        <v>25</v>
      </c>
      <c r="C245">
        <v>45862</v>
      </c>
      <c r="D245">
        <v>45869</v>
      </c>
      <c r="E245">
        <v>10</v>
      </c>
      <c r="F245">
        <v>10</v>
      </c>
      <c r="G245">
        <v>20</v>
      </c>
      <c r="H245">
        <v>4</v>
      </c>
      <c r="I245">
        <v>1.6666666666666667</v>
      </c>
      <c r="J245" t="s">
        <v>47</v>
      </c>
      <c r="K245">
        <v>3.3333333333333339</v>
      </c>
      <c r="L245" s="17">
        <f t="shared" ca="1" si="6"/>
        <v>46188</v>
      </c>
      <c r="M245" s="6" t="str">
        <f t="shared" ca="1" si="7"/>
        <v>15/06/yyyy a 21/06/yyyy</v>
      </c>
    </row>
    <row r="246" spans="1:13" x14ac:dyDescent="0.3">
      <c r="A246" t="s">
        <v>10</v>
      </c>
      <c r="B246" t="s">
        <v>25</v>
      </c>
      <c r="C246">
        <v>45862</v>
      </c>
      <c r="D246">
        <v>45869</v>
      </c>
      <c r="E246">
        <v>10</v>
      </c>
      <c r="F246">
        <v>10</v>
      </c>
      <c r="G246">
        <v>20</v>
      </c>
      <c r="H246">
        <v>4</v>
      </c>
      <c r="I246">
        <v>1.6666666666666667</v>
      </c>
      <c r="J246" t="s">
        <v>48</v>
      </c>
      <c r="K246">
        <v>6.666666666666667</v>
      </c>
      <c r="L246" s="17">
        <f t="shared" ca="1" si="6"/>
        <v>46195</v>
      </c>
      <c r="M246" s="6" t="str">
        <f t="shared" ca="1" si="7"/>
        <v>22/06/yyyy a 28/06/yyyy</v>
      </c>
    </row>
    <row r="247" spans="1:13" x14ac:dyDescent="0.3">
      <c r="A247" t="s">
        <v>10</v>
      </c>
      <c r="B247" t="s">
        <v>25</v>
      </c>
      <c r="C247">
        <v>45862</v>
      </c>
      <c r="D247">
        <v>45869</v>
      </c>
      <c r="E247">
        <v>10</v>
      </c>
      <c r="F247">
        <v>10</v>
      </c>
      <c r="G247">
        <v>20</v>
      </c>
      <c r="H247">
        <v>4</v>
      </c>
      <c r="I247">
        <v>1.6666666666666667</v>
      </c>
      <c r="J247" t="s">
        <v>49</v>
      </c>
      <c r="K247">
        <v>0</v>
      </c>
      <c r="L247" s="17">
        <f t="shared" ca="1" si="6"/>
        <v>46202</v>
      </c>
      <c r="M247" s="6" t="str">
        <f t="shared" ca="1" si="7"/>
        <v>29/06/yyyy a 05/07/yyyy</v>
      </c>
    </row>
    <row r="248" spans="1:13" x14ac:dyDescent="0.3">
      <c r="A248" t="s">
        <v>10</v>
      </c>
      <c r="B248" t="s">
        <v>25</v>
      </c>
      <c r="C248">
        <v>45862</v>
      </c>
      <c r="D248">
        <v>45869</v>
      </c>
      <c r="E248">
        <v>10</v>
      </c>
      <c r="F248">
        <v>10</v>
      </c>
      <c r="G248">
        <v>20</v>
      </c>
      <c r="H248">
        <v>4</v>
      </c>
      <c r="I248">
        <v>1.6666666666666667</v>
      </c>
      <c r="J248" t="s">
        <v>50</v>
      </c>
      <c r="K248">
        <v>0</v>
      </c>
      <c r="L248" s="17">
        <f t="shared" ca="1" si="6"/>
        <v>46209</v>
      </c>
      <c r="M248" s="6" t="str">
        <f t="shared" ca="1" si="7"/>
        <v>06/07/yyyy a 12/07/yyyy</v>
      </c>
    </row>
    <row r="249" spans="1:13" x14ac:dyDescent="0.3">
      <c r="A249" t="s">
        <v>10</v>
      </c>
      <c r="B249" t="s">
        <v>25</v>
      </c>
      <c r="C249">
        <v>45862</v>
      </c>
      <c r="D249">
        <v>45869</v>
      </c>
      <c r="E249">
        <v>10</v>
      </c>
      <c r="F249">
        <v>10</v>
      </c>
      <c r="G249">
        <v>20</v>
      </c>
      <c r="H249">
        <v>4</v>
      </c>
      <c r="I249">
        <v>1.6666666666666667</v>
      </c>
      <c r="J249" t="s">
        <v>51</v>
      </c>
      <c r="K249">
        <v>0</v>
      </c>
      <c r="L249" s="17">
        <f t="shared" ca="1" si="6"/>
        <v>46216</v>
      </c>
      <c r="M249" s="6" t="str">
        <f t="shared" ca="1" si="7"/>
        <v>13/07/yyyy a 19/07/yyyy</v>
      </c>
    </row>
    <row r="250" spans="1:13" x14ac:dyDescent="0.3">
      <c r="A250" t="s">
        <v>10</v>
      </c>
      <c r="B250" t="s">
        <v>25</v>
      </c>
      <c r="C250">
        <v>45862</v>
      </c>
      <c r="D250">
        <v>45869</v>
      </c>
      <c r="E250">
        <v>10</v>
      </c>
      <c r="F250">
        <v>10</v>
      </c>
      <c r="G250">
        <v>20</v>
      </c>
      <c r="H250">
        <v>4</v>
      </c>
      <c r="I250">
        <v>1.6666666666666667</v>
      </c>
      <c r="J250" t="s">
        <v>52</v>
      </c>
      <c r="K250">
        <v>0</v>
      </c>
      <c r="L250" s="17">
        <f t="shared" ca="1" si="6"/>
        <v>46223</v>
      </c>
      <c r="M250" s="6" t="str">
        <f t="shared" ca="1" si="7"/>
        <v>20/07/yyyy a 26/07/yyyy</v>
      </c>
    </row>
    <row r="251" spans="1:13" x14ac:dyDescent="0.3">
      <c r="A251" t="s">
        <v>10</v>
      </c>
      <c r="B251" t="s">
        <v>25</v>
      </c>
      <c r="C251">
        <v>45862</v>
      </c>
      <c r="D251">
        <v>45869</v>
      </c>
      <c r="E251">
        <v>10</v>
      </c>
      <c r="F251">
        <v>10</v>
      </c>
      <c r="G251">
        <v>20</v>
      </c>
      <c r="H251">
        <v>4</v>
      </c>
      <c r="I251">
        <v>1.6666666666666667</v>
      </c>
      <c r="J251" t="s">
        <v>53</v>
      </c>
      <c r="K251">
        <v>0</v>
      </c>
      <c r="L251" s="17">
        <f t="shared" ca="1" si="6"/>
        <v>46167</v>
      </c>
      <c r="M251" s="6" t="str">
        <f t="shared" ca="1" si="7"/>
        <v>25/05/yyyy a 31/05/yyyy</v>
      </c>
    </row>
    <row r="252" spans="1:13" x14ac:dyDescent="0.3">
      <c r="A252" t="s">
        <v>10</v>
      </c>
      <c r="B252" t="s">
        <v>25</v>
      </c>
      <c r="C252">
        <v>45862</v>
      </c>
      <c r="D252">
        <v>45869</v>
      </c>
      <c r="E252">
        <v>10</v>
      </c>
      <c r="F252">
        <v>10</v>
      </c>
      <c r="G252">
        <v>20</v>
      </c>
      <c r="H252">
        <v>4</v>
      </c>
      <c r="I252">
        <v>1.6666666666666667</v>
      </c>
      <c r="J252" t="s">
        <v>54</v>
      </c>
      <c r="K252">
        <v>0</v>
      </c>
      <c r="L252" s="17">
        <f t="shared" ca="1" si="6"/>
        <v>46167</v>
      </c>
      <c r="M252" s="6" t="str">
        <f t="shared" ca="1" si="7"/>
        <v>25/05/yyyy a 31/05/yyyy</v>
      </c>
    </row>
    <row r="253" spans="1:13" x14ac:dyDescent="0.3">
      <c r="A253" t="s">
        <v>10</v>
      </c>
      <c r="B253" t="s">
        <v>25</v>
      </c>
      <c r="C253">
        <v>45862</v>
      </c>
      <c r="D253">
        <v>45869</v>
      </c>
      <c r="E253">
        <v>10</v>
      </c>
      <c r="F253">
        <v>10</v>
      </c>
      <c r="G253">
        <v>20</v>
      </c>
      <c r="H253">
        <v>4</v>
      </c>
      <c r="I253">
        <v>1.6666666666666667</v>
      </c>
      <c r="J253" t="s">
        <v>55</v>
      </c>
      <c r="K253">
        <v>0</v>
      </c>
      <c r="L253" s="17">
        <f t="shared" ca="1" si="6"/>
        <v>46167</v>
      </c>
      <c r="M253" s="6" t="str">
        <f t="shared" ca="1" si="7"/>
        <v>25/05/yyyy a 31/05/yyyy</v>
      </c>
    </row>
    <row r="254" spans="1:13" x14ac:dyDescent="0.3">
      <c r="A254" t="s">
        <v>10</v>
      </c>
      <c r="B254" t="s">
        <v>11</v>
      </c>
      <c r="C254">
        <v>45848</v>
      </c>
      <c r="D254">
        <v>45855</v>
      </c>
      <c r="E254">
        <v>6</v>
      </c>
      <c r="F254">
        <v>6</v>
      </c>
      <c r="G254">
        <v>10</v>
      </c>
      <c r="H254">
        <v>2</v>
      </c>
      <c r="I254">
        <v>1</v>
      </c>
      <c r="J254" t="s">
        <v>44</v>
      </c>
      <c r="K254">
        <v>0</v>
      </c>
      <c r="L254" s="17">
        <f t="shared" ca="1" si="6"/>
        <v>46167</v>
      </c>
      <c r="M254" s="6" t="str">
        <f t="shared" ca="1" si="7"/>
        <v>25/05/yyyy a 31/05/yyyy</v>
      </c>
    </row>
    <row r="255" spans="1:13" x14ac:dyDescent="0.3">
      <c r="A255" t="s">
        <v>10</v>
      </c>
      <c r="B255" t="s">
        <v>11</v>
      </c>
      <c r="C255">
        <v>45848</v>
      </c>
      <c r="D255">
        <v>45855</v>
      </c>
      <c r="E255">
        <v>6</v>
      </c>
      <c r="F255">
        <v>6</v>
      </c>
      <c r="G255">
        <v>10</v>
      </c>
      <c r="H255">
        <v>2</v>
      </c>
      <c r="I255">
        <v>1</v>
      </c>
      <c r="J255" t="s">
        <v>45</v>
      </c>
      <c r="K255">
        <v>2</v>
      </c>
      <c r="L255" s="17">
        <f t="shared" ca="1" si="6"/>
        <v>46174</v>
      </c>
      <c r="M255" s="6" t="str">
        <f t="shared" ca="1" si="7"/>
        <v>01/06/yyyy a 07/06/yyyy</v>
      </c>
    </row>
    <row r="256" spans="1:13" x14ac:dyDescent="0.3">
      <c r="A256" t="s">
        <v>10</v>
      </c>
      <c r="B256" t="s">
        <v>11</v>
      </c>
      <c r="C256">
        <v>45848</v>
      </c>
      <c r="D256">
        <v>45855</v>
      </c>
      <c r="E256">
        <v>6</v>
      </c>
      <c r="F256">
        <v>6</v>
      </c>
      <c r="G256">
        <v>10</v>
      </c>
      <c r="H256">
        <v>2</v>
      </c>
      <c r="I256">
        <v>1</v>
      </c>
      <c r="J256" t="s">
        <v>46</v>
      </c>
      <c r="K256">
        <v>4</v>
      </c>
      <c r="L256" s="17">
        <f t="shared" ca="1" si="6"/>
        <v>46181</v>
      </c>
      <c r="M256" s="6" t="str">
        <f t="shared" ca="1" si="7"/>
        <v>08/06/yyyy a 14/06/yyyy</v>
      </c>
    </row>
    <row r="257" spans="1:13" x14ac:dyDescent="0.3">
      <c r="A257" t="s">
        <v>10</v>
      </c>
      <c r="B257" t="s">
        <v>11</v>
      </c>
      <c r="C257">
        <v>45848</v>
      </c>
      <c r="D257">
        <v>45855</v>
      </c>
      <c r="E257">
        <v>6</v>
      </c>
      <c r="F257">
        <v>6</v>
      </c>
      <c r="G257">
        <v>10</v>
      </c>
      <c r="H257">
        <v>2</v>
      </c>
      <c r="I257">
        <v>1</v>
      </c>
      <c r="J257" t="s">
        <v>47</v>
      </c>
      <c r="K257">
        <v>0</v>
      </c>
      <c r="L257" s="17">
        <f t="shared" ca="1" si="6"/>
        <v>46188</v>
      </c>
      <c r="M257" s="6" t="str">
        <f t="shared" ca="1" si="7"/>
        <v>15/06/yyyy a 21/06/yyyy</v>
      </c>
    </row>
    <row r="258" spans="1:13" x14ac:dyDescent="0.3">
      <c r="A258" t="s">
        <v>10</v>
      </c>
      <c r="B258" t="s">
        <v>11</v>
      </c>
      <c r="C258">
        <v>45848</v>
      </c>
      <c r="D258">
        <v>45855</v>
      </c>
      <c r="E258">
        <v>6</v>
      </c>
      <c r="F258">
        <v>6</v>
      </c>
      <c r="G258">
        <v>10</v>
      </c>
      <c r="H258">
        <v>2</v>
      </c>
      <c r="I258">
        <v>1</v>
      </c>
      <c r="J258" t="s">
        <v>48</v>
      </c>
      <c r="K258">
        <v>0</v>
      </c>
      <c r="L258" s="17">
        <f t="shared" ref="L258:L321" ca="1" si="8">IFERROR(VLOOKUP(J258,$O$2:$P$13,2),"")</f>
        <v>46195</v>
      </c>
      <c r="M258" s="6" t="str">
        <f t="shared" ref="M258:M321" ca="1" si="9">IFERROR(TEXT(L258,"dd/mm/yyyy")&amp; " a " &amp; (TEXT(L258+6,"dd/mm/yyyy")),"")</f>
        <v>22/06/yyyy a 28/06/yyyy</v>
      </c>
    </row>
    <row r="259" spans="1:13" x14ac:dyDescent="0.3">
      <c r="A259" t="s">
        <v>10</v>
      </c>
      <c r="B259" t="s">
        <v>11</v>
      </c>
      <c r="C259">
        <v>45848</v>
      </c>
      <c r="D259">
        <v>45855</v>
      </c>
      <c r="E259">
        <v>6</v>
      </c>
      <c r="F259">
        <v>6</v>
      </c>
      <c r="G259">
        <v>10</v>
      </c>
      <c r="H259">
        <v>2</v>
      </c>
      <c r="I259">
        <v>1</v>
      </c>
      <c r="J259" t="s">
        <v>49</v>
      </c>
      <c r="K259">
        <v>0</v>
      </c>
      <c r="L259" s="17">
        <f t="shared" ca="1" si="8"/>
        <v>46202</v>
      </c>
      <c r="M259" s="6" t="str">
        <f t="shared" ca="1" si="9"/>
        <v>29/06/yyyy a 05/07/yyyy</v>
      </c>
    </row>
    <row r="260" spans="1:13" x14ac:dyDescent="0.3">
      <c r="A260" t="s">
        <v>10</v>
      </c>
      <c r="B260" t="s">
        <v>11</v>
      </c>
      <c r="C260">
        <v>45848</v>
      </c>
      <c r="D260">
        <v>45855</v>
      </c>
      <c r="E260">
        <v>6</v>
      </c>
      <c r="F260">
        <v>6</v>
      </c>
      <c r="G260">
        <v>10</v>
      </c>
      <c r="H260">
        <v>2</v>
      </c>
      <c r="I260">
        <v>1</v>
      </c>
      <c r="J260" t="s">
        <v>50</v>
      </c>
      <c r="K260">
        <v>0</v>
      </c>
      <c r="L260" s="17">
        <f t="shared" ca="1" si="8"/>
        <v>46209</v>
      </c>
      <c r="M260" s="6" t="str">
        <f t="shared" ca="1" si="9"/>
        <v>06/07/yyyy a 12/07/yyyy</v>
      </c>
    </row>
    <row r="261" spans="1:13" x14ac:dyDescent="0.3">
      <c r="A261" t="s">
        <v>10</v>
      </c>
      <c r="B261" t="s">
        <v>11</v>
      </c>
      <c r="C261">
        <v>45848</v>
      </c>
      <c r="D261">
        <v>45855</v>
      </c>
      <c r="E261">
        <v>6</v>
      </c>
      <c r="F261">
        <v>6</v>
      </c>
      <c r="G261">
        <v>10</v>
      </c>
      <c r="H261">
        <v>2</v>
      </c>
      <c r="I261">
        <v>1</v>
      </c>
      <c r="J261" t="s">
        <v>51</v>
      </c>
      <c r="K261">
        <v>0</v>
      </c>
      <c r="L261" s="17">
        <f t="shared" ca="1" si="8"/>
        <v>46216</v>
      </c>
      <c r="M261" s="6" t="str">
        <f t="shared" ca="1" si="9"/>
        <v>13/07/yyyy a 19/07/yyyy</v>
      </c>
    </row>
    <row r="262" spans="1:13" x14ac:dyDescent="0.3">
      <c r="A262" t="s">
        <v>10</v>
      </c>
      <c r="B262" t="s">
        <v>11</v>
      </c>
      <c r="C262">
        <v>45848</v>
      </c>
      <c r="D262">
        <v>45855</v>
      </c>
      <c r="E262">
        <v>6</v>
      </c>
      <c r="F262">
        <v>6</v>
      </c>
      <c r="G262">
        <v>10</v>
      </c>
      <c r="H262">
        <v>2</v>
      </c>
      <c r="I262">
        <v>1</v>
      </c>
      <c r="J262" t="s">
        <v>52</v>
      </c>
      <c r="K262">
        <v>0</v>
      </c>
      <c r="L262" s="17">
        <f t="shared" ca="1" si="8"/>
        <v>46223</v>
      </c>
      <c r="M262" s="6" t="str">
        <f t="shared" ca="1" si="9"/>
        <v>20/07/yyyy a 26/07/yyyy</v>
      </c>
    </row>
    <row r="263" spans="1:13" x14ac:dyDescent="0.3">
      <c r="A263" t="s">
        <v>10</v>
      </c>
      <c r="B263" t="s">
        <v>11</v>
      </c>
      <c r="C263">
        <v>45848</v>
      </c>
      <c r="D263">
        <v>45855</v>
      </c>
      <c r="E263">
        <v>6</v>
      </c>
      <c r="F263">
        <v>6</v>
      </c>
      <c r="G263">
        <v>10</v>
      </c>
      <c r="H263">
        <v>2</v>
      </c>
      <c r="I263">
        <v>1</v>
      </c>
      <c r="J263" t="s">
        <v>53</v>
      </c>
      <c r="K263">
        <v>0</v>
      </c>
      <c r="L263" s="17">
        <f t="shared" ca="1" si="8"/>
        <v>46167</v>
      </c>
      <c r="M263" s="6" t="str">
        <f t="shared" ca="1" si="9"/>
        <v>25/05/yyyy a 31/05/yyyy</v>
      </c>
    </row>
    <row r="264" spans="1:13" x14ac:dyDescent="0.3">
      <c r="A264" t="s">
        <v>10</v>
      </c>
      <c r="B264" t="s">
        <v>11</v>
      </c>
      <c r="C264">
        <v>45848</v>
      </c>
      <c r="D264">
        <v>45855</v>
      </c>
      <c r="E264">
        <v>6</v>
      </c>
      <c r="F264">
        <v>6</v>
      </c>
      <c r="G264">
        <v>10</v>
      </c>
      <c r="H264">
        <v>2</v>
      </c>
      <c r="I264">
        <v>1</v>
      </c>
      <c r="J264" t="s">
        <v>54</v>
      </c>
      <c r="K264">
        <v>0</v>
      </c>
      <c r="L264" s="17">
        <f t="shared" ca="1" si="8"/>
        <v>46167</v>
      </c>
      <c r="M264" s="6" t="str">
        <f t="shared" ca="1" si="9"/>
        <v>25/05/yyyy a 31/05/yyyy</v>
      </c>
    </row>
    <row r="265" spans="1:13" x14ac:dyDescent="0.3">
      <c r="A265" t="s">
        <v>10</v>
      </c>
      <c r="B265" t="s">
        <v>11</v>
      </c>
      <c r="C265">
        <v>45848</v>
      </c>
      <c r="D265">
        <v>45855</v>
      </c>
      <c r="E265">
        <v>6</v>
      </c>
      <c r="F265">
        <v>6</v>
      </c>
      <c r="G265">
        <v>10</v>
      </c>
      <c r="H265">
        <v>2</v>
      </c>
      <c r="I265">
        <v>1</v>
      </c>
      <c r="J265" t="s">
        <v>55</v>
      </c>
      <c r="K265">
        <v>0</v>
      </c>
      <c r="L265" s="17">
        <f t="shared" ca="1" si="8"/>
        <v>46167</v>
      </c>
      <c r="M265" s="6" t="str">
        <f t="shared" ca="1" si="9"/>
        <v>25/05/yyyy a 31/05/yyyy</v>
      </c>
    </row>
    <row r="266" spans="1:13" x14ac:dyDescent="0.3">
      <c r="A266" t="s">
        <v>10</v>
      </c>
      <c r="B266" t="s">
        <v>18</v>
      </c>
      <c r="C266">
        <v>45848</v>
      </c>
      <c r="D266">
        <v>45855</v>
      </c>
      <c r="E266">
        <v>3</v>
      </c>
      <c r="F266">
        <v>3</v>
      </c>
      <c r="G266">
        <v>10</v>
      </c>
      <c r="H266">
        <v>2</v>
      </c>
      <c r="I266">
        <v>0.5</v>
      </c>
      <c r="J266" t="s">
        <v>44</v>
      </c>
      <c r="K266">
        <v>0</v>
      </c>
      <c r="L266" s="17">
        <f t="shared" ca="1" si="8"/>
        <v>46167</v>
      </c>
      <c r="M266" s="6" t="str">
        <f t="shared" ca="1" si="9"/>
        <v>25/05/yyyy a 31/05/yyyy</v>
      </c>
    </row>
    <row r="267" spans="1:13" x14ac:dyDescent="0.3">
      <c r="A267" t="s">
        <v>10</v>
      </c>
      <c r="B267" t="s">
        <v>18</v>
      </c>
      <c r="C267">
        <v>45848</v>
      </c>
      <c r="D267">
        <v>45855</v>
      </c>
      <c r="E267">
        <v>3</v>
      </c>
      <c r="F267">
        <v>3</v>
      </c>
      <c r="G267">
        <v>10</v>
      </c>
      <c r="H267">
        <v>2</v>
      </c>
      <c r="I267">
        <v>0.5</v>
      </c>
      <c r="J267" t="s">
        <v>45</v>
      </c>
      <c r="K267">
        <v>1</v>
      </c>
      <c r="L267" s="17">
        <f t="shared" ca="1" si="8"/>
        <v>46174</v>
      </c>
      <c r="M267" s="6" t="str">
        <f t="shared" ca="1" si="9"/>
        <v>01/06/yyyy a 07/06/yyyy</v>
      </c>
    </row>
    <row r="268" spans="1:13" x14ac:dyDescent="0.3">
      <c r="A268" t="s">
        <v>10</v>
      </c>
      <c r="B268" t="s">
        <v>18</v>
      </c>
      <c r="C268">
        <v>45848</v>
      </c>
      <c r="D268">
        <v>45855</v>
      </c>
      <c r="E268">
        <v>3</v>
      </c>
      <c r="F268">
        <v>3</v>
      </c>
      <c r="G268">
        <v>10</v>
      </c>
      <c r="H268">
        <v>2</v>
      </c>
      <c r="I268">
        <v>0.5</v>
      </c>
      <c r="J268" t="s">
        <v>46</v>
      </c>
      <c r="K268">
        <v>2</v>
      </c>
      <c r="L268" s="17">
        <f t="shared" ca="1" si="8"/>
        <v>46181</v>
      </c>
      <c r="M268" s="6" t="str">
        <f t="shared" ca="1" si="9"/>
        <v>08/06/yyyy a 14/06/yyyy</v>
      </c>
    </row>
    <row r="269" spans="1:13" x14ac:dyDescent="0.3">
      <c r="A269" t="s">
        <v>10</v>
      </c>
      <c r="B269" t="s">
        <v>18</v>
      </c>
      <c r="C269">
        <v>45848</v>
      </c>
      <c r="D269">
        <v>45855</v>
      </c>
      <c r="E269">
        <v>3</v>
      </c>
      <c r="F269">
        <v>3</v>
      </c>
      <c r="G269">
        <v>10</v>
      </c>
      <c r="H269">
        <v>2</v>
      </c>
      <c r="I269">
        <v>0.5</v>
      </c>
      <c r="J269" t="s">
        <v>47</v>
      </c>
      <c r="K269">
        <v>0</v>
      </c>
      <c r="L269" s="17">
        <f t="shared" ca="1" si="8"/>
        <v>46188</v>
      </c>
      <c r="M269" s="6" t="str">
        <f t="shared" ca="1" si="9"/>
        <v>15/06/yyyy a 21/06/yyyy</v>
      </c>
    </row>
    <row r="270" spans="1:13" x14ac:dyDescent="0.3">
      <c r="A270" t="s">
        <v>10</v>
      </c>
      <c r="B270" t="s">
        <v>18</v>
      </c>
      <c r="C270">
        <v>45848</v>
      </c>
      <c r="D270">
        <v>45855</v>
      </c>
      <c r="E270">
        <v>3</v>
      </c>
      <c r="F270">
        <v>3</v>
      </c>
      <c r="G270">
        <v>10</v>
      </c>
      <c r="H270">
        <v>2</v>
      </c>
      <c r="I270">
        <v>0.5</v>
      </c>
      <c r="J270" t="s">
        <v>48</v>
      </c>
      <c r="K270">
        <v>0</v>
      </c>
      <c r="L270" s="17">
        <f t="shared" ca="1" si="8"/>
        <v>46195</v>
      </c>
      <c r="M270" s="6" t="str">
        <f t="shared" ca="1" si="9"/>
        <v>22/06/yyyy a 28/06/yyyy</v>
      </c>
    </row>
    <row r="271" spans="1:13" x14ac:dyDescent="0.3">
      <c r="A271" t="s">
        <v>10</v>
      </c>
      <c r="B271" t="s">
        <v>18</v>
      </c>
      <c r="C271">
        <v>45848</v>
      </c>
      <c r="D271">
        <v>45855</v>
      </c>
      <c r="E271">
        <v>3</v>
      </c>
      <c r="F271">
        <v>3</v>
      </c>
      <c r="G271">
        <v>10</v>
      </c>
      <c r="H271">
        <v>2</v>
      </c>
      <c r="I271">
        <v>0.5</v>
      </c>
      <c r="J271" t="s">
        <v>49</v>
      </c>
      <c r="K271">
        <v>0</v>
      </c>
      <c r="L271" s="17">
        <f t="shared" ca="1" si="8"/>
        <v>46202</v>
      </c>
      <c r="M271" s="6" t="str">
        <f t="shared" ca="1" si="9"/>
        <v>29/06/yyyy a 05/07/yyyy</v>
      </c>
    </row>
    <row r="272" spans="1:13" x14ac:dyDescent="0.3">
      <c r="A272" t="s">
        <v>10</v>
      </c>
      <c r="B272" t="s">
        <v>18</v>
      </c>
      <c r="C272">
        <v>45848</v>
      </c>
      <c r="D272">
        <v>45855</v>
      </c>
      <c r="E272">
        <v>3</v>
      </c>
      <c r="F272">
        <v>3</v>
      </c>
      <c r="G272">
        <v>10</v>
      </c>
      <c r="H272">
        <v>2</v>
      </c>
      <c r="I272">
        <v>0.5</v>
      </c>
      <c r="J272" t="s">
        <v>50</v>
      </c>
      <c r="K272">
        <v>0</v>
      </c>
      <c r="L272" s="17">
        <f t="shared" ca="1" si="8"/>
        <v>46209</v>
      </c>
      <c r="M272" s="6" t="str">
        <f t="shared" ca="1" si="9"/>
        <v>06/07/yyyy a 12/07/yyyy</v>
      </c>
    </row>
    <row r="273" spans="1:13" x14ac:dyDescent="0.3">
      <c r="A273" t="s">
        <v>10</v>
      </c>
      <c r="B273" t="s">
        <v>18</v>
      </c>
      <c r="C273">
        <v>45848</v>
      </c>
      <c r="D273">
        <v>45855</v>
      </c>
      <c r="E273">
        <v>3</v>
      </c>
      <c r="F273">
        <v>3</v>
      </c>
      <c r="G273">
        <v>10</v>
      </c>
      <c r="H273">
        <v>2</v>
      </c>
      <c r="I273">
        <v>0.5</v>
      </c>
      <c r="J273" t="s">
        <v>51</v>
      </c>
      <c r="K273">
        <v>0</v>
      </c>
      <c r="L273" s="17">
        <f t="shared" ca="1" si="8"/>
        <v>46216</v>
      </c>
      <c r="M273" s="6" t="str">
        <f t="shared" ca="1" si="9"/>
        <v>13/07/yyyy a 19/07/yyyy</v>
      </c>
    </row>
    <row r="274" spans="1:13" x14ac:dyDescent="0.3">
      <c r="A274" t="s">
        <v>10</v>
      </c>
      <c r="B274" t="s">
        <v>18</v>
      </c>
      <c r="C274">
        <v>45848</v>
      </c>
      <c r="D274">
        <v>45855</v>
      </c>
      <c r="E274">
        <v>3</v>
      </c>
      <c r="F274">
        <v>3</v>
      </c>
      <c r="G274">
        <v>10</v>
      </c>
      <c r="H274">
        <v>2</v>
      </c>
      <c r="I274">
        <v>0.5</v>
      </c>
      <c r="J274" t="s">
        <v>52</v>
      </c>
      <c r="K274">
        <v>0</v>
      </c>
      <c r="L274" s="17">
        <f t="shared" ca="1" si="8"/>
        <v>46223</v>
      </c>
      <c r="M274" s="6" t="str">
        <f t="shared" ca="1" si="9"/>
        <v>20/07/yyyy a 26/07/yyyy</v>
      </c>
    </row>
    <row r="275" spans="1:13" x14ac:dyDescent="0.3">
      <c r="A275" t="s">
        <v>10</v>
      </c>
      <c r="B275" t="s">
        <v>18</v>
      </c>
      <c r="C275">
        <v>45848</v>
      </c>
      <c r="D275">
        <v>45855</v>
      </c>
      <c r="E275">
        <v>3</v>
      </c>
      <c r="F275">
        <v>3</v>
      </c>
      <c r="G275">
        <v>10</v>
      </c>
      <c r="H275">
        <v>2</v>
      </c>
      <c r="I275">
        <v>0.5</v>
      </c>
      <c r="J275" t="s">
        <v>53</v>
      </c>
      <c r="K275">
        <v>0</v>
      </c>
      <c r="L275" s="17">
        <f t="shared" ca="1" si="8"/>
        <v>46167</v>
      </c>
      <c r="M275" s="6" t="str">
        <f t="shared" ca="1" si="9"/>
        <v>25/05/yyyy a 31/05/yyyy</v>
      </c>
    </row>
    <row r="276" spans="1:13" x14ac:dyDescent="0.3">
      <c r="A276" t="s">
        <v>10</v>
      </c>
      <c r="B276" t="s">
        <v>18</v>
      </c>
      <c r="C276">
        <v>45848</v>
      </c>
      <c r="D276">
        <v>45855</v>
      </c>
      <c r="E276">
        <v>3</v>
      </c>
      <c r="F276">
        <v>3</v>
      </c>
      <c r="G276">
        <v>10</v>
      </c>
      <c r="H276">
        <v>2</v>
      </c>
      <c r="I276">
        <v>0.5</v>
      </c>
      <c r="J276" t="s">
        <v>54</v>
      </c>
      <c r="K276">
        <v>0</v>
      </c>
      <c r="L276" s="17">
        <f t="shared" ca="1" si="8"/>
        <v>46167</v>
      </c>
      <c r="M276" s="6" t="str">
        <f t="shared" ca="1" si="9"/>
        <v>25/05/yyyy a 31/05/yyyy</v>
      </c>
    </row>
    <row r="277" spans="1:13" x14ac:dyDescent="0.3">
      <c r="A277" t="s">
        <v>10</v>
      </c>
      <c r="B277" t="s">
        <v>18</v>
      </c>
      <c r="C277">
        <v>45848</v>
      </c>
      <c r="D277">
        <v>45855</v>
      </c>
      <c r="E277">
        <v>3</v>
      </c>
      <c r="F277">
        <v>3</v>
      </c>
      <c r="G277">
        <v>10</v>
      </c>
      <c r="H277">
        <v>2</v>
      </c>
      <c r="I277">
        <v>0.5</v>
      </c>
      <c r="J277" t="s">
        <v>55</v>
      </c>
      <c r="K277">
        <v>0</v>
      </c>
      <c r="L277" s="17">
        <f t="shared" ca="1" si="8"/>
        <v>46167</v>
      </c>
      <c r="M277" s="6" t="str">
        <f t="shared" ca="1" si="9"/>
        <v>25/05/yyyy a 31/05/yyyy</v>
      </c>
    </row>
    <row r="278" spans="1:13" x14ac:dyDescent="0.3">
      <c r="A278" t="s">
        <v>10</v>
      </c>
      <c r="B278" t="s">
        <v>16</v>
      </c>
      <c r="C278">
        <v>45848</v>
      </c>
      <c r="D278">
        <v>45855</v>
      </c>
      <c r="E278">
        <v>2.5</v>
      </c>
      <c r="F278">
        <v>2.5</v>
      </c>
      <c r="G278">
        <v>10</v>
      </c>
      <c r="H278">
        <v>2</v>
      </c>
      <c r="I278">
        <v>0.41666666666666669</v>
      </c>
      <c r="J278" t="s">
        <v>44</v>
      </c>
      <c r="K278">
        <v>0</v>
      </c>
      <c r="L278" s="17">
        <f t="shared" ca="1" si="8"/>
        <v>46167</v>
      </c>
      <c r="M278" s="6" t="str">
        <f t="shared" ca="1" si="9"/>
        <v>25/05/yyyy a 31/05/yyyy</v>
      </c>
    </row>
    <row r="279" spans="1:13" x14ac:dyDescent="0.3">
      <c r="A279" t="s">
        <v>10</v>
      </c>
      <c r="B279" t="s">
        <v>16</v>
      </c>
      <c r="C279">
        <v>45848</v>
      </c>
      <c r="D279">
        <v>45855</v>
      </c>
      <c r="E279">
        <v>2.5</v>
      </c>
      <c r="F279">
        <v>2.5</v>
      </c>
      <c r="G279">
        <v>10</v>
      </c>
      <c r="H279">
        <v>2</v>
      </c>
      <c r="I279">
        <v>0.41666666666666669</v>
      </c>
      <c r="J279" t="s">
        <v>45</v>
      </c>
      <c r="K279">
        <v>0.83333333333333348</v>
      </c>
      <c r="L279" s="17">
        <f t="shared" ca="1" si="8"/>
        <v>46174</v>
      </c>
      <c r="M279" s="6" t="str">
        <f t="shared" ca="1" si="9"/>
        <v>01/06/yyyy a 07/06/yyyy</v>
      </c>
    </row>
    <row r="280" spans="1:13" x14ac:dyDescent="0.3">
      <c r="A280" t="s">
        <v>10</v>
      </c>
      <c r="B280" t="s">
        <v>16</v>
      </c>
      <c r="C280">
        <v>45848</v>
      </c>
      <c r="D280">
        <v>45855</v>
      </c>
      <c r="E280">
        <v>2.5</v>
      </c>
      <c r="F280">
        <v>2.5</v>
      </c>
      <c r="G280">
        <v>10</v>
      </c>
      <c r="H280">
        <v>2</v>
      </c>
      <c r="I280">
        <v>0.41666666666666669</v>
      </c>
      <c r="J280" t="s">
        <v>46</v>
      </c>
      <c r="K280">
        <v>1.6666666666666667</v>
      </c>
      <c r="L280" s="17">
        <f t="shared" ca="1" si="8"/>
        <v>46181</v>
      </c>
      <c r="M280" s="6" t="str">
        <f t="shared" ca="1" si="9"/>
        <v>08/06/yyyy a 14/06/yyyy</v>
      </c>
    </row>
    <row r="281" spans="1:13" x14ac:dyDescent="0.3">
      <c r="A281" t="s">
        <v>10</v>
      </c>
      <c r="B281" t="s">
        <v>16</v>
      </c>
      <c r="C281">
        <v>45848</v>
      </c>
      <c r="D281">
        <v>45855</v>
      </c>
      <c r="E281">
        <v>2.5</v>
      </c>
      <c r="F281">
        <v>2.5</v>
      </c>
      <c r="G281">
        <v>10</v>
      </c>
      <c r="H281">
        <v>2</v>
      </c>
      <c r="I281">
        <v>0.41666666666666669</v>
      </c>
      <c r="J281" t="s">
        <v>47</v>
      </c>
      <c r="K281">
        <v>0</v>
      </c>
      <c r="L281" s="17">
        <f t="shared" ca="1" si="8"/>
        <v>46188</v>
      </c>
      <c r="M281" s="6" t="str">
        <f t="shared" ca="1" si="9"/>
        <v>15/06/yyyy a 21/06/yyyy</v>
      </c>
    </row>
    <row r="282" spans="1:13" x14ac:dyDescent="0.3">
      <c r="A282" t="s">
        <v>10</v>
      </c>
      <c r="B282" t="s">
        <v>16</v>
      </c>
      <c r="C282">
        <v>45848</v>
      </c>
      <c r="D282">
        <v>45855</v>
      </c>
      <c r="E282">
        <v>2.5</v>
      </c>
      <c r="F282">
        <v>2.5</v>
      </c>
      <c r="G282">
        <v>10</v>
      </c>
      <c r="H282">
        <v>2</v>
      </c>
      <c r="I282">
        <v>0.41666666666666669</v>
      </c>
      <c r="J282" t="s">
        <v>48</v>
      </c>
      <c r="K282">
        <v>0</v>
      </c>
      <c r="L282" s="17">
        <f t="shared" ca="1" si="8"/>
        <v>46195</v>
      </c>
      <c r="M282" s="6" t="str">
        <f t="shared" ca="1" si="9"/>
        <v>22/06/yyyy a 28/06/yyyy</v>
      </c>
    </row>
    <row r="283" spans="1:13" x14ac:dyDescent="0.3">
      <c r="A283" t="s">
        <v>10</v>
      </c>
      <c r="B283" t="s">
        <v>16</v>
      </c>
      <c r="C283">
        <v>45848</v>
      </c>
      <c r="D283">
        <v>45855</v>
      </c>
      <c r="E283">
        <v>2.5</v>
      </c>
      <c r="F283">
        <v>2.5</v>
      </c>
      <c r="G283">
        <v>10</v>
      </c>
      <c r="H283">
        <v>2</v>
      </c>
      <c r="I283">
        <v>0.41666666666666669</v>
      </c>
      <c r="J283" t="s">
        <v>49</v>
      </c>
      <c r="K283">
        <v>0</v>
      </c>
      <c r="L283" s="17">
        <f t="shared" ca="1" si="8"/>
        <v>46202</v>
      </c>
      <c r="M283" s="6" t="str">
        <f t="shared" ca="1" si="9"/>
        <v>29/06/yyyy a 05/07/yyyy</v>
      </c>
    </row>
    <row r="284" spans="1:13" x14ac:dyDescent="0.3">
      <c r="A284" t="s">
        <v>10</v>
      </c>
      <c r="B284" t="s">
        <v>16</v>
      </c>
      <c r="C284">
        <v>45848</v>
      </c>
      <c r="D284">
        <v>45855</v>
      </c>
      <c r="E284">
        <v>2.5</v>
      </c>
      <c r="F284">
        <v>2.5</v>
      </c>
      <c r="G284">
        <v>10</v>
      </c>
      <c r="H284">
        <v>2</v>
      </c>
      <c r="I284">
        <v>0.41666666666666669</v>
      </c>
      <c r="J284" t="s">
        <v>50</v>
      </c>
      <c r="K284">
        <v>0</v>
      </c>
      <c r="L284" s="17">
        <f t="shared" ca="1" si="8"/>
        <v>46209</v>
      </c>
      <c r="M284" s="6" t="str">
        <f t="shared" ca="1" si="9"/>
        <v>06/07/yyyy a 12/07/yyyy</v>
      </c>
    </row>
    <row r="285" spans="1:13" x14ac:dyDescent="0.3">
      <c r="A285" t="s">
        <v>10</v>
      </c>
      <c r="B285" t="s">
        <v>16</v>
      </c>
      <c r="C285">
        <v>45848</v>
      </c>
      <c r="D285">
        <v>45855</v>
      </c>
      <c r="E285">
        <v>2.5</v>
      </c>
      <c r="F285">
        <v>2.5</v>
      </c>
      <c r="G285">
        <v>10</v>
      </c>
      <c r="H285">
        <v>2</v>
      </c>
      <c r="I285">
        <v>0.41666666666666669</v>
      </c>
      <c r="J285" t="s">
        <v>51</v>
      </c>
      <c r="K285">
        <v>0</v>
      </c>
      <c r="L285" s="17">
        <f t="shared" ca="1" si="8"/>
        <v>46216</v>
      </c>
      <c r="M285" s="6" t="str">
        <f t="shared" ca="1" si="9"/>
        <v>13/07/yyyy a 19/07/yyyy</v>
      </c>
    </row>
    <row r="286" spans="1:13" x14ac:dyDescent="0.3">
      <c r="A286" t="s">
        <v>10</v>
      </c>
      <c r="B286" t="s">
        <v>16</v>
      </c>
      <c r="C286">
        <v>45848</v>
      </c>
      <c r="D286">
        <v>45855</v>
      </c>
      <c r="E286">
        <v>2.5</v>
      </c>
      <c r="F286">
        <v>2.5</v>
      </c>
      <c r="G286">
        <v>10</v>
      </c>
      <c r="H286">
        <v>2</v>
      </c>
      <c r="I286">
        <v>0.41666666666666669</v>
      </c>
      <c r="J286" t="s">
        <v>52</v>
      </c>
      <c r="K286">
        <v>0</v>
      </c>
      <c r="L286" s="17">
        <f t="shared" ca="1" si="8"/>
        <v>46223</v>
      </c>
      <c r="M286" s="6" t="str">
        <f t="shared" ca="1" si="9"/>
        <v>20/07/yyyy a 26/07/yyyy</v>
      </c>
    </row>
    <row r="287" spans="1:13" x14ac:dyDescent="0.3">
      <c r="A287" t="s">
        <v>10</v>
      </c>
      <c r="B287" t="s">
        <v>16</v>
      </c>
      <c r="C287">
        <v>45848</v>
      </c>
      <c r="D287">
        <v>45855</v>
      </c>
      <c r="E287">
        <v>2.5</v>
      </c>
      <c r="F287">
        <v>2.5</v>
      </c>
      <c r="G287">
        <v>10</v>
      </c>
      <c r="H287">
        <v>2</v>
      </c>
      <c r="I287">
        <v>0.41666666666666669</v>
      </c>
      <c r="J287" t="s">
        <v>53</v>
      </c>
      <c r="K287">
        <v>0</v>
      </c>
      <c r="L287" s="17">
        <f t="shared" ca="1" si="8"/>
        <v>46167</v>
      </c>
      <c r="M287" s="6" t="str">
        <f t="shared" ca="1" si="9"/>
        <v>25/05/yyyy a 31/05/yyyy</v>
      </c>
    </row>
    <row r="288" spans="1:13" x14ac:dyDescent="0.3">
      <c r="A288" t="s">
        <v>10</v>
      </c>
      <c r="B288" t="s">
        <v>16</v>
      </c>
      <c r="C288">
        <v>45848</v>
      </c>
      <c r="D288">
        <v>45855</v>
      </c>
      <c r="E288">
        <v>2.5</v>
      </c>
      <c r="F288">
        <v>2.5</v>
      </c>
      <c r="G288">
        <v>10</v>
      </c>
      <c r="H288">
        <v>2</v>
      </c>
      <c r="I288">
        <v>0.41666666666666669</v>
      </c>
      <c r="J288" t="s">
        <v>54</v>
      </c>
      <c r="K288">
        <v>0</v>
      </c>
      <c r="L288" s="17">
        <f t="shared" ca="1" si="8"/>
        <v>46167</v>
      </c>
      <c r="M288" s="6" t="str">
        <f t="shared" ca="1" si="9"/>
        <v>25/05/yyyy a 31/05/yyyy</v>
      </c>
    </row>
    <row r="289" spans="1:13" x14ac:dyDescent="0.3">
      <c r="A289" t="s">
        <v>10</v>
      </c>
      <c r="B289" t="s">
        <v>16</v>
      </c>
      <c r="C289">
        <v>45848</v>
      </c>
      <c r="D289">
        <v>45855</v>
      </c>
      <c r="E289">
        <v>2.5</v>
      </c>
      <c r="F289">
        <v>2.5</v>
      </c>
      <c r="G289">
        <v>10</v>
      </c>
      <c r="H289">
        <v>2</v>
      </c>
      <c r="I289">
        <v>0.41666666666666669</v>
      </c>
      <c r="J289" t="s">
        <v>55</v>
      </c>
      <c r="K289">
        <v>0</v>
      </c>
      <c r="L289" s="17">
        <f t="shared" ca="1" si="8"/>
        <v>46167</v>
      </c>
      <c r="M289" s="6" t="str">
        <f t="shared" ca="1" si="9"/>
        <v>25/05/yyyy a 31/05/yyyy</v>
      </c>
    </row>
    <row r="290" spans="1:13" x14ac:dyDescent="0.3">
      <c r="A290" t="s">
        <v>10</v>
      </c>
      <c r="B290" t="s">
        <v>16</v>
      </c>
      <c r="C290">
        <v>45862</v>
      </c>
      <c r="D290">
        <v>45869</v>
      </c>
      <c r="E290">
        <v>2.5</v>
      </c>
      <c r="F290">
        <v>2.5</v>
      </c>
      <c r="G290">
        <v>20</v>
      </c>
      <c r="H290">
        <v>4</v>
      </c>
      <c r="I290">
        <v>0.41666666666666669</v>
      </c>
      <c r="J290" t="s">
        <v>44</v>
      </c>
      <c r="K290">
        <v>0</v>
      </c>
      <c r="L290" s="17">
        <f t="shared" ca="1" si="8"/>
        <v>46167</v>
      </c>
      <c r="M290" s="6" t="str">
        <f t="shared" ca="1" si="9"/>
        <v>25/05/yyyy a 31/05/yyyy</v>
      </c>
    </row>
    <row r="291" spans="1:13" x14ac:dyDescent="0.3">
      <c r="A291" t="s">
        <v>10</v>
      </c>
      <c r="B291" t="s">
        <v>16</v>
      </c>
      <c r="C291">
        <v>45862</v>
      </c>
      <c r="D291">
        <v>45869</v>
      </c>
      <c r="E291">
        <v>2.5</v>
      </c>
      <c r="F291">
        <v>2.5</v>
      </c>
      <c r="G291">
        <v>20</v>
      </c>
      <c r="H291">
        <v>4</v>
      </c>
      <c r="I291">
        <v>0.41666666666666669</v>
      </c>
      <c r="J291" t="s">
        <v>45</v>
      </c>
      <c r="K291">
        <v>0</v>
      </c>
      <c r="L291" s="17">
        <f t="shared" ca="1" si="8"/>
        <v>46174</v>
      </c>
      <c r="M291" s="6" t="str">
        <f t="shared" ca="1" si="9"/>
        <v>01/06/yyyy a 07/06/yyyy</v>
      </c>
    </row>
    <row r="292" spans="1:13" x14ac:dyDescent="0.3">
      <c r="A292" t="s">
        <v>10</v>
      </c>
      <c r="B292" t="s">
        <v>16</v>
      </c>
      <c r="C292">
        <v>45862</v>
      </c>
      <c r="D292">
        <v>45869</v>
      </c>
      <c r="E292">
        <v>2.5</v>
      </c>
      <c r="F292">
        <v>2.5</v>
      </c>
      <c r="G292">
        <v>20</v>
      </c>
      <c r="H292">
        <v>4</v>
      </c>
      <c r="I292">
        <v>0.41666666666666669</v>
      </c>
      <c r="J292" t="s">
        <v>46</v>
      </c>
      <c r="K292">
        <v>0</v>
      </c>
      <c r="L292" s="17">
        <f t="shared" ca="1" si="8"/>
        <v>46181</v>
      </c>
      <c r="M292" s="6" t="str">
        <f t="shared" ca="1" si="9"/>
        <v>08/06/yyyy a 14/06/yyyy</v>
      </c>
    </row>
    <row r="293" spans="1:13" x14ac:dyDescent="0.3">
      <c r="A293" t="s">
        <v>10</v>
      </c>
      <c r="B293" t="s">
        <v>16</v>
      </c>
      <c r="C293">
        <v>45862</v>
      </c>
      <c r="D293">
        <v>45869</v>
      </c>
      <c r="E293">
        <v>2.5</v>
      </c>
      <c r="F293">
        <v>2.5</v>
      </c>
      <c r="G293">
        <v>20</v>
      </c>
      <c r="H293">
        <v>4</v>
      </c>
      <c r="I293">
        <v>0.41666666666666669</v>
      </c>
      <c r="J293" t="s">
        <v>47</v>
      </c>
      <c r="K293">
        <v>0.83333333333333348</v>
      </c>
      <c r="L293" s="17">
        <f t="shared" ca="1" si="8"/>
        <v>46188</v>
      </c>
      <c r="M293" s="6" t="str">
        <f t="shared" ca="1" si="9"/>
        <v>15/06/yyyy a 21/06/yyyy</v>
      </c>
    </row>
    <row r="294" spans="1:13" x14ac:dyDescent="0.3">
      <c r="A294" t="s">
        <v>10</v>
      </c>
      <c r="B294" t="s">
        <v>16</v>
      </c>
      <c r="C294">
        <v>45862</v>
      </c>
      <c r="D294">
        <v>45869</v>
      </c>
      <c r="E294">
        <v>2.5</v>
      </c>
      <c r="F294">
        <v>2.5</v>
      </c>
      <c r="G294">
        <v>20</v>
      </c>
      <c r="H294">
        <v>4</v>
      </c>
      <c r="I294">
        <v>0.41666666666666669</v>
      </c>
      <c r="J294" t="s">
        <v>48</v>
      </c>
      <c r="K294">
        <v>1.6666666666666667</v>
      </c>
      <c r="L294" s="17">
        <f t="shared" ca="1" si="8"/>
        <v>46195</v>
      </c>
      <c r="M294" s="6" t="str">
        <f t="shared" ca="1" si="9"/>
        <v>22/06/yyyy a 28/06/yyyy</v>
      </c>
    </row>
    <row r="295" spans="1:13" x14ac:dyDescent="0.3">
      <c r="A295" t="s">
        <v>10</v>
      </c>
      <c r="B295" t="s">
        <v>16</v>
      </c>
      <c r="C295">
        <v>45862</v>
      </c>
      <c r="D295">
        <v>45869</v>
      </c>
      <c r="E295">
        <v>2.5</v>
      </c>
      <c r="F295">
        <v>2.5</v>
      </c>
      <c r="G295">
        <v>20</v>
      </c>
      <c r="H295">
        <v>4</v>
      </c>
      <c r="I295">
        <v>0.41666666666666669</v>
      </c>
      <c r="J295" t="s">
        <v>49</v>
      </c>
      <c r="K295">
        <v>0</v>
      </c>
      <c r="L295" s="17">
        <f t="shared" ca="1" si="8"/>
        <v>46202</v>
      </c>
      <c r="M295" s="6" t="str">
        <f t="shared" ca="1" si="9"/>
        <v>29/06/yyyy a 05/07/yyyy</v>
      </c>
    </row>
    <row r="296" spans="1:13" x14ac:dyDescent="0.3">
      <c r="A296" t="s">
        <v>10</v>
      </c>
      <c r="B296" t="s">
        <v>16</v>
      </c>
      <c r="C296">
        <v>45862</v>
      </c>
      <c r="D296">
        <v>45869</v>
      </c>
      <c r="E296">
        <v>2.5</v>
      </c>
      <c r="F296">
        <v>2.5</v>
      </c>
      <c r="G296">
        <v>20</v>
      </c>
      <c r="H296">
        <v>4</v>
      </c>
      <c r="I296">
        <v>0.41666666666666669</v>
      </c>
      <c r="J296" t="s">
        <v>50</v>
      </c>
      <c r="K296">
        <v>0</v>
      </c>
      <c r="L296" s="17">
        <f t="shared" ca="1" si="8"/>
        <v>46209</v>
      </c>
      <c r="M296" s="6" t="str">
        <f t="shared" ca="1" si="9"/>
        <v>06/07/yyyy a 12/07/yyyy</v>
      </c>
    </row>
    <row r="297" spans="1:13" x14ac:dyDescent="0.3">
      <c r="A297" t="s">
        <v>10</v>
      </c>
      <c r="B297" t="s">
        <v>16</v>
      </c>
      <c r="C297">
        <v>45862</v>
      </c>
      <c r="D297">
        <v>45869</v>
      </c>
      <c r="E297">
        <v>2.5</v>
      </c>
      <c r="F297">
        <v>2.5</v>
      </c>
      <c r="G297">
        <v>20</v>
      </c>
      <c r="H297">
        <v>4</v>
      </c>
      <c r="I297">
        <v>0.41666666666666669</v>
      </c>
      <c r="J297" t="s">
        <v>51</v>
      </c>
      <c r="K297">
        <v>0</v>
      </c>
      <c r="L297" s="17">
        <f t="shared" ca="1" si="8"/>
        <v>46216</v>
      </c>
      <c r="M297" s="6" t="str">
        <f t="shared" ca="1" si="9"/>
        <v>13/07/yyyy a 19/07/yyyy</v>
      </c>
    </row>
    <row r="298" spans="1:13" x14ac:dyDescent="0.3">
      <c r="A298" t="s">
        <v>10</v>
      </c>
      <c r="B298" t="s">
        <v>16</v>
      </c>
      <c r="C298">
        <v>45862</v>
      </c>
      <c r="D298">
        <v>45869</v>
      </c>
      <c r="E298">
        <v>2.5</v>
      </c>
      <c r="F298">
        <v>2.5</v>
      </c>
      <c r="G298">
        <v>20</v>
      </c>
      <c r="H298">
        <v>4</v>
      </c>
      <c r="I298">
        <v>0.41666666666666669</v>
      </c>
      <c r="J298" t="s">
        <v>52</v>
      </c>
      <c r="K298">
        <v>0</v>
      </c>
      <c r="L298" s="17">
        <f t="shared" ca="1" si="8"/>
        <v>46223</v>
      </c>
      <c r="M298" s="6" t="str">
        <f t="shared" ca="1" si="9"/>
        <v>20/07/yyyy a 26/07/yyyy</v>
      </c>
    </row>
    <row r="299" spans="1:13" x14ac:dyDescent="0.3">
      <c r="A299" t="s">
        <v>10</v>
      </c>
      <c r="B299" t="s">
        <v>16</v>
      </c>
      <c r="C299">
        <v>45862</v>
      </c>
      <c r="D299">
        <v>45869</v>
      </c>
      <c r="E299">
        <v>2.5</v>
      </c>
      <c r="F299">
        <v>2.5</v>
      </c>
      <c r="G299">
        <v>20</v>
      </c>
      <c r="H299">
        <v>4</v>
      </c>
      <c r="I299">
        <v>0.41666666666666669</v>
      </c>
      <c r="J299" t="s">
        <v>53</v>
      </c>
      <c r="K299">
        <v>0</v>
      </c>
      <c r="L299" s="17">
        <f t="shared" ca="1" si="8"/>
        <v>46167</v>
      </c>
      <c r="M299" s="6" t="str">
        <f t="shared" ca="1" si="9"/>
        <v>25/05/yyyy a 31/05/yyyy</v>
      </c>
    </row>
    <row r="300" spans="1:13" x14ac:dyDescent="0.3">
      <c r="A300" t="s">
        <v>10</v>
      </c>
      <c r="B300" t="s">
        <v>16</v>
      </c>
      <c r="C300">
        <v>45862</v>
      </c>
      <c r="D300">
        <v>45869</v>
      </c>
      <c r="E300">
        <v>2.5</v>
      </c>
      <c r="F300">
        <v>2.5</v>
      </c>
      <c r="G300">
        <v>20</v>
      </c>
      <c r="H300">
        <v>4</v>
      </c>
      <c r="I300">
        <v>0.41666666666666669</v>
      </c>
      <c r="J300" t="s">
        <v>54</v>
      </c>
      <c r="K300">
        <v>0</v>
      </c>
      <c r="L300" s="17">
        <f t="shared" ca="1" si="8"/>
        <v>46167</v>
      </c>
      <c r="M300" s="6" t="str">
        <f t="shared" ca="1" si="9"/>
        <v>25/05/yyyy a 31/05/yyyy</v>
      </c>
    </row>
    <row r="301" spans="1:13" x14ac:dyDescent="0.3">
      <c r="A301" t="s">
        <v>10</v>
      </c>
      <c r="B301" t="s">
        <v>16</v>
      </c>
      <c r="C301">
        <v>45862</v>
      </c>
      <c r="D301">
        <v>45869</v>
      </c>
      <c r="E301">
        <v>2.5</v>
      </c>
      <c r="F301">
        <v>2.5</v>
      </c>
      <c r="G301">
        <v>20</v>
      </c>
      <c r="H301">
        <v>4</v>
      </c>
      <c r="I301">
        <v>0.41666666666666669</v>
      </c>
      <c r="J301" t="s">
        <v>55</v>
      </c>
      <c r="K301">
        <v>0</v>
      </c>
      <c r="L301" s="17">
        <f t="shared" ca="1" si="8"/>
        <v>46167</v>
      </c>
      <c r="M301" s="6" t="str">
        <f t="shared" ca="1" si="9"/>
        <v>25/05/yyyy a 31/05/yyyy</v>
      </c>
    </row>
    <row r="302" spans="1:13" x14ac:dyDescent="0.3">
      <c r="A302" t="s">
        <v>10</v>
      </c>
      <c r="B302" t="s">
        <v>33</v>
      </c>
      <c r="C302">
        <v>45863</v>
      </c>
      <c r="D302">
        <v>45870</v>
      </c>
      <c r="E302">
        <v>10</v>
      </c>
      <c r="F302">
        <v>10</v>
      </c>
      <c r="G302">
        <v>21</v>
      </c>
      <c r="H302">
        <v>4.2</v>
      </c>
      <c r="I302">
        <v>1.6666666666666667</v>
      </c>
      <c r="J302" t="s">
        <v>44</v>
      </c>
      <c r="K302">
        <v>0</v>
      </c>
      <c r="L302" s="17">
        <f t="shared" ca="1" si="8"/>
        <v>46167</v>
      </c>
      <c r="M302" s="6" t="str">
        <f t="shared" ca="1" si="9"/>
        <v>25/05/yyyy a 31/05/yyyy</v>
      </c>
    </row>
    <row r="303" spans="1:13" x14ac:dyDescent="0.3">
      <c r="A303" t="s">
        <v>10</v>
      </c>
      <c r="B303" t="s">
        <v>33</v>
      </c>
      <c r="C303">
        <v>45863</v>
      </c>
      <c r="D303">
        <v>45870</v>
      </c>
      <c r="E303">
        <v>10</v>
      </c>
      <c r="F303">
        <v>10</v>
      </c>
      <c r="G303">
        <v>21</v>
      </c>
      <c r="H303">
        <v>4.2</v>
      </c>
      <c r="I303">
        <v>1.6666666666666667</v>
      </c>
      <c r="J303" t="s">
        <v>45</v>
      </c>
      <c r="K303">
        <v>0</v>
      </c>
      <c r="L303" s="17">
        <f t="shared" ca="1" si="8"/>
        <v>46174</v>
      </c>
      <c r="M303" s="6" t="str">
        <f t="shared" ca="1" si="9"/>
        <v>01/06/yyyy a 07/06/yyyy</v>
      </c>
    </row>
    <row r="304" spans="1:13" x14ac:dyDescent="0.3">
      <c r="A304" t="s">
        <v>10</v>
      </c>
      <c r="B304" t="s">
        <v>33</v>
      </c>
      <c r="C304">
        <v>45863</v>
      </c>
      <c r="D304">
        <v>45870</v>
      </c>
      <c r="E304">
        <v>10</v>
      </c>
      <c r="F304">
        <v>10</v>
      </c>
      <c r="G304">
        <v>21</v>
      </c>
      <c r="H304">
        <v>4.2</v>
      </c>
      <c r="I304">
        <v>1.6666666666666667</v>
      </c>
      <c r="J304" t="s">
        <v>46</v>
      </c>
      <c r="K304">
        <v>0</v>
      </c>
      <c r="L304" s="17">
        <f t="shared" ca="1" si="8"/>
        <v>46181</v>
      </c>
      <c r="M304" s="6" t="str">
        <f t="shared" ca="1" si="9"/>
        <v>08/06/yyyy a 14/06/yyyy</v>
      </c>
    </row>
    <row r="305" spans="1:13" x14ac:dyDescent="0.3">
      <c r="A305" t="s">
        <v>10</v>
      </c>
      <c r="B305" t="s">
        <v>33</v>
      </c>
      <c r="C305">
        <v>45863</v>
      </c>
      <c r="D305">
        <v>45870</v>
      </c>
      <c r="E305">
        <v>10</v>
      </c>
      <c r="F305">
        <v>10</v>
      </c>
      <c r="G305">
        <v>21</v>
      </c>
      <c r="H305">
        <v>4.2</v>
      </c>
      <c r="I305">
        <v>1.6666666666666667</v>
      </c>
      <c r="J305" t="s">
        <v>47</v>
      </c>
      <c r="K305">
        <v>1.666666666666667</v>
      </c>
      <c r="L305" s="17">
        <f t="shared" ca="1" si="8"/>
        <v>46188</v>
      </c>
      <c r="M305" s="6" t="str">
        <f t="shared" ca="1" si="9"/>
        <v>15/06/yyyy a 21/06/yyyy</v>
      </c>
    </row>
    <row r="306" spans="1:13" x14ac:dyDescent="0.3">
      <c r="A306" t="s">
        <v>10</v>
      </c>
      <c r="B306" t="s">
        <v>33</v>
      </c>
      <c r="C306">
        <v>45863</v>
      </c>
      <c r="D306">
        <v>45870</v>
      </c>
      <c r="E306">
        <v>10</v>
      </c>
      <c r="F306">
        <v>10</v>
      </c>
      <c r="G306">
        <v>21</v>
      </c>
      <c r="H306">
        <v>4.2</v>
      </c>
      <c r="I306">
        <v>1.6666666666666667</v>
      </c>
      <c r="J306" t="s">
        <v>48</v>
      </c>
      <c r="K306">
        <v>8.3333333333333339</v>
      </c>
      <c r="L306" s="17">
        <f t="shared" ca="1" si="8"/>
        <v>46195</v>
      </c>
      <c r="M306" s="6" t="str">
        <f t="shared" ca="1" si="9"/>
        <v>22/06/yyyy a 28/06/yyyy</v>
      </c>
    </row>
    <row r="307" spans="1:13" x14ac:dyDescent="0.3">
      <c r="A307" t="s">
        <v>10</v>
      </c>
      <c r="B307" t="s">
        <v>33</v>
      </c>
      <c r="C307">
        <v>45863</v>
      </c>
      <c r="D307">
        <v>45870</v>
      </c>
      <c r="E307">
        <v>10</v>
      </c>
      <c r="F307">
        <v>10</v>
      </c>
      <c r="G307">
        <v>21</v>
      </c>
      <c r="H307">
        <v>4.2</v>
      </c>
      <c r="I307">
        <v>1.6666666666666667</v>
      </c>
      <c r="J307" t="s">
        <v>49</v>
      </c>
      <c r="K307">
        <v>0</v>
      </c>
      <c r="L307" s="17">
        <f t="shared" ca="1" si="8"/>
        <v>46202</v>
      </c>
      <c r="M307" s="6" t="str">
        <f t="shared" ca="1" si="9"/>
        <v>29/06/yyyy a 05/07/yyyy</v>
      </c>
    </row>
    <row r="308" spans="1:13" x14ac:dyDescent="0.3">
      <c r="A308" t="s">
        <v>10</v>
      </c>
      <c r="B308" t="s">
        <v>33</v>
      </c>
      <c r="C308">
        <v>45863</v>
      </c>
      <c r="D308">
        <v>45870</v>
      </c>
      <c r="E308">
        <v>10</v>
      </c>
      <c r="F308">
        <v>10</v>
      </c>
      <c r="G308">
        <v>21</v>
      </c>
      <c r="H308">
        <v>4.2</v>
      </c>
      <c r="I308">
        <v>1.6666666666666667</v>
      </c>
      <c r="J308" t="s">
        <v>50</v>
      </c>
      <c r="K308">
        <v>0</v>
      </c>
      <c r="L308" s="17">
        <f t="shared" ca="1" si="8"/>
        <v>46209</v>
      </c>
      <c r="M308" s="6" t="str">
        <f t="shared" ca="1" si="9"/>
        <v>06/07/yyyy a 12/07/yyyy</v>
      </c>
    </row>
    <row r="309" spans="1:13" x14ac:dyDescent="0.3">
      <c r="A309" t="s">
        <v>10</v>
      </c>
      <c r="B309" t="s">
        <v>33</v>
      </c>
      <c r="C309">
        <v>45863</v>
      </c>
      <c r="D309">
        <v>45870</v>
      </c>
      <c r="E309">
        <v>10</v>
      </c>
      <c r="F309">
        <v>10</v>
      </c>
      <c r="G309">
        <v>21</v>
      </c>
      <c r="H309">
        <v>4.2</v>
      </c>
      <c r="I309">
        <v>1.6666666666666667</v>
      </c>
      <c r="J309" t="s">
        <v>51</v>
      </c>
      <c r="K309">
        <v>0</v>
      </c>
      <c r="L309" s="17">
        <f t="shared" ca="1" si="8"/>
        <v>46216</v>
      </c>
      <c r="M309" s="6" t="str">
        <f t="shared" ca="1" si="9"/>
        <v>13/07/yyyy a 19/07/yyyy</v>
      </c>
    </row>
    <row r="310" spans="1:13" x14ac:dyDescent="0.3">
      <c r="A310" t="s">
        <v>10</v>
      </c>
      <c r="B310" t="s">
        <v>33</v>
      </c>
      <c r="C310">
        <v>45863</v>
      </c>
      <c r="D310">
        <v>45870</v>
      </c>
      <c r="E310">
        <v>10</v>
      </c>
      <c r="F310">
        <v>10</v>
      </c>
      <c r="G310">
        <v>21</v>
      </c>
      <c r="H310">
        <v>4.2</v>
      </c>
      <c r="I310">
        <v>1.6666666666666667</v>
      </c>
      <c r="J310" t="s">
        <v>52</v>
      </c>
      <c r="K310">
        <v>0</v>
      </c>
      <c r="L310" s="17">
        <f t="shared" ca="1" si="8"/>
        <v>46223</v>
      </c>
      <c r="M310" s="6" t="str">
        <f t="shared" ca="1" si="9"/>
        <v>20/07/yyyy a 26/07/yyyy</v>
      </c>
    </row>
    <row r="311" spans="1:13" x14ac:dyDescent="0.3">
      <c r="A311" t="s">
        <v>10</v>
      </c>
      <c r="B311" t="s">
        <v>33</v>
      </c>
      <c r="C311">
        <v>45863</v>
      </c>
      <c r="D311">
        <v>45870</v>
      </c>
      <c r="E311">
        <v>10</v>
      </c>
      <c r="F311">
        <v>10</v>
      </c>
      <c r="G311">
        <v>21</v>
      </c>
      <c r="H311">
        <v>4.2</v>
      </c>
      <c r="I311">
        <v>1.6666666666666667</v>
      </c>
      <c r="J311" t="s">
        <v>53</v>
      </c>
      <c r="K311">
        <v>0</v>
      </c>
      <c r="L311" s="17">
        <f t="shared" ca="1" si="8"/>
        <v>46167</v>
      </c>
      <c r="M311" s="6" t="str">
        <f t="shared" ca="1" si="9"/>
        <v>25/05/yyyy a 31/05/yyyy</v>
      </c>
    </row>
    <row r="312" spans="1:13" x14ac:dyDescent="0.3">
      <c r="A312" t="s">
        <v>10</v>
      </c>
      <c r="B312" t="s">
        <v>33</v>
      </c>
      <c r="C312">
        <v>45863</v>
      </c>
      <c r="D312">
        <v>45870</v>
      </c>
      <c r="E312">
        <v>10</v>
      </c>
      <c r="F312">
        <v>10</v>
      </c>
      <c r="G312">
        <v>21</v>
      </c>
      <c r="H312">
        <v>4.2</v>
      </c>
      <c r="I312">
        <v>1.6666666666666667</v>
      </c>
      <c r="J312" t="s">
        <v>54</v>
      </c>
      <c r="K312">
        <v>0</v>
      </c>
      <c r="L312" s="17">
        <f t="shared" ca="1" si="8"/>
        <v>46167</v>
      </c>
      <c r="M312" s="6" t="str">
        <f t="shared" ca="1" si="9"/>
        <v>25/05/yyyy a 31/05/yyyy</v>
      </c>
    </row>
    <row r="313" spans="1:13" x14ac:dyDescent="0.3">
      <c r="A313" t="s">
        <v>10</v>
      </c>
      <c r="B313" t="s">
        <v>33</v>
      </c>
      <c r="C313">
        <v>45863</v>
      </c>
      <c r="D313">
        <v>45870</v>
      </c>
      <c r="E313">
        <v>10</v>
      </c>
      <c r="F313">
        <v>10</v>
      </c>
      <c r="G313">
        <v>21</v>
      </c>
      <c r="H313">
        <v>4.2</v>
      </c>
      <c r="I313">
        <v>1.6666666666666667</v>
      </c>
      <c r="J313" t="s">
        <v>55</v>
      </c>
      <c r="K313">
        <v>0</v>
      </c>
      <c r="L313" s="17">
        <f t="shared" ca="1" si="8"/>
        <v>46167</v>
      </c>
      <c r="M313" s="6" t="str">
        <f t="shared" ca="1" si="9"/>
        <v>25/05/yyyy a 31/05/yyyy</v>
      </c>
    </row>
    <row r="314" spans="1:13" x14ac:dyDescent="0.3">
      <c r="A314" t="s">
        <v>24</v>
      </c>
      <c r="B314" t="s">
        <v>25</v>
      </c>
      <c r="C314">
        <v>45841</v>
      </c>
      <c r="D314">
        <v>45849</v>
      </c>
      <c r="E314">
        <v>10</v>
      </c>
      <c r="F314">
        <v>5.7142857142857144</v>
      </c>
      <c r="G314">
        <v>6</v>
      </c>
      <c r="H314">
        <v>1.2</v>
      </c>
      <c r="I314">
        <v>1.4285714285714286</v>
      </c>
      <c r="J314" t="s">
        <v>44</v>
      </c>
      <c r="K314">
        <v>4.4408920985006262E-16</v>
      </c>
      <c r="L314" s="17">
        <f t="shared" ca="1" si="8"/>
        <v>46167</v>
      </c>
      <c r="M314" s="6" t="str">
        <f t="shared" ca="1" si="9"/>
        <v>25/05/yyyy a 31/05/yyyy</v>
      </c>
    </row>
    <row r="315" spans="1:13" x14ac:dyDescent="0.3">
      <c r="A315" t="s">
        <v>24</v>
      </c>
      <c r="B315" t="s">
        <v>25</v>
      </c>
      <c r="C315">
        <v>45841</v>
      </c>
      <c r="D315">
        <v>45849</v>
      </c>
      <c r="E315">
        <v>10</v>
      </c>
      <c r="F315">
        <v>5.7142857142857144</v>
      </c>
      <c r="G315">
        <v>6</v>
      </c>
      <c r="H315">
        <v>1.2</v>
      </c>
      <c r="I315">
        <v>1.4285714285714286</v>
      </c>
      <c r="J315" t="s">
        <v>45</v>
      </c>
      <c r="K315">
        <v>7.1428571428571432</v>
      </c>
      <c r="L315" s="17">
        <f t="shared" ca="1" si="8"/>
        <v>46174</v>
      </c>
      <c r="M315" s="6" t="str">
        <f t="shared" ca="1" si="9"/>
        <v>01/06/yyyy a 07/06/yyyy</v>
      </c>
    </row>
    <row r="316" spans="1:13" x14ac:dyDescent="0.3">
      <c r="A316" t="s">
        <v>24</v>
      </c>
      <c r="B316" t="s">
        <v>25</v>
      </c>
      <c r="C316">
        <v>45841</v>
      </c>
      <c r="D316">
        <v>45849</v>
      </c>
      <c r="E316">
        <v>10</v>
      </c>
      <c r="F316">
        <v>5.7142857142857144</v>
      </c>
      <c r="G316">
        <v>6</v>
      </c>
      <c r="H316">
        <v>1.2</v>
      </c>
      <c r="I316">
        <v>1.4285714285714286</v>
      </c>
      <c r="J316" t="s">
        <v>46</v>
      </c>
      <c r="K316">
        <v>0</v>
      </c>
      <c r="L316" s="17">
        <f t="shared" ca="1" si="8"/>
        <v>46181</v>
      </c>
      <c r="M316" s="6" t="str">
        <f t="shared" ca="1" si="9"/>
        <v>08/06/yyyy a 14/06/yyyy</v>
      </c>
    </row>
    <row r="317" spans="1:13" x14ac:dyDescent="0.3">
      <c r="A317" t="s">
        <v>24</v>
      </c>
      <c r="B317" t="s">
        <v>25</v>
      </c>
      <c r="C317">
        <v>45841</v>
      </c>
      <c r="D317">
        <v>45849</v>
      </c>
      <c r="E317">
        <v>10</v>
      </c>
      <c r="F317">
        <v>5.7142857142857144</v>
      </c>
      <c r="G317">
        <v>6</v>
      </c>
      <c r="H317">
        <v>1.2</v>
      </c>
      <c r="I317">
        <v>1.4285714285714286</v>
      </c>
      <c r="J317" t="s">
        <v>47</v>
      </c>
      <c r="K317">
        <v>0</v>
      </c>
      <c r="L317" s="17">
        <f t="shared" ca="1" si="8"/>
        <v>46188</v>
      </c>
      <c r="M317" s="6" t="str">
        <f t="shared" ca="1" si="9"/>
        <v>15/06/yyyy a 21/06/yyyy</v>
      </c>
    </row>
    <row r="318" spans="1:13" x14ac:dyDescent="0.3">
      <c r="A318" t="s">
        <v>24</v>
      </c>
      <c r="B318" t="s">
        <v>25</v>
      </c>
      <c r="C318">
        <v>45841</v>
      </c>
      <c r="D318">
        <v>45849</v>
      </c>
      <c r="E318">
        <v>10</v>
      </c>
      <c r="F318">
        <v>5.7142857142857144</v>
      </c>
      <c r="G318">
        <v>6</v>
      </c>
      <c r="H318">
        <v>1.2</v>
      </c>
      <c r="I318">
        <v>1.4285714285714286</v>
      </c>
      <c r="J318" t="s">
        <v>48</v>
      </c>
      <c r="K318">
        <v>0</v>
      </c>
      <c r="L318" s="17">
        <f t="shared" ca="1" si="8"/>
        <v>46195</v>
      </c>
      <c r="M318" s="6" t="str">
        <f t="shared" ca="1" si="9"/>
        <v>22/06/yyyy a 28/06/yyyy</v>
      </c>
    </row>
    <row r="319" spans="1:13" x14ac:dyDescent="0.3">
      <c r="A319" t="s">
        <v>24</v>
      </c>
      <c r="B319" t="s">
        <v>25</v>
      </c>
      <c r="C319">
        <v>45841</v>
      </c>
      <c r="D319">
        <v>45849</v>
      </c>
      <c r="E319">
        <v>10</v>
      </c>
      <c r="F319">
        <v>5.7142857142857144</v>
      </c>
      <c r="G319">
        <v>6</v>
      </c>
      <c r="H319">
        <v>1.2</v>
      </c>
      <c r="I319">
        <v>1.4285714285714286</v>
      </c>
      <c r="J319" t="s">
        <v>49</v>
      </c>
      <c r="K319">
        <v>0</v>
      </c>
      <c r="L319" s="17">
        <f t="shared" ca="1" si="8"/>
        <v>46202</v>
      </c>
      <c r="M319" s="6" t="str">
        <f t="shared" ca="1" si="9"/>
        <v>29/06/yyyy a 05/07/yyyy</v>
      </c>
    </row>
    <row r="320" spans="1:13" x14ac:dyDescent="0.3">
      <c r="A320" t="s">
        <v>24</v>
      </c>
      <c r="B320" t="s">
        <v>25</v>
      </c>
      <c r="C320">
        <v>45841</v>
      </c>
      <c r="D320">
        <v>45849</v>
      </c>
      <c r="E320">
        <v>10</v>
      </c>
      <c r="F320">
        <v>5.7142857142857144</v>
      </c>
      <c r="G320">
        <v>6</v>
      </c>
      <c r="H320">
        <v>1.2</v>
      </c>
      <c r="I320">
        <v>1.4285714285714286</v>
      </c>
      <c r="J320" t="s">
        <v>50</v>
      </c>
      <c r="K320">
        <v>0</v>
      </c>
      <c r="L320" s="17">
        <f t="shared" ca="1" si="8"/>
        <v>46209</v>
      </c>
      <c r="M320" s="6" t="str">
        <f t="shared" ca="1" si="9"/>
        <v>06/07/yyyy a 12/07/yyyy</v>
      </c>
    </row>
    <row r="321" spans="1:13" x14ac:dyDescent="0.3">
      <c r="A321" t="s">
        <v>24</v>
      </c>
      <c r="B321" t="s">
        <v>25</v>
      </c>
      <c r="C321">
        <v>45841</v>
      </c>
      <c r="D321">
        <v>45849</v>
      </c>
      <c r="E321">
        <v>10</v>
      </c>
      <c r="F321">
        <v>5.7142857142857144</v>
      </c>
      <c r="G321">
        <v>6</v>
      </c>
      <c r="H321">
        <v>1.2</v>
      </c>
      <c r="I321">
        <v>1.4285714285714286</v>
      </c>
      <c r="J321" t="s">
        <v>51</v>
      </c>
      <c r="K321">
        <v>0</v>
      </c>
      <c r="L321" s="17">
        <f t="shared" ca="1" si="8"/>
        <v>46216</v>
      </c>
      <c r="M321" s="6" t="str">
        <f t="shared" ca="1" si="9"/>
        <v>13/07/yyyy a 19/07/yyyy</v>
      </c>
    </row>
    <row r="322" spans="1:13" x14ac:dyDescent="0.3">
      <c r="A322" t="s">
        <v>24</v>
      </c>
      <c r="B322" t="s">
        <v>25</v>
      </c>
      <c r="C322">
        <v>45841</v>
      </c>
      <c r="D322">
        <v>45849</v>
      </c>
      <c r="E322">
        <v>10</v>
      </c>
      <c r="F322">
        <v>5.7142857142857144</v>
      </c>
      <c r="G322">
        <v>6</v>
      </c>
      <c r="H322">
        <v>1.2</v>
      </c>
      <c r="I322">
        <v>1.4285714285714286</v>
      </c>
      <c r="J322" t="s">
        <v>52</v>
      </c>
      <c r="K322">
        <v>0</v>
      </c>
      <c r="L322" s="17">
        <f t="shared" ref="L322:L385" ca="1" si="10">IFERROR(VLOOKUP(J322,$O$2:$P$13,2),"")</f>
        <v>46223</v>
      </c>
      <c r="M322" s="6" t="str">
        <f t="shared" ref="M322:M385" ca="1" si="11">IFERROR(TEXT(L322,"dd/mm/yyyy")&amp; " a " &amp; (TEXT(L322+6,"dd/mm/yyyy")),"")</f>
        <v>20/07/yyyy a 26/07/yyyy</v>
      </c>
    </row>
    <row r="323" spans="1:13" x14ac:dyDescent="0.3">
      <c r="A323" t="s">
        <v>24</v>
      </c>
      <c r="B323" t="s">
        <v>25</v>
      </c>
      <c r="C323">
        <v>45841</v>
      </c>
      <c r="D323">
        <v>45849</v>
      </c>
      <c r="E323">
        <v>10</v>
      </c>
      <c r="F323">
        <v>5.7142857142857144</v>
      </c>
      <c r="G323">
        <v>6</v>
      </c>
      <c r="H323">
        <v>1.2</v>
      </c>
      <c r="I323">
        <v>1.4285714285714286</v>
      </c>
      <c r="J323" t="s">
        <v>53</v>
      </c>
      <c r="K323">
        <v>0</v>
      </c>
      <c r="L323" s="17">
        <f t="shared" ca="1" si="10"/>
        <v>46167</v>
      </c>
      <c r="M323" s="6" t="str">
        <f t="shared" ca="1" si="11"/>
        <v>25/05/yyyy a 31/05/yyyy</v>
      </c>
    </row>
    <row r="324" spans="1:13" x14ac:dyDescent="0.3">
      <c r="A324" t="s">
        <v>24</v>
      </c>
      <c r="B324" t="s">
        <v>25</v>
      </c>
      <c r="C324">
        <v>45841</v>
      </c>
      <c r="D324">
        <v>45849</v>
      </c>
      <c r="E324">
        <v>10</v>
      </c>
      <c r="F324">
        <v>5.7142857142857144</v>
      </c>
      <c r="G324">
        <v>6</v>
      </c>
      <c r="H324">
        <v>1.2</v>
      </c>
      <c r="I324">
        <v>1.4285714285714286</v>
      </c>
      <c r="J324" t="s">
        <v>54</v>
      </c>
      <c r="K324">
        <v>0</v>
      </c>
      <c r="L324" s="17">
        <f t="shared" ca="1" si="10"/>
        <v>46167</v>
      </c>
      <c r="M324" s="6" t="str">
        <f t="shared" ca="1" si="11"/>
        <v>25/05/yyyy a 31/05/yyyy</v>
      </c>
    </row>
    <row r="325" spans="1:13" x14ac:dyDescent="0.3">
      <c r="A325" t="s">
        <v>24</v>
      </c>
      <c r="B325" t="s">
        <v>25</v>
      </c>
      <c r="C325">
        <v>45841</v>
      </c>
      <c r="D325">
        <v>45849</v>
      </c>
      <c r="E325">
        <v>10</v>
      </c>
      <c r="F325">
        <v>5.7142857142857144</v>
      </c>
      <c r="G325">
        <v>6</v>
      </c>
      <c r="H325">
        <v>1.2</v>
      </c>
      <c r="I325">
        <v>1.4285714285714286</v>
      </c>
      <c r="J325" t="s">
        <v>55</v>
      </c>
      <c r="K325">
        <v>0</v>
      </c>
      <c r="L325" s="17">
        <f t="shared" ca="1" si="10"/>
        <v>46167</v>
      </c>
      <c r="M325" s="6" t="str">
        <f t="shared" ca="1" si="11"/>
        <v>25/05/yyyy a 31/05/yyyy</v>
      </c>
    </row>
    <row r="326" spans="1:13" x14ac:dyDescent="0.3">
      <c r="A326" t="s">
        <v>24</v>
      </c>
      <c r="B326" t="s">
        <v>16</v>
      </c>
      <c r="C326">
        <v>45841</v>
      </c>
      <c r="D326">
        <v>45848</v>
      </c>
      <c r="E326">
        <v>2.5</v>
      </c>
      <c r="F326">
        <v>1.25</v>
      </c>
      <c r="G326">
        <v>5</v>
      </c>
      <c r="H326">
        <v>1</v>
      </c>
      <c r="I326">
        <v>0.41666666666666669</v>
      </c>
      <c r="J326" t="s">
        <v>44</v>
      </c>
      <c r="K326">
        <v>1.1102230246251565E-16</v>
      </c>
      <c r="L326" s="17">
        <f t="shared" ca="1" si="10"/>
        <v>46167</v>
      </c>
      <c r="M326" s="6" t="str">
        <f t="shared" ca="1" si="11"/>
        <v>25/05/yyyy a 31/05/yyyy</v>
      </c>
    </row>
    <row r="327" spans="1:13" x14ac:dyDescent="0.3">
      <c r="A327" t="s">
        <v>24</v>
      </c>
      <c r="B327" t="s">
        <v>16</v>
      </c>
      <c r="C327">
        <v>45841</v>
      </c>
      <c r="D327">
        <v>45848</v>
      </c>
      <c r="E327">
        <v>2.5</v>
      </c>
      <c r="F327">
        <v>1.25</v>
      </c>
      <c r="G327">
        <v>5</v>
      </c>
      <c r="H327">
        <v>1</v>
      </c>
      <c r="I327">
        <v>0.41666666666666669</v>
      </c>
      <c r="J327" t="s">
        <v>45</v>
      </c>
      <c r="K327">
        <v>1.6666666666666667</v>
      </c>
      <c r="L327" s="17">
        <f t="shared" ca="1" si="10"/>
        <v>46174</v>
      </c>
      <c r="M327" s="6" t="str">
        <f t="shared" ca="1" si="11"/>
        <v>01/06/yyyy a 07/06/yyyy</v>
      </c>
    </row>
    <row r="328" spans="1:13" x14ac:dyDescent="0.3">
      <c r="A328" t="s">
        <v>24</v>
      </c>
      <c r="B328" t="s">
        <v>16</v>
      </c>
      <c r="C328">
        <v>45841</v>
      </c>
      <c r="D328">
        <v>45848</v>
      </c>
      <c r="E328">
        <v>2.5</v>
      </c>
      <c r="F328">
        <v>1.25</v>
      </c>
      <c r="G328">
        <v>5</v>
      </c>
      <c r="H328">
        <v>1</v>
      </c>
      <c r="I328">
        <v>0.41666666666666669</v>
      </c>
      <c r="J328" t="s">
        <v>46</v>
      </c>
      <c r="K328">
        <v>0</v>
      </c>
      <c r="L328" s="17">
        <f t="shared" ca="1" si="10"/>
        <v>46181</v>
      </c>
      <c r="M328" s="6" t="str">
        <f t="shared" ca="1" si="11"/>
        <v>08/06/yyyy a 14/06/yyyy</v>
      </c>
    </row>
    <row r="329" spans="1:13" x14ac:dyDescent="0.3">
      <c r="A329" t="s">
        <v>24</v>
      </c>
      <c r="B329" t="s">
        <v>16</v>
      </c>
      <c r="C329">
        <v>45841</v>
      </c>
      <c r="D329">
        <v>45848</v>
      </c>
      <c r="E329">
        <v>2.5</v>
      </c>
      <c r="F329">
        <v>1.25</v>
      </c>
      <c r="G329">
        <v>5</v>
      </c>
      <c r="H329">
        <v>1</v>
      </c>
      <c r="I329">
        <v>0.41666666666666669</v>
      </c>
      <c r="J329" t="s">
        <v>47</v>
      </c>
      <c r="K329">
        <v>0</v>
      </c>
      <c r="L329" s="17">
        <f t="shared" ca="1" si="10"/>
        <v>46188</v>
      </c>
      <c r="M329" s="6" t="str">
        <f t="shared" ca="1" si="11"/>
        <v>15/06/yyyy a 21/06/yyyy</v>
      </c>
    </row>
    <row r="330" spans="1:13" x14ac:dyDescent="0.3">
      <c r="A330" t="s">
        <v>24</v>
      </c>
      <c r="B330" t="s">
        <v>16</v>
      </c>
      <c r="C330">
        <v>45841</v>
      </c>
      <c r="D330">
        <v>45848</v>
      </c>
      <c r="E330">
        <v>2.5</v>
      </c>
      <c r="F330">
        <v>1.25</v>
      </c>
      <c r="G330">
        <v>5</v>
      </c>
      <c r="H330">
        <v>1</v>
      </c>
      <c r="I330">
        <v>0.41666666666666669</v>
      </c>
      <c r="J330" t="s">
        <v>48</v>
      </c>
      <c r="K330">
        <v>0</v>
      </c>
      <c r="L330" s="17">
        <f t="shared" ca="1" si="10"/>
        <v>46195</v>
      </c>
      <c r="M330" s="6" t="str">
        <f t="shared" ca="1" si="11"/>
        <v>22/06/yyyy a 28/06/yyyy</v>
      </c>
    </row>
    <row r="331" spans="1:13" x14ac:dyDescent="0.3">
      <c r="A331" t="s">
        <v>24</v>
      </c>
      <c r="B331" t="s">
        <v>16</v>
      </c>
      <c r="C331">
        <v>45841</v>
      </c>
      <c r="D331">
        <v>45848</v>
      </c>
      <c r="E331">
        <v>2.5</v>
      </c>
      <c r="F331">
        <v>1.25</v>
      </c>
      <c r="G331">
        <v>5</v>
      </c>
      <c r="H331">
        <v>1</v>
      </c>
      <c r="I331">
        <v>0.41666666666666669</v>
      </c>
      <c r="J331" t="s">
        <v>49</v>
      </c>
      <c r="K331">
        <v>0</v>
      </c>
      <c r="L331" s="17">
        <f t="shared" ca="1" si="10"/>
        <v>46202</v>
      </c>
      <c r="M331" s="6" t="str">
        <f t="shared" ca="1" si="11"/>
        <v>29/06/yyyy a 05/07/yyyy</v>
      </c>
    </row>
    <row r="332" spans="1:13" x14ac:dyDescent="0.3">
      <c r="A332" t="s">
        <v>24</v>
      </c>
      <c r="B332" t="s">
        <v>16</v>
      </c>
      <c r="C332">
        <v>45841</v>
      </c>
      <c r="D332">
        <v>45848</v>
      </c>
      <c r="E332">
        <v>2.5</v>
      </c>
      <c r="F332">
        <v>1.25</v>
      </c>
      <c r="G332">
        <v>5</v>
      </c>
      <c r="H332">
        <v>1</v>
      </c>
      <c r="I332">
        <v>0.41666666666666669</v>
      </c>
      <c r="J332" t="s">
        <v>50</v>
      </c>
      <c r="K332">
        <v>0</v>
      </c>
      <c r="L332" s="17">
        <f t="shared" ca="1" si="10"/>
        <v>46209</v>
      </c>
      <c r="M332" s="6" t="str">
        <f t="shared" ca="1" si="11"/>
        <v>06/07/yyyy a 12/07/yyyy</v>
      </c>
    </row>
    <row r="333" spans="1:13" x14ac:dyDescent="0.3">
      <c r="A333" t="s">
        <v>24</v>
      </c>
      <c r="B333" t="s">
        <v>16</v>
      </c>
      <c r="C333">
        <v>45841</v>
      </c>
      <c r="D333">
        <v>45848</v>
      </c>
      <c r="E333">
        <v>2.5</v>
      </c>
      <c r="F333">
        <v>1.25</v>
      </c>
      <c r="G333">
        <v>5</v>
      </c>
      <c r="H333">
        <v>1</v>
      </c>
      <c r="I333">
        <v>0.41666666666666669</v>
      </c>
      <c r="J333" t="s">
        <v>51</v>
      </c>
      <c r="K333">
        <v>0</v>
      </c>
      <c r="L333" s="17">
        <f t="shared" ca="1" si="10"/>
        <v>46216</v>
      </c>
      <c r="M333" s="6" t="str">
        <f t="shared" ca="1" si="11"/>
        <v>13/07/yyyy a 19/07/yyyy</v>
      </c>
    </row>
    <row r="334" spans="1:13" x14ac:dyDescent="0.3">
      <c r="A334" t="s">
        <v>24</v>
      </c>
      <c r="B334" t="s">
        <v>16</v>
      </c>
      <c r="C334">
        <v>45841</v>
      </c>
      <c r="D334">
        <v>45848</v>
      </c>
      <c r="E334">
        <v>2.5</v>
      </c>
      <c r="F334">
        <v>1.25</v>
      </c>
      <c r="G334">
        <v>5</v>
      </c>
      <c r="H334">
        <v>1</v>
      </c>
      <c r="I334">
        <v>0.41666666666666669</v>
      </c>
      <c r="J334" t="s">
        <v>52</v>
      </c>
      <c r="K334">
        <v>0</v>
      </c>
      <c r="L334" s="17">
        <f t="shared" ca="1" si="10"/>
        <v>46223</v>
      </c>
      <c r="M334" s="6" t="str">
        <f t="shared" ca="1" si="11"/>
        <v>20/07/yyyy a 26/07/yyyy</v>
      </c>
    </row>
    <row r="335" spans="1:13" x14ac:dyDescent="0.3">
      <c r="A335" t="s">
        <v>24</v>
      </c>
      <c r="B335" t="s">
        <v>16</v>
      </c>
      <c r="C335">
        <v>45841</v>
      </c>
      <c r="D335">
        <v>45848</v>
      </c>
      <c r="E335">
        <v>2.5</v>
      </c>
      <c r="F335">
        <v>1.25</v>
      </c>
      <c r="G335">
        <v>5</v>
      </c>
      <c r="H335">
        <v>1</v>
      </c>
      <c r="I335">
        <v>0.41666666666666669</v>
      </c>
      <c r="J335" t="s">
        <v>53</v>
      </c>
      <c r="K335">
        <v>0</v>
      </c>
      <c r="L335" s="17">
        <f t="shared" ca="1" si="10"/>
        <v>46167</v>
      </c>
      <c r="M335" s="6" t="str">
        <f t="shared" ca="1" si="11"/>
        <v>25/05/yyyy a 31/05/yyyy</v>
      </c>
    </row>
    <row r="336" spans="1:13" x14ac:dyDescent="0.3">
      <c r="A336" t="s">
        <v>24</v>
      </c>
      <c r="B336" t="s">
        <v>16</v>
      </c>
      <c r="C336">
        <v>45841</v>
      </c>
      <c r="D336">
        <v>45848</v>
      </c>
      <c r="E336">
        <v>2.5</v>
      </c>
      <c r="F336">
        <v>1.25</v>
      </c>
      <c r="G336">
        <v>5</v>
      </c>
      <c r="H336">
        <v>1</v>
      </c>
      <c r="I336">
        <v>0.41666666666666669</v>
      </c>
      <c r="J336" t="s">
        <v>54</v>
      </c>
      <c r="K336">
        <v>0</v>
      </c>
      <c r="L336" s="17">
        <f t="shared" ca="1" si="10"/>
        <v>46167</v>
      </c>
      <c r="M336" s="6" t="str">
        <f t="shared" ca="1" si="11"/>
        <v>25/05/yyyy a 31/05/yyyy</v>
      </c>
    </row>
    <row r="337" spans="1:13" x14ac:dyDescent="0.3">
      <c r="A337" t="s">
        <v>24</v>
      </c>
      <c r="B337" t="s">
        <v>16</v>
      </c>
      <c r="C337">
        <v>45841</v>
      </c>
      <c r="D337">
        <v>45848</v>
      </c>
      <c r="E337">
        <v>2.5</v>
      </c>
      <c r="F337">
        <v>1.25</v>
      </c>
      <c r="G337">
        <v>5</v>
      </c>
      <c r="H337">
        <v>1</v>
      </c>
      <c r="I337">
        <v>0.41666666666666669</v>
      </c>
      <c r="J337" t="s">
        <v>55</v>
      </c>
      <c r="K337">
        <v>0</v>
      </c>
      <c r="L337" s="17">
        <f t="shared" ca="1" si="10"/>
        <v>46167</v>
      </c>
      <c r="M337" s="6" t="str">
        <f t="shared" ca="1" si="11"/>
        <v>25/05/yyyy a 31/05/yyyy</v>
      </c>
    </row>
    <row r="338" spans="1:13" x14ac:dyDescent="0.3">
      <c r="A338" t="s">
        <v>24</v>
      </c>
      <c r="B338" t="s">
        <v>25</v>
      </c>
      <c r="C338">
        <v>45855</v>
      </c>
      <c r="D338">
        <v>45863</v>
      </c>
      <c r="E338">
        <v>10</v>
      </c>
      <c r="F338">
        <v>10</v>
      </c>
      <c r="G338">
        <v>16</v>
      </c>
      <c r="H338">
        <v>3.2</v>
      </c>
      <c r="I338">
        <v>1.4285714285714286</v>
      </c>
      <c r="J338" t="s">
        <v>44</v>
      </c>
      <c r="K338">
        <v>0</v>
      </c>
      <c r="L338" s="17">
        <f t="shared" ca="1" si="10"/>
        <v>46167</v>
      </c>
      <c r="M338" s="6" t="str">
        <f t="shared" ca="1" si="11"/>
        <v>25/05/yyyy a 31/05/yyyy</v>
      </c>
    </row>
    <row r="339" spans="1:13" x14ac:dyDescent="0.3">
      <c r="A339" t="s">
        <v>24</v>
      </c>
      <c r="B339" t="s">
        <v>25</v>
      </c>
      <c r="C339">
        <v>45855</v>
      </c>
      <c r="D339">
        <v>45863</v>
      </c>
      <c r="E339">
        <v>10</v>
      </c>
      <c r="F339">
        <v>10</v>
      </c>
      <c r="G339">
        <v>16</v>
      </c>
      <c r="H339">
        <v>3.2</v>
      </c>
      <c r="I339">
        <v>1.4285714285714286</v>
      </c>
      <c r="J339" t="s">
        <v>45</v>
      </c>
      <c r="K339">
        <v>0</v>
      </c>
      <c r="L339" s="17">
        <f t="shared" ca="1" si="10"/>
        <v>46174</v>
      </c>
      <c r="M339" s="6" t="str">
        <f t="shared" ca="1" si="11"/>
        <v>01/06/yyyy a 07/06/yyyy</v>
      </c>
    </row>
    <row r="340" spans="1:13" x14ac:dyDescent="0.3">
      <c r="A340" t="s">
        <v>24</v>
      </c>
      <c r="B340" t="s">
        <v>25</v>
      </c>
      <c r="C340">
        <v>45855</v>
      </c>
      <c r="D340">
        <v>45863</v>
      </c>
      <c r="E340">
        <v>10</v>
      </c>
      <c r="F340">
        <v>10</v>
      </c>
      <c r="G340">
        <v>16</v>
      </c>
      <c r="H340">
        <v>3.2</v>
      </c>
      <c r="I340">
        <v>1.4285714285714286</v>
      </c>
      <c r="J340" t="s">
        <v>46</v>
      </c>
      <c r="K340">
        <v>2.8571428571428577</v>
      </c>
      <c r="L340" s="17">
        <f t="shared" ca="1" si="10"/>
        <v>46181</v>
      </c>
      <c r="M340" s="6" t="str">
        <f t="shared" ca="1" si="11"/>
        <v>08/06/yyyy a 14/06/yyyy</v>
      </c>
    </row>
    <row r="341" spans="1:13" x14ac:dyDescent="0.3">
      <c r="A341" t="s">
        <v>24</v>
      </c>
      <c r="B341" t="s">
        <v>25</v>
      </c>
      <c r="C341">
        <v>45855</v>
      </c>
      <c r="D341">
        <v>45863</v>
      </c>
      <c r="E341">
        <v>10</v>
      </c>
      <c r="F341">
        <v>10</v>
      </c>
      <c r="G341">
        <v>16</v>
      </c>
      <c r="H341">
        <v>3.2</v>
      </c>
      <c r="I341">
        <v>1.4285714285714286</v>
      </c>
      <c r="J341" t="s">
        <v>47</v>
      </c>
      <c r="K341">
        <v>7.1428571428571432</v>
      </c>
      <c r="L341" s="17">
        <f t="shared" ca="1" si="10"/>
        <v>46188</v>
      </c>
      <c r="M341" s="6" t="str">
        <f t="shared" ca="1" si="11"/>
        <v>15/06/yyyy a 21/06/yyyy</v>
      </c>
    </row>
    <row r="342" spans="1:13" x14ac:dyDescent="0.3">
      <c r="A342" t="s">
        <v>24</v>
      </c>
      <c r="B342" t="s">
        <v>25</v>
      </c>
      <c r="C342">
        <v>45855</v>
      </c>
      <c r="D342">
        <v>45863</v>
      </c>
      <c r="E342">
        <v>10</v>
      </c>
      <c r="F342">
        <v>10</v>
      </c>
      <c r="G342">
        <v>16</v>
      </c>
      <c r="H342">
        <v>3.2</v>
      </c>
      <c r="I342">
        <v>1.4285714285714286</v>
      </c>
      <c r="J342" t="s">
        <v>48</v>
      </c>
      <c r="K342">
        <v>0</v>
      </c>
      <c r="L342" s="17">
        <f t="shared" ca="1" si="10"/>
        <v>46195</v>
      </c>
      <c r="M342" s="6" t="str">
        <f t="shared" ca="1" si="11"/>
        <v>22/06/yyyy a 28/06/yyyy</v>
      </c>
    </row>
    <row r="343" spans="1:13" x14ac:dyDescent="0.3">
      <c r="A343" t="s">
        <v>24</v>
      </c>
      <c r="B343" t="s">
        <v>25</v>
      </c>
      <c r="C343">
        <v>45855</v>
      </c>
      <c r="D343">
        <v>45863</v>
      </c>
      <c r="E343">
        <v>10</v>
      </c>
      <c r="F343">
        <v>10</v>
      </c>
      <c r="G343">
        <v>16</v>
      </c>
      <c r="H343">
        <v>3.2</v>
      </c>
      <c r="I343">
        <v>1.4285714285714286</v>
      </c>
      <c r="J343" t="s">
        <v>49</v>
      </c>
      <c r="K343">
        <v>0</v>
      </c>
      <c r="L343" s="17">
        <f t="shared" ca="1" si="10"/>
        <v>46202</v>
      </c>
      <c r="M343" s="6" t="str">
        <f t="shared" ca="1" si="11"/>
        <v>29/06/yyyy a 05/07/yyyy</v>
      </c>
    </row>
    <row r="344" spans="1:13" x14ac:dyDescent="0.3">
      <c r="A344" t="s">
        <v>24</v>
      </c>
      <c r="B344" t="s">
        <v>25</v>
      </c>
      <c r="C344">
        <v>45855</v>
      </c>
      <c r="D344">
        <v>45863</v>
      </c>
      <c r="E344">
        <v>10</v>
      </c>
      <c r="F344">
        <v>10</v>
      </c>
      <c r="G344">
        <v>16</v>
      </c>
      <c r="H344">
        <v>3.2</v>
      </c>
      <c r="I344">
        <v>1.4285714285714286</v>
      </c>
      <c r="J344" t="s">
        <v>50</v>
      </c>
      <c r="K344">
        <v>0</v>
      </c>
      <c r="L344" s="17">
        <f t="shared" ca="1" si="10"/>
        <v>46209</v>
      </c>
      <c r="M344" s="6" t="str">
        <f t="shared" ca="1" si="11"/>
        <v>06/07/yyyy a 12/07/yyyy</v>
      </c>
    </row>
    <row r="345" spans="1:13" x14ac:dyDescent="0.3">
      <c r="A345" t="s">
        <v>24</v>
      </c>
      <c r="B345" t="s">
        <v>25</v>
      </c>
      <c r="C345">
        <v>45855</v>
      </c>
      <c r="D345">
        <v>45863</v>
      </c>
      <c r="E345">
        <v>10</v>
      </c>
      <c r="F345">
        <v>10</v>
      </c>
      <c r="G345">
        <v>16</v>
      </c>
      <c r="H345">
        <v>3.2</v>
      </c>
      <c r="I345">
        <v>1.4285714285714286</v>
      </c>
      <c r="J345" t="s">
        <v>51</v>
      </c>
      <c r="K345">
        <v>0</v>
      </c>
      <c r="L345" s="17">
        <f t="shared" ca="1" si="10"/>
        <v>46216</v>
      </c>
      <c r="M345" s="6" t="str">
        <f t="shared" ca="1" si="11"/>
        <v>13/07/yyyy a 19/07/yyyy</v>
      </c>
    </row>
    <row r="346" spans="1:13" x14ac:dyDescent="0.3">
      <c r="A346" t="s">
        <v>24</v>
      </c>
      <c r="B346" t="s">
        <v>25</v>
      </c>
      <c r="C346">
        <v>45855</v>
      </c>
      <c r="D346">
        <v>45863</v>
      </c>
      <c r="E346">
        <v>10</v>
      </c>
      <c r="F346">
        <v>10</v>
      </c>
      <c r="G346">
        <v>16</v>
      </c>
      <c r="H346">
        <v>3.2</v>
      </c>
      <c r="I346">
        <v>1.4285714285714286</v>
      </c>
      <c r="J346" t="s">
        <v>52</v>
      </c>
      <c r="K346">
        <v>0</v>
      </c>
      <c r="L346" s="17">
        <f t="shared" ca="1" si="10"/>
        <v>46223</v>
      </c>
      <c r="M346" s="6" t="str">
        <f t="shared" ca="1" si="11"/>
        <v>20/07/yyyy a 26/07/yyyy</v>
      </c>
    </row>
    <row r="347" spans="1:13" x14ac:dyDescent="0.3">
      <c r="A347" t="s">
        <v>24</v>
      </c>
      <c r="B347" t="s">
        <v>25</v>
      </c>
      <c r="C347">
        <v>45855</v>
      </c>
      <c r="D347">
        <v>45863</v>
      </c>
      <c r="E347">
        <v>10</v>
      </c>
      <c r="F347">
        <v>10</v>
      </c>
      <c r="G347">
        <v>16</v>
      </c>
      <c r="H347">
        <v>3.2</v>
      </c>
      <c r="I347">
        <v>1.4285714285714286</v>
      </c>
      <c r="J347" t="s">
        <v>53</v>
      </c>
      <c r="K347">
        <v>0</v>
      </c>
      <c r="L347" s="17">
        <f t="shared" ca="1" si="10"/>
        <v>46167</v>
      </c>
      <c r="M347" s="6" t="str">
        <f t="shared" ca="1" si="11"/>
        <v>25/05/yyyy a 31/05/yyyy</v>
      </c>
    </row>
    <row r="348" spans="1:13" x14ac:dyDescent="0.3">
      <c r="A348" t="s">
        <v>24</v>
      </c>
      <c r="B348" t="s">
        <v>25</v>
      </c>
      <c r="C348">
        <v>45855</v>
      </c>
      <c r="D348">
        <v>45863</v>
      </c>
      <c r="E348">
        <v>10</v>
      </c>
      <c r="F348">
        <v>10</v>
      </c>
      <c r="G348">
        <v>16</v>
      </c>
      <c r="H348">
        <v>3.2</v>
      </c>
      <c r="I348">
        <v>1.4285714285714286</v>
      </c>
      <c r="J348" t="s">
        <v>54</v>
      </c>
      <c r="K348">
        <v>0</v>
      </c>
      <c r="L348" s="17">
        <f t="shared" ca="1" si="10"/>
        <v>46167</v>
      </c>
      <c r="M348" s="6" t="str">
        <f t="shared" ca="1" si="11"/>
        <v>25/05/yyyy a 31/05/yyyy</v>
      </c>
    </row>
    <row r="349" spans="1:13" x14ac:dyDescent="0.3">
      <c r="A349" t="s">
        <v>24</v>
      </c>
      <c r="B349" t="s">
        <v>25</v>
      </c>
      <c r="C349">
        <v>45855</v>
      </c>
      <c r="D349">
        <v>45863</v>
      </c>
      <c r="E349">
        <v>10</v>
      </c>
      <c r="F349">
        <v>10</v>
      </c>
      <c r="G349">
        <v>16</v>
      </c>
      <c r="H349">
        <v>3.2</v>
      </c>
      <c r="I349">
        <v>1.4285714285714286</v>
      </c>
      <c r="J349" t="s">
        <v>55</v>
      </c>
      <c r="K349">
        <v>0</v>
      </c>
      <c r="L349" s="17">
        <f t="shared" ca="1" si="10"/>
        <v>46167</v>
      </c>
      <c r="M349" s="6" t="str">
        <f t="shared" ca="1" si="11"/>
        <v>25/05/yyyy a 31/05/yyyy</v>
      </c>
    </row>
    <row r="350" spans="1:13" x14ac:dyDescent="0.3">
      <c r="A350" t="s">
        <v>24</v>
      </c>
      <c r="B350" t="s">
        <v>16</v>
      </c>
      <c r="C350">
        <v>45855</v>
      </c>
      <c r="D350">
        <v>45862</v>
      </c>
      <c r="E350">
        <v>2.5</v>
      </c>
      <c r="F350">
        <v>2.5</v>
      </c>
      <c r="G350">
        <v>15</v>
      </c>
      <c r="H350">
        <v>3</v>
      </c>
      <c r="I350">
        <v>0.41666666666666669</v>
      </c>
      <c r="J350" t="s">
        <v>44</v>
      </c>
      <c r="K350">
        <v>0</v>
      </c>
      <c r="L350" s="17">
        <f t="shared" ca="1" si="10"/>
        <v>46167</v>
      </c>
      <c r="M350" s="6" t="str">
        <f t="shared" ca="1" si="11"/>
        <v>25/05/yyyy a 31/05/yyyy</v>
      </c>
    </row>
    <row r="351" spans="1:13" x14ac:dyDescent="0.3">
      <c r="A351" t="s">
        <v>24</v>
      </c>
      <c r="B351" t="s">
        <v>16</v>
      </c>
      <c r="C351">
        <v>45855</v>
      </c>
      <c r="D351">
        <v>45862</v>
      </c>
      <c r="E351">
        <v>2.5</v>
      </c>
      <c r="F351">
        <v>2.5</v>
      </c>
      <c r="G351">
        <v>15</v>
      </c>
      <c r="H351">
        <v>3</v>
      </c>
      <c r="I351">
        <v>0.41666666666666669</v>
      </c>
      <c r="J351" t="s">
        <v>45</v>
      </c>
      <c r="K351">
        <v>0</v>
      </c>
      <c r="L351" s="17">
        <f t="shared" ca="1" si="10"/>
        <v>46174</v>
      </c>
      <c r="M351" s="6" t="str">
        <f t="shared" ca="1" si="11"/>
        <v>01/06/yyyy a 07/06/yyyy</v>
      </c>
    </row>
    <row r="352" spans="1:13" x14ac:dyDescent="0.3">
      <c r="A352" t="s">
        <v>24</v>
      </c>
      <c r="B352" t="s">
        <v>16</v>
      </c>
      <c r="C352">
        <v>45855</v>
      </c>
      <c r="D352">
        <v>45862</v>
      </c>
      <c r="E352">
        <v>2.5</v>
      </c>
      <c r="F352">
        <v>2.5</v>
      </c>
      <c r="G352">
        <v>15</v>
      </c>
      <c r="H352">
        <v>3</v>
      </c>
      <c r="I352">
        <v>0.41666666666666669</v>
      </c>
      <c r="J352" t="s">
        <v>46</v>
      </c>
      <c r="K352">
        <v>0.83333333333333348</v>
      </c>
      <c r="L352" s="17">
        <f t="shared" ca="1" si="10"/>
        <v>46181</v>
      </c>
      <c r="M352" s="6" t="str">
        <f t="shared" ca="1" si="11"/>
        <v>08/06/yyyy a 14/06/yyyy</v>
      </c>
    </row>
    <row r="353" spans="1:13" x14ac:dyDescent="0.3">
      <c r="A353" t="s">
        <v>24</v>
      </c>
      <c r="B353" t="s">
        <v>16</v>
      </c>
      <c r="C353">
        <v>45855</v>
      </c>
      <c r="D353">
        <v>45862</v>
      </c>
      <c r="E353">
        <v>2.5</v>
      </c>
      <c r="F353">
        <v>2.5</v>
      </c>
      <c r="G353">
        <v>15</v>
      </c>
      <c r="H353">
        <v>3</v>
      </c>
      <c r="I353">
        <v>0.41666666666666669</v>
      </c>
      <c r="J353" t="s">
        <v>47</v>
      </c>
      <c r="K353">
        <v>1.6666666666666667</v>
      </c>
      <c r="L353" s="17">
        <f t="shared" ca="1" si="10"/>
        <v>46188</v>
      </c>
      <c r="M353" s="6" t="str">
        <f t="shared" ca="1" si="11"/>
        <v>15/06/yyyy a 21/06/yyyy</v>
      </c>
    </row>
    <row r="354" spans="1:13" x14ac:dyDescent="0.3">
      <c r="A354" t="s">
        <v>24</v>
      </c>
      <c r="B354" t="s">
        <v>16</v>
      </c>
      <c r="C354">
        <v>45855</v>
      </c>
      <c r="D354">
        <v>45862</v>
      </c>
      <c r="E354">
        <v>2.5</v>
      </c>
      <c r="F354">
        <v>2.5</v>
      </c>
      <c r="G354">
        <v>15</v>
      </c>
      <c r="H354">
        <v>3</v>
      </c>
      <c r="I354">
        <v>0.41666666666666669</v>
      </c>
      <c r="J354" t="s">
        <v>48</v>
      </c>
      <c r="K354">
        <v>0</v>
      </c>
      <c r="L354" s="17">
        <f t="shared" ca="1" si="10"/>
        <v>46195</v>
      </c>
      <c r="M354" s="6" t="str">
        <f t="shared" ca="1" si="11"/>
        <v>22/06/yyyy a 28/06/yyyy</v>
      </c>
    </row>
    <row r="355" spans="1:13" x14ac:dyDescent="0.3">
      <c r="A355" t="s">
        <v>24</v>
      </c>
      <c r="B355" t="s">
        <v>16</v>
      </c>
      <c r="C355">
        <v>45855</v>
      </c>
      <c r="D355">
        <v>45862</v>
      </c>
      <c r="E355">
        <v>2.5</v>
      </c>
      <c r="F355">
        <v>2.5</v>
      </c>
      <c r="G355">
        <v>15</v>
      </c>
      <c r="H355">
        <v>3</v>
      </c>
      <c r="I355">
        <v>0.41666666666666669</v>
      </c>
      <c r="J355" t="s">
        <v>49</v>
      </c>
      <c r="K355">
        <v>0</v>
      </c>
      <c r="L355" s="17">
        <f t="shared" ca="1" si="10"/>
        <v>46202</v>
      </c>
      <c r="M355" s="6" t="str">
        <f t="shared" ca="1" si="11"/>
        <v>29/06/yyyy a 05/07/yyyy</v>
      </c>
    </row>
    <row r="356" spans="1:13" x14ac:dyDescent="0.3">
      <c r="A356" t="s">
        <v>24</v>
      </c>
      <c r="B356" t="s">
        <v>16</v>
      </c>
      <c r="C356">
        <v>45855</v>
      </c>
      <c r="D356">
        <v>45862</v>
      </c>
      <c r="E356">
        <v>2.5</v>
      </c>
      <c r="F356">
        <v>2.5</v>
      </c>
      <c r="G356">
        <v>15</v>
      </c>
      <c r="H356">
        <v>3</v>
      </c>
      <c r="I356">
        <v>0.41666666666666669</v>
      </c>
      <c r="J356" t="s">
        <v>50</v>
      </c>
      <c r="K356">
        <v>0</v>
      </c>
      <c r="L356" s="17">
        <f t="shared" ca="1" si="10"/>
        <v>46209</v>
      </c>
      <c r="M356" s="6" t="str">
        <f t="shared" ca="1" si="11"/>
        <v>06/07/yyyy a 12/07/yyyy</v>
      </c>
    </row>
    <row r="357" spans="1:13" x14ac:dyDescent="0.3">
      <c r="A357" t="s">
        <v>24</v>
      </c>
      <c r="B357" t="s">
        <v>16</v>
      </c>
      <c r="C357">
        <v>45855</v>
      </c>
      <c r="D357">
        <v>45862</v>
      </c>
      <c r="E357">
        <v>2.5</v>
      </c>
      <c r="F357">
        <v>2.5</v>
      </c>
      <c r="G357">
        <v>15</v>
      </c>
      <c r="H357">
        <v>3</v>
      </c>
      <c r="I357">
        <v>0.41666666666666669</v>
      </c>
      <c r="J357" t="s">
        <v>51</v>
      </c>
      <c r="K357">
        <v>0</v>
      </c>
      <c r="L357" s="17">
        <f t="shared" ca="1" si="10"/>
        <v>46216</v>
      </c>
      <c r="M357" s="6" t="str">
        <f t="shared" ca="1" si="11"/>
        <v>13/07/yyyy a 19/07/yyyy</v>
      </c>
    </row>
    <row r="358" spans="1:13" x14ac:dyDescent="0.3">
      <c r="A358" t="s">
        <v>24</v>
      </c>
      <c r="B358" t="s">
        <v>16</v>
      </c>
      <c r="C358">
        <v>45855</v>
      </c>
      <c r="D358">
        <v>45862</v>
      </c>
      <c r="E358">
        <v>2.5</v>
      </c>
      <c r="F358">
        <v>2.5</v>
      </c>
      <c r="G358">
        <v>15</v>
      </c>
      <c r="H358">
        <v>3</v>
      </c>
      <c r="I358">
        <v>0.41666666666666669</v>
      </c>
      <c r="J358" t="s">
        <v>52</v>
      </c>
      <c r="K358">
        <v>0</v>
      </c>
      <c r="L358" s="17">
        <f t="shared" ca="1" si="10"/>
        <v>46223</v>
      </c>
      <c r="M358" s="6" t="str">
        <f t="shared" ca="1" si="11"/>
        <v>20/07/yyyy a 26/07/yyyy</v>
      </c>
    </row>
    <row r="359" spans="1:13" x14ac:dyDescent="0.3">
      <c r="A359" t="s">
        <v>24</v>
      </c>
      <c r="B359" t="s">
        <v>16</v>
      </c>
      <c r="C359">
        <v>45855</v>
      </c>
      <c r="D359">
        <v>45862</v>
      </c>
      <c r="E359">
        <v>2.5</v>
      </c>
      <c r="F359">
        <v>2.5</v>
      </c>
      <c r="G359">
        <v>15</v>
      </c>
      <c r="H359">
        <v>3</v>
      </c>
      <c r="I359">
        <v>0.41666666666666669</v>
      </c>
      <c r="J359" t="s">
        <v>53</v>
      </c>
      <c r="K359">
        <v>0</v>
      </c>
      <c r="L359" s="17">
        <f t="shared" ca="1" si="10"/>
        <v>46167</v>
      </c>
      <c r="M359" s="6" t="str">
        <f t="shared" ca="1" si="11"/>
        <v>25/05/yyyy a 31/05/yyyy</v>
      </c>
    </row>
    <row r="360" spans="1:13" x14ac:dyDescent="0.3">
      <c r="A360" t="s">
        <v>24</v>
      </c>
      <c r="B360" t="s">
        <v>16</v>
      </c>
      <c r="C360">
        <v>45855</v>
      </c>
      <c r="D360">
        <v>45862</v>
      </c>
      <c r="E360">
        <v>2.5</v>
      </c>
      <c r="F360">
        <v>2.5</v>
      </c>
      <c r="G360">
        <v>15</v>
      </c>
      <c r="H360">
        <v>3</v>
      </c>
      <c r="I360">
        <v>0.41666666666666669</v>
      </c>
      <c r="J360" t="s">
        <v>54</v>
      </c>
      <c r="K360">
        <v>0</v>
      </c>
      <c r="L360" s="17">
        <f t="shared" ca="1" si="10"/>
        <v>46167</v>
      </c>
      <c r="M360" s="6" t="str">
        <f t="shared" ca="1" si="11"/>
        <v>25/05/yyyy a 31/05/yyyy</v>
      </c>
    </row>
    <row r="361" spans="1:13" x14ac:dyDescent="0.3">
      <c r="A361" t="s">
        <v>24</v>
      </c>
      <c r="B361" t="s">
        <v>16</v>
      </c>
      <c r="C361">
        <v>45855</v>
      </c>
      <c r="D361">
        <v>45862</v>
      </c>
      <c r="E361">
        <v>2.5</v>
      </c>
      <c r="F361">
        <v>2.5</v>
      </c>
      <c r="G361">
        <v>15</v>
      </c>
      <c r="H361">
        <v>3</v>
      </c>
      <c r="I361">
        <v>0.41666666666666669</v>
      </c>
      <c r="J361" t="s">
        <v>55</v>
      </c>
      <c r="K361">
        <v>0</v>
      </c>
      <c r="L361" s="17">
        <f t="shared" ca="1" si="10"/>
        <v>46167</v>
      </c>
      <c r="M361" s="6" t="str">
        <f t="shared" ca="1" si="11"/>
        <v>25/05/yyyy a 31/05/yyyy</v>
      </c>
    </row>
    <row r="362" spans="1:13" x14ac:dyDescent="0.3">
      <c r="A362" t="s">
        <v>24</v>
      </c>
      <c r="B362" t="s">
        <v>28</v>
      </c>
      <c r="C362">
        <v>45848</v>
      </c>
      <c r="D362">
        <v>45855</v>
      </c>
      <c r="E362">
        <v>4</v>
      </c>
      <c r="F362">
        <v>4</v>
      </c>
      <c r="G362">
        <v>10</v>
      </c>
      <c r="H362">
        <v>2</v>
      </c>
      <c r="I362">
        <v>0.66666666666666663</v>
      </c>
      <c r="J362" t="s">
        <v>44</v>
      </c>
      <c r="K362">
        <v>0</v>
      </c>
      <c r="L362" s="17">
        <f t="shared" ca="1" si="10"/>
        <v>46167</v>
      </c>
      <c r="M362" s="6" t="str">
        <f t="shared" ca="1" si="11"/>
        <v>25/05/yyyy a 31/05/yyyy</v>
      </c>
    </row>
    <row r="363" spans="1:13" x14ac:dyDescent="0.3">
      <c r="A363" t="s">
        <v>24</v>
      </c>
      <c r="B363" t="s">
        <v>28</v>
      </c>
      <c r="C363">
        <v>45848</v>
      </c>
      <c r="D363">
        <v>45855</v>
      </c>
      <c r="E363">
        <v>4</v>
      </c>
      <c r="F363">
        <v>4</v>
      </c>
      <c r="G363">
        <v>10</v>
      </c>
      <c r="H363">
        <v>2</v>
      </c>
      <c r="I363">
        <v>0.66666666666666663</v>
      </c>
      <c r="J363" t="s">
        <v>45</v>
      </c>
      <c r="K363">
        <v>1.333333333333333</v>
      </c>
      <c r="L363" s="17">
        <f t="shared" ca="1" si="10"/>
        <v>46174</v>
      </c>
      <c r="M363" s="6" t="str">
        <f t="shared" ca="1" si="11"/>
        <v>01/06/yyyy a 07/06/yyyy</v>
      </c>
    </row>
    <row r="364" spans="1:13" x14ac:dyDescent="0.3">
      <c r="A364" t="s">
        <v>24</v>
      </c>
      <c r="B364" t="s">
        <v>28</v>
      </c>
      <c r="C364">
        <v>45848</v>
      </c>
      <c r="D364">
        <v>45855</v>
      </c>
      <c r="E364">
        <v>4</v>
      </c>
      <c r="F364">
        <v>4</v>
      </c>
      <c r="G364">
        <v>10</v>
      </c>
      <c r="H364">
        <v>2</v>
      </c>
      <c r="I364">
        <v>0.66666666666666663</v>
      </c>
      <c r="J364" t="s">
        <v>46</v>
      </c>
      <c r="K364">
        <v>2.6666666666666665</v>
      </c>
      <c r="L364" s="17">
        <f t="shared" ca="1" si="10"/>
        <v>46181</v>
      </c>
      <c r="M364" s="6" t="str">
        <f t="shared" ca="1" si="11"/>
        <v>08/06/yyyy a 14/06/yyyy</v>
      </c>
    </row>
    <row r="365" spans="1:13" x14ac:dyDescent="0.3">
      <c r="A365" t="s">
        <v>24</v>
      </c>
      <c r="B365" t="s">
        <v>28</v>
      </c>
      <c r="C365">
        <v>45848</v>
      </c>
      <c r="D365">
        <v>45855</v>
      </c>
      <c r="E365">
        <v>4</v>
      </c>
      <c r="F365">
        <v>4</v>
      </c>
      <c r="G365">
        <v>10</v>
      </c>
      <c r="H365">
        <v>2</v>
      </c>
      <c r="I365">
        <v>0.66666666666666663</v>
      </c>
      <c r="J365" t="s">
        <v>47</v>
      </c>
      <c r="K365">
        <v>0</v>
      </c>
      <c r="L365" s="17">
        <f t="shared" ca="1" si="10"/>
        <v>46188</v>
      </c>
      <c r="M365" s="6" t="str">
        <f t="shared" ca="1" si="11"/>
        <v>15/06/yyyy a 21/06/yyyy</v>
      </c>
    </row>
    <row r="366" spans="1:13" x14ac:dyDescent="0.3">
      <c r="A366" t="s">
        <v>24</v>
      </c>
      <c r="B366" t="s">
        <v>28</v>
      </c>
      <c r="C366">
        <v>45848</v>
      </c>
      <c r="D366">
        <v>45855</v>
      </c>
      <c r="E366">
        <v>4</v>
      </c>
      <c r="F366">
        <v>4</v>
      </c>
      <c r="G366">
        <v>10</v>
      </c>
      <c r="H366">
        <v>2</v>
      </c>
      <c r="I366">
        <v>0.66666666666666663</v>
      </c>
      <c r="J366" t="s">
        <v>48</v>
      </c>
      <c r="K366">
        <v>0</v>
      </c>
      <c r="L366" s="17">
        <f t="shared" ca="1" si="10"/>
        <v>46195</v>
      </c>
      <c r="M366" s="6" t="str">
        <f t="shared" ca="1" si="11"/>
        <v>22/06/yyyy a 28/06/yyyy</v>
      </c>
    </row>
    <row r="367" spans="1:13" x14ac:dyDescent="0.3">
      <c r="A367" t="s">
        <v>24</v>
      </c>
      <c r="B367" t="s">
        <v>28</v>
      </c>
      <c r="C367">
        <v>45848</v>
      </c>
      <c r="D367">
        <v>45855</v>
      </c>
      <c r="E367">
        <v>4</v>
      </c>
      <c r="F367">
        <v>4</v>
      </c>
      <c r="G367">
        <v>10</v>
      </c>
      <c r="H367">
        <v>2</v>
      </c>
      <c r="I367">
        <v>0.66666666666666663</v>
      </c>
      <c r="J367" t="s">
        <v>49</v>
      </c>
      <c r="K367">
        <v>0</v>
      </c>
      <c r="L367" s="17">
        <f t="shared" ca="1" si="10"/>
        <v>46202</v>
      </c>
      <c r="M367" s="6" t="str">
        <f t="shared" ca="1" si="11"/>
        <v>29/06/yyyy a 05/07/yyyy</v>
      </c>
    </row>
    <row r="368" spans="1:13" x14ac:dyDescent="0.3">
      <c r="A368" t="s">
        <v>24</v>
      </c>
      <c r="B368" t="s">
        <v>28</v>
      </c>
      <c r="C368">
        <v>45848</v>
      </c>
      <c r="D368">
        <v>45855</v>
      </c>
      <c r="E368">
        <v>4</v>
      </c>
      <c r="F368">
        <v>4</v>
      </c>
      <c r="G368">
        <v>10</v>
      </c>
      <c r="H368">
        <v>2</v>
      </c>
      <c r="I368">
        <v>0.66666666666666663</v>
      </c>
      <c r="J368" t="s">
        <v>50</v>
      </c>
      <c r="K368">
        <v>0</v>
      </c>
      <c r="L368" s="17">
        <f t="shared" ca="1" si="10"/>
        <v>46209</v>
      </c>
      <c r="M368" s="6" t="str">
        <f t="shared" ca="1" si="11"/>
        <v>06/07/yyyy a 12/07/yyyy</v>
      </c>
    </row>
    <row r="369" spans="1:13" x14ac:dyDescent="0.3">
      <c r="A369" t="s">
        <v>24</v>
      </c>
      <c r="B369" t="s">
        <v>28</v>
      </c>
      <c r="C369">
        <v>45848</v>
      </c>
      <c r="D369">
        <v>45855</v>
      </c>
      <c r="E369">
        <v>4</v>
      </c>
      <c r="F369">
        <v>4</v>
      </c>
      <c r="G369">
        <v>10</v>
      </c>
      <c r="H369">
        <v>2</v>
      </c>
      <c r="I369">
        <v>0.66666666666666663</v>
      </c>
      <c r="J369" t="s">
        <v>51</v>
      </c>
      <c r="K369">
        <v>0</v>
      </c>
      <c r="L369" s="17">
        <f t="shared" ca="1" si="10"/>
        <v>46216</v>
      </c>
      <c r="M369" s="6" t="str">
        <f t="shared" ca="1" si="11"/>
        <v>13/07/yyyy a 19/07/yyyy</v>
      </c>
    </row>
    <row r="370" spans="1:13" x14ac:dyDescent="0.3">
      <c r="A370" t="s">
        <v>24</v>
      </c>
      <c r="B370" t="s">
        <v>28</v>
      </c>
      <c r="C370">
        <v>45848</v>
      </c>
      <c r="D370">
        <v>45855</v>
      </c>
      <c r="E370">
        <v>4</v>
      </c>
      <c r="F370">
        <v>4</v>
      </c>
      <c r="G370">
        <v>10</v>
      </c>
      <c r="H370">
        <v>2</v>
      </c>
      <c r="I370">
        <v>0.66666666666666663</v>
      </c>
      <c r="J370" t="s">
        <v>52</v>
      </c>
      <c r="K370">
        <v>0</v>
      </c>
      <c r="L370" s="17">
        <f t="shared" ca="1" si="10"/>
        <v>46223</v>
      </c>
      <c r="M370" s="6" t="str">
        <f t="shared" ca="1" si="11"/>
        <v>20/07/yyyy a 26/07/yyyy</v>
      </c>
    </row>
    <row r="371" spans="1:13" x14ac:dyDescent="0.3">
      <c r="A371" t="s">
        <v>24</v>
      </c>
      <c r="B371" t="s">
        <v>28</v>
      </c>
      <c r="C371">
        <v>45848</v>
      </c>
      <c r="D371">
        <v>45855</v>
      </c>
      <c r="E371">
        <v>4</v>
      </c>
      <c r="F371">
        <v>4</v>
      </c>
      <c r="G371">
        <v>10</v>
      </c>
      <c r="H371">
        <v>2</v>
      </c>
      <c r="I371">
        <v>0.66666666666666663</v>
      </c>
      <c r="J371" t="s">
        <v>53</v>
      </c>
      <c r="K371">
        <v>0</v>
      </c>
      <c r="L371" s="17">
        <f t="shared" ca="1" si="10"/>
        <v>46167</v>
      </c>
      <c r="M371" s="6" t="str">
        <f t="shared" ca="1" si="11"/>
        <v>25/05/yyyy a 31/05/yyyy</v>
      </c>
    </row>
    <row r="372" spans="1:13" x14ac:dyDescent="0.3">
      <c r="A372" t="s">
        <v>24</v>
      </c>
      <c r="B372" t="s">
        <v>28</v>
      </c>
      <c r="C372">
        <v>45848</v>
      </c>
      <c r="D372">
        <v>45855</v>
      </c>
      <c r="E372">
        <v>4</v>
      </c>
      <c r="F372">
        <v>4</v>
      </c>
      <c r="G372">
        <v>10</v>
      </c>
      <c r="H372">
        <v>2</v>
      </c>
      <c r="I372">
        <v>0.66666666666666663</v>
      </c>
      <c r="J372" t="s">
        <v>54</v>
      </c>
      <c r="K372">
        <v>0</v>
      </c>
      <c r="L372" s="17">
        <f t="shared" ca="1" si="10"/>
        <v>46167</v>
      </c>
      <c r="M372" s="6" t="str">
        <f t="shared" ca="1" si="11"/>
        <v>25/05/yyyy a 31/05/yyyy</v>
      </c>
    </row>
    <row r="373" spans="1:13" x14ac:dyDescent="0.3">
      <c r="A373" t="s">
        <v>24</v>
      </c>
      <c r="B373" t="s">
        <v>28</v>
      </c>
      <c r="C373">
        <v>45848</v>
      </c>
      <c r="D373">
        <v>45855</v>
      </c>
      <c r="E373">
        <v>4</v>
      </c>
      <c r="F373">
        <v>4</v>
      </c>
      <c r="G373">
        <v>10</v>
      </c>
      <c r="H373">
        <v>2</v>
      </c>
      <c r="I373">
        <v>0.66666666666666663</v>
      </c>
      <c r="J373" t="s">
        <v>55</v>
      </c>
      <c r="K373">
        <v>0</v>
      </c>
      <c r="L373" s="17">
        <f t="shared" ca="1" si="10"/>
        <v>46167</v>
      </c>
      <c r="M373" s="6" t="str">
        <f t="shared" ca="1" si="11"/>
        <v>25/05/yyyy a 31/05/yyyy</v>
      </c>
    </row>
    <row r="374" spans="1:13" x14ac:dyDescent="0.3">
      <c r="A374" t="s">
        <v>24</v>
      </c>
      <c r="B374" t="s">
        <v>11</v>
      </c>
      <c r="C374">
        <v>45848</v>
      </c>
      <c r="D374">
        <v>45855</v>
      </c>
      <c r="E374">
        <v>6</v>
      </c>
      <c r="F374">
        <v>6</v>
      </c>
      <c r="G374">
        <v>10</v>
      </c>
      <c r="H374">
        <v>2</v>
      </c>
      <c r="I374">
        <v>1</v>
      </c>
      <c r="J374" t="s">
        <v>44</v>
      </c>
      <c r="K374">
        <v>0</v>
      </c>
      <c r="L374" s="17">
        <f t="shared" ca="1" si="10"/>
        <v>46167</v>
      </c>
      <c r="M374" s="6" t="str">
        <f t="shared" ca="1" si="11"/>
        <v>25/05/yyyy a 31/05/yyyy</v>
      </c>
    </row>
    <row r="375" spans="1:13" x14ac:dyDescent="0.3">
      <c r="A375" t="s">
        <v>24</v>
      </c>
      <c r="B375" t="s">
        <v>11</v>
      </c>
      <c r="C375">
        <v>45848</v>
      </c>
      <c r="D375">
        <v>45855</v>
      </c>
      <c r="E375">
        <v>6</v>
      </c>
      <c r="F375">
        <v>6</v>
      </c>
      <c r="G375">
        <v>10</v>
      </c>
      <c r="H375">
        <v>2</v>
      </c>
      <c r="I375">
        <v>1</v>
      </c>
      <c r="J375" t="s">
        <v>45</v>
      </c>
      <c r="K375">
        <v>2</v>
      </c>
      <c r="L375" s="17">
        <f t="shared" ca="1" si="10"/>
        <v>46174</v>
      </c>
      <c r="M375" s="6" t="str">
        <f t="shared" ca="1" si="11"/>
        <v>01/06/yyyy a 07/06/yyyy</v>
      </c>
    </row>
    <row r="376" spans="1:13" x14ac:dyDescent="0.3">
      <c r="A376" t="s">
        <v>24</v>
      </c>
      <c r="B376" t="s">
        <v>11</v>
      </c>
      <c r="C376">
        <v>45848</v>
      </c>
      <c r="D376">
        <v>45855</v>
      </c>
      <c r="E376">
        <v>6</v>
      </c>
      <c r="F376">
        <v>6</v>
      </c>
      <c r="G376">
        <v>10</v>
      </c>
      <c r="H376">
        <v>2</v>
      </c>
      <c r="I376">
        <v>1</v>
      </c>
      <c r="J376" t="s">
        <v>46</v>
      </c>
      <c r="K376">
        <v>4</v>
      </c>
      <c r="L376" s="17">
        <f t="shared" ca="1" si="10"/>
        <v>46181</v>
      </c>
      <c r="M376" s="6" t="str">
        <f t="shared" ca="1" si="11"/>
        <v>08/06/yyyy a 14/06/yyyy</v>
      </c>
    </row>
    <row r="377" spans="1:13" x14ac:dyDescent="0.3">
      <c r="A377" t="s">
        <v>24</v>
      </c>
      <c r="B377" t="s">
        <v>11</v>
      </c>
      <c r="C377">
        <v>45848</v>
      </c>
      <c r="D377">
        <v>45855</v>
      </c>
      <c r="E377">
        <v>6</v>
      </c>
      <c r="F377">
        <v>6</v>
      </c>
      <c r="G377">
        <v>10</v>
      </c>
      <c r="H377">
        <v>2</v>
      </c>
      <c r="I377">
        <v>1</v>
      </c>
      <c r="J377" t="s">
        <v>47</v>
      </c>
      <c r="K377">
        <v>0</v>
      </c>
      <c r="L377" s="17">
        <f t="shared" ca="1" si="10"/>
        <v>46188</v>
      </c>
      <c r="M377" s="6" t="str">
        <f t="shared" ca="1" si="11"/>
        <v>15/06/yyyy a 21/06/yyyy</v>
      </c>
    </row>
    <row r="378" spans="1:13" x14ac:dyDescent="0.3">
      <c r="A378" t="s">
        <v>24</v>
      </c>
      <c r="B378" t="s">
        <v>11</v>
      </c>
      <c r="C378">
        <v>45848</v>
      </c>
      <c r="D378">
        <v>45855</v>
      </c>
      <c r="E378">
        <v>6</v>
      </c>
      <c r="F378">
        <v>6</v>
      </c>
      <c r="G378">
        <v>10</v>
      </c>
      <c r="H378">
        <v>2</v>
      </c>
      <c r="I378">
        <v>1</v>
      </c>
      <c r="J378" t="s">
        <v>48</v>
      </c>
      <c r="K378">
        <v>0</v>
      </c>
      <c r="L378" s="17">
        <f t="shared" ca="1" si="10"/>
        <v>46195</v>
      </c>
      <c r="M378" s="6" t="str">
        <f t="shared" ca="1" si="11"/>
        <v>22/06/yyyy a 28/06/yyyy</v>
      </c>
    </row>
    <row r="379" spans="1:13" x14ac:dyDescent="0.3">
      <c r="A379" t="s">
        <v>24</v>
      </c>
      <c r="B379" t="s">
        <v>11</v>
      </c>
      <c r="C379">
        <v>45848</v>
      </c>
      <c r="D379">
        <v>45855</v>
      </c>
      <c r="E379">
        <v>6</v>
      </c>
      <c r="F379">
        <v>6</v>
      </c>
      <c r="G379">
        <v>10</v>
      </c>
      <c r="H379">
        <v>2</v>
      </c>
      <c r="I379">
        <v>1</v>
      </c>
      <c r="J379" t="s">
        <v>49</v>
      </c>
      <c r="K379">
        <v>0</v>
      </c>
      <c r="L379" s="17">
        <f t="shared" ca="1" si="10"/>
        <v>46202</v>
      </c>
      <c r="M379" s="6" t="str">
        <f t="shared" ca="1" si="11"/>
        <v>29/06/yyyy a 05/07/yyyy</v>
      </c>
    </row>
    <row r="380" spans="1:13" x14ac:dyDescent="0.3">
      <c r="A380" t="s">
        <v>24</v>
      </c>
      <c r="B380" t="s">
        <v>11</v>
      </c>
      <c r="C380">
        <v>45848</v>
      </c>
      <c r="D380">
        <v>45855</v>
      </c>
      <c r="E380">
        <v>6</v>
      </c>
      <c r="F380">
        <v>6</v>
      </c>
      <c r="G380">
        <v>10</v>
      </c>
      <c r="H380">
        <v>2</v>
      </c>
      <c r="I380">
        <v>1</v>
      </c>
      <c r="J380" t="s">
        <v>50</v>
      </c>
      <c r="K380">
        <v>0</v>
      </c>
      <c r="L380" s="17">
        <f t="shared" ca="1" si="10"/>
        <v>46209</v>
      </c>
      <c r="M380" s="6" t="str">
        <f t="shared" ca="1" si="11"/>
        <v>06/07/yyyy a 12/07/yyyy</v>
      </c>
    </row>
    <row r="381" spans="1:13" x14ac:dyDescent="0.3">
      <c r="A381" t="s">
        <v>24</v>
      </c>
      <c r="B381" t="s">
        <v>11</v>
      </c>
      <c r="C381">
        <v>45848</v>
      </c>
      <c r="D381">
        <v>45855</v>
      </c>
      <c r="E381">
        <v>6</v>
      </c>
      <c r="F381">
        <v>6</v>
      </c>
      <c r="G381">
        <v>10</v>
      </c>
      <c r="H381">
        <v>2</v>
      </c>
      <c r="I381">
        <v>1</v>
      </c>
      <c r="J381" t="s">
        <v>51</v>
      </c>
      <c r="K381">
        <v>0</v>
      </c>
      <c r="L381" s="17">
        <f t="shared" ca="1" si="10"/>
        <v>46216</v>
      </c>
      <c r="M381" s="6" t="str">
        <f t="shared" ca="1" si="11"/>
        <v>13/07/yyyy a 19/07/yyyy</v>
      </c>
    </row>
    <row r="382" spans="1:13" x14ac:dyDescent="0.3">
      <c r="A382" t="s">
        <v>24</v>
      </c>
      <c r="B382" t="s">
        <v>11</v>
      </c>
      <c r="C382">
        <v>45848</v>
      </c>
      <c r="D382">
        <v>45855</v>
      </c>
      <c r="E382">
        <v>6</v>
      </c>
      <c r="F382">
        <v>6</v>
      </c>
      <c r="G382">
        <v>10</v>
      </c>
      <c r="H382">
        <v>2</v>
      </c>
      <c r="I382">
        <v>1</v>
      </c>
      <c r="J382" t="s">
        <v>52</v>
      </c>
      <c r="K382">
        <v>0</v>
      </c>
      <c r="L382" s="17">
        <f t="shared" ca="1" si="10"/>
        <v>46223</v>
      </c>
      <c r="M382" s="6" t="str">
        <f t="shared" ca="1" si="11"/>
        <v>20/07/yyyy a 26/07/yyyy</v>
      </c>
    </row>
    <row r="383" spans="1:13" x14ac:dyDescent="0.3">
      <c r="A383" t="s">
        <v>24</v>
      </c>
      <c r="B383" t="s">
        <v>11</v>
      </c>
      <c r="C383">
        <v>45848</v>
      </c>
      <c r="D383">
        <v>45855</v>
      </c>
      <c r="E383">
        <v>6</v>
      </c>
      <c r="F383">
        <v>6</v>
      </c>
      <c r="G383">
        <v>10</v>
      </c>
      <c r="H383">
        <v>2</v>
      </c>
      <c r="I383">
        <v>1</v>
      </c>
      <c r="J383" t="s">
        <v>53</v>
      </c>
      <c r="K383">
        <v>0</v>
      </c>
      <c r="L383" s="17">
        <f t="shared" ca="1" si="10"/>
        <v>46167</v>
      </c>
      <c r="M383" s="6" t="str">
        <f t="shared" ca="1" si="11"/>
        <v>25/05/yyyy a 31/05/yyyy</v>
      </c>
    </row>
    <row r="384" spans="1:13" x14ac:dyDescent="0.3">
      <c r="A384" t="s">
        <v>24</v>
      </c>
      <c r="B384" t="s">
        <v>11</v>
      </c>
      <c r="C384">
        <v>45848</v>
      </c>
      <c r="D384">
        <v>45855</v>
      </c>
      <c r="E384">
        <v>6</v>
      </c>
      <c r="F384">
        <v>6</v>
      </c>
      <c r="G384">
        <v>10</v>
      </c>
      <c r="H384">
        <v>2</v>
      </c>
      <c r="I384">
        <v>1</v>
      </c>
      <c r="J384" t="s">
        <v>54</v>
      </c>
      <c r="K384">
        <v>0</v>
      </c>
      <c r="L384" s="17">
        <f t="shared" ca="1" si="10"/>
        <v>46167</v>
      </c>
      <c r="M384" s="6" t="str">
        <f t="shared" ca="1" si="11"/>
        <v>25/05/yyyy a 31/05/yyyy</v>
      </c>
    </row>
    <row r="385" spans="1:13" x14ac:dyDescent="0.3">
      <c r="A385" t="s">
        <v>24</v>
      </c>
      <c r="B385" t="s">
        <v>11</v>
      </c>
      <c r="C385">
        <v>45848</v>
      </c>
      <c r="D385">
        <v>45855</v>
      </c>
      <c r="E385">
        <v>6</v>
      </c>
      <c r="F385">
        <v>6</v>
      </c>
      <c r="G385">
        <v>10</v>
      </c>
      <c r="H385">
        <v>2</v>
      </c>
      <c r="I385">
        <v>1</v>
      </c>
      <c r="J385" t="s">
        <v>55</v>
      </c>
      <c r="K385">
        <v>0</v>
      </c>
      <c r="L385" s="17">
        <f t="shared" ca="1" si="10"/>
        <v>46167</v>
      </c>
      <c r="M385" s="6" t="str">
        <f t="shared" ca="1" si="11"/>
        <v>25/05/yyyy a 31/05/yyyy</v>
      </c>
    </row>
    <row r="386" spans="1:13" x14ac:dyDescent="0.3">
      <c r="A386" t="s">
        <v>24</v>
      </c>
      <c r="B386" t="s">
        <v>18</v>
      </c>
      <c r="C386">
        <v>45862</v>
      </c>
      <c r="D386">
        <v>45869</v>
      </c>
      <c r="E386">
        <v>3</v>
      </c>
      <c r="F386">
        <v>3</v>
      </c>
      <c r="G386">
        <v>20</v>
      </c>
      <c r="H386">
        <v>4</v>
      </c>
      <c r="I386">
        <v>0.5</v>
      </c>
      <c r="J386" t="s">
        <v>44</v>
      </c>
      <c r="K386">
        <v>0</v>
      </c>
      <c r="L386" s="17">
        <f t="shared" ref="L386:L449" ca="1" si="12">IFERROR(VLOOKUP(J386,$O$2:$P$13,2),"")</f>
        <v>46167</v>
      </c>
      <c r="M386" s="6" t="str">
        <f t="shared" ref="M386:M449" ca="1" si="13">IFERROR(TEXT(L386,"dd/mm/yyyy")&amp; " a " &amp; (TEXT(L386+6,"dd/mm/yyyy")),"")</f>
        <v>25/05/yyyy a 31/05/yyyy</v>
      </c>
    </row>
    <row r="387" spans="1:13" x14ac:dyDescent="0.3">
      <c r="A387" t="s">
        <v>24</v>
      </c>
      <c r="B387" t="s">
        <v>18</v>
      </c>
      <c r="C387">
        <v>45862</v>
      </c>
      <c r="D387">
        <v>45869</v>
      </c>
      <c r="E387">
        <v>3</v>
      </c>
      <c r="F387">
        <v>3</v>
      </c>
      <c r="G387">
        <v>20</v>
      </c>
      <c r="H387">
        <v>4</v>
      </c>
      <c r="I387">
        <v>0.5</v>
      </c>
      <c r="J387" t="s">
        <v>45</v>
      </c>
      <c r="K387">
        <v>0</v>
      </c>
      <c r="L387" s="17">
        <f t="shared" ca="1" si="12"/>
        <v>46174</v>
      </c>
      <c r="M387" s="6" t="str">
        <f t="shared" ca="1" si="13"/>
        <v>01/06/yyyy a 07/06/yyyy</v>
      </c>
    </row>
    <row r="388" spans="1:13" x14ac:dyDescent="0.3">
      <c r="A388" t="s">
        <v>24</v>
      </c>
      <c r="B388" t="s">
        <v>18</v>
      </c>
      <c r="C388">
        <v>45862</v>
      </c>
      <c r="D388">
        <v>45869</v>
      </c>
      <c r="E388">
        <v>3</v>
      </c>
      <c r="F388">
        <v>3</v>
      </c>
      <c r="G388">
        <v>20</v>
      </c>
      <c r="H388">
        <v>4</v>
      </c>
      <c r="I388">
        <v>0.5</v>
      </c>
      <c r="J388" t="s">
        <v>46</v>
      </c>
      <c r="K388">
        <v>0</v>
      </c>
      <c r="L388" s="17">
        <f t="shared" ca="1" si="12"/>
        <v>46181</v>
      </c>
      <c r="M388" s="6" t="str">
        <f t="shared" ca="1" si="13"/>
        <v>08/06/yyyy a 14/06/yyyy</v>
      </c>
    </row>
    <row r="389" spans="1:13" x14ac:dyDescent="0.3">
      <c r="A389" t="s">
        <v>24</v>
      </c>
      <c r="B389" t="s">
        <v>18</v>
      </c>
      <c r="C389">
        <v>45862</v>
      </c>
      <c r="D389">
        <v>45869</v>
      </c>
      <c r="E389">
        <v>3</v>
      </c>
      <c r="F389">
        <v>3</v>
      </c>
      <c r="G389">
        <v>20</v>
      </c>
      <c r="H389">
        <v>4</v>
      </c>
      <c r="I389">
        <v>0.5</v>
      </c>
      <c r="J389" t="s">
        <v>47</v>
      </c>
      <c r="K389">
        <v>1</v>
      </c>
      <c r="L389" s="17">
        <f t="shared" ca="1" si="12"/>
        <v>46188</v>
      </c>
      <c r="M389" s="6" t="str">
        <f t="shared" ca="1" si="13"/>
        <v>15/06/yyyy a 21/06/yyyy</v>
      </c>
    </row>
    <row r="390" spans="1:13" x14ac:dyDescent="0.3">
      <c r="A390" t="s">
        <v>24</v>
      </c>
      <c r="B390" t="s">
        <v>18</v>
      </c>
      <c r="C390">
        <v>45862</v>
      </c>
      <c r="D390">
        <v>45869</v>
      </c>
      <c r="E390">
        <v>3</v>
      </c>
      <c r="F390">
        <v>3</v>
      </c>
      <c r="G390">
        <v>20</v>
      </c>
      <c r="H390">
        <v>4</v>
      </c>
      <c r="I390">
        <v>0.5</v>
      </c>
      <c r="J390" t="s">
        <v>48</v>
      </c>
      <c r="K390">
        <v>2</v>
      </c>
      <c r="L390" s="17">
        <f t="shared" ca="1" si="12"/>
        <v>46195</v>
      </c>
      <c r="M390" s="6" t="str">
        <f t="shared" ca="1" si="13"/>
        <v>22/06/yyyy a 28/06/yyyy</v>
      </c>
    </row>
    <row r="391" spans="1:13" x14ac:dyDescent="0.3">
      <c r="A391" t="s">
        <v>24</v>
      </c>
      <c r="B391" t="s">
        <v>18</v>
      </c>
      <c r="C391">
        <v>45862</v>
      </c>
      <c r="D391">
        <v>45869</v>
      </c>
      <c r="E391">
        <v>3</v>
      </c>
      <c r="F391">
        <v>3</v>
      </c>
      <c r="G391">
        <v>20</v>
      </c>
      <c r="H391">
        <v>4</v>
      </c>
      <c r="I391">
        <v>0.5</v>
      </c>
      <c r="J391" t="s">
        <v>49</v>
      </c>
      <c r="K391">
        <v>0</v>
      </c>
      <c r="L391" s="17">
        <f t="shared" ca="1" si="12"/>
        <v>46202</v>
      </c>
      <c r="M391" s="6" t="str">
        <f t="shared" ca="1" si="13"/>
        <v>29/06/yyyy a 05/07/yyyy</v>
      </c>
    </row>
    <row r="392" spans="1:13" x14ac:dyDescent="0.3">
      <c r="A392" t="s">
        <v>24</v>
      </c>
      <c r="B392" t="s">
        <v>18</v>
      </c>
      <c r="C392">
        <v>45862</v>
      </c>
      <c r="D392">
        <v>45869</v>
      </c>
      <c r="E392">
        <v>3</v>
      </c>
      <c r="F392">
        <v>3</v>
      </c>
      <c r="G392">
        <v>20</v>
      </c>
      <c r="H392">
        <v>4</v>
      </c>
      <c r="I392">
        <v>0.5</v>
      </c>
      <c r="J392" t="s">
        <v>50</v>
      </c>
      <c r="K392">
        <v>0</v>
      </c>
      <c r="L392" s="17">
        <f t="shared" ca="1" si="12"/>
        <v>46209</v>
      </c>
      <c r="M392" s="6" t="str">
        <f t="shared" ca="1" si="13"/>
        <v>06/07/yyyy a 12/07/yyyy</v>
      </c>
    </row>
    <row r="393" spans="1:13" x14ac:dyDescent="0.3">
      <c r="A393" t="s">
        <v>24</v>
      </c>
      <c r="B393" t="s">
        <v>18</v>
      </c>
      <c r="C393">
        <v>45862</v>
      </c>
      <c r="D393">
        <v>45869</v>
      </c>
      <c r="E393">
        <v>3</v>
      </c>
      <c r="F393">
        <v>3</v>
      </c>
      <c r="G393">
        <v>20</v>
      </c>
      <c r="H393">
        <v>4</v>
      </c>
      <c r="I393">
        <v>0.5</v>
      </c>
      <c r="J393" t="s">
        <v>51</v>
      </c>
      <c r="K393">
        <v>0</v>
      </c>
      <c r="L393" s="17">
        <f t="shared" ca="1" si="12"/>
        <v>46216</v>
      </c>
      <c r="M393" s="6" t="str">
        <f t="shared" ca="1" si="13"/>
        <v>13/07/yyyy a 19/07/yyyy</v>
      </c>
    </row>
    <row r="394" spans="1:13" x14ac:dyDescent="0.3">
      <c r="A394" t="s">
        <v>24</v>
      </c>
      <c r="B394" t="s">
        <v>18</v>
      </c>
      <c r="C394">
        <v>45862</v>
      </c>
      <c r="D394">
        <v>45869</v>
      </c>
      <c r="E394">
        <v>3</v>
      </c>
      <c r="F394">
        <v>3</v>
      </c>
      <c r="G394">
        <v>20</v>
      </c>
      <c r="H394">
        <v>4</v>
      </c>
      <c r="I394">
        <v>0.5</v>
      </c>
      <c r="J394" t="s">
        <v>52</v>
      </c>
      <c r="K394">
        <v>0</v>
      </c>
      <c r="L394" s="17">
        <f t="shared" ca="1" si="12"/>
        <v>46223</v>
      </c>
      <c r="M394" s="6" t="str">
        <f t="shared" ca="1" si="13"/>
        <v>20/07/yyyy a 26/07/yyyy</v>
      </c>
    </row>
    <row r="395" spans="1:13" x14ac:dyDescent="0.3">
      <c r="A395" t="s">
        <v>24</v>
      </c>
      <c r="B395" t="s">
        <v>18</v>
      </c>
      <c r="C395">
        <v>45862</v>
      </c>
      <c r="D395">
        <v>45869</v>
      </c>
      <c r="E395">
        <v>3</v>
      </c>
      <c r="F395">
        <v>3</v>
      </c>
      <c r="G395">
        <v>20</v>
      </c>
      <c r="H395">
        <v>4</v>
      </c>
      <c r="I395">
        <v>0.5</v>
      </c>
      <c r="J395" t="s">
        <v>53</v>
      </c>
      <c r="K395">
        <v>0</v>
      </c>
      <c r="L395" s="17">
        <f t="shared" ca="1" si="12"/>
        <v>46167</v>
      </c>
      <c r="M395" s="6" t="str">
        <f t="shared" ca="1" si="13"/>
        <v>25/05/yyyy a 31/05/yyyy</v>
      </c>
    </row>
    <row r="396" spans="1:13" x14ac:dyDescent="0.3">
      <c r="A396" t="s">
        <v>24</v>
      </c>
      <c r="B396" t="s">
        <v>18</v>
      </c>
      <c r="C396">
        <v>45862</v>
      </c>
      <c r="D396">
        <v>45869</v>
      </c>
      <c r="E396">
        <v>3</v>
      </c>
      <c r="F396">
        <v>3</v>
      </c>
      <c r="G396">
        <v>20</v>
      </c>
      <c r="H396">
        <v>4</v>
      </c>
      <c r="I396">
        <v>0.5</v>
      </c>
      <c r="J396" t="s">
        <v>54</v>
      </c>
      <c r="K396">
        <v>0</v>
      </c>
      <c r="L396" s="17">
        <f t="shared" ca="1" si="12"/>
        <v>46167</v>
      </c>
      <c r="M396" s="6" t="str">
        <f t="shared" ca="1" si="13"/>
        <v>25/05/yyyy a 31/05/yyyy</v>
      </c>
    </row>
    <row r="397" spans="1:13" x14ac:dyDescent="0.3">
      <c r="A397" t="s">
        <v>24</v>
      </c>
      <c r="B397" t="s">
        <v>18</v>
      </c>
      <c r="C397">
        <v>45862</v>
      </c>
      <c r="D397">
        <v>45869</v>
      </c>
      <c r="E397">
        <v>3</v>
      </c>
      <c r="F397">
        <v>3</v>
      </c>
      <c r="G397">
        <v>20</v>
      </c>
      <c r="H397">
        <v>4</v>
      </c>
      <c r="I397">
        <v>0.5</v>
      </c>
      <c r="J397" t="s">
        <v>55</v>
      </c>
      <c r="K397">
        <v>0</v>
      </c>
      <c r="L397" s="17">
        <f t="shared" ca="1" si="12"/>
        <v>46167</v>
      </c>
      <c r="M397" s="6" t="str">
        <f t="shared" ca="1" si="13"/>
        <v>25/05/yyyy a 31/05/yyyy</v>
      </c>
    </row>
    <row r="398" spans="1:13" x14ac:dyDescent="0.3">
      <c r="A398" t="s">
        <v>24</v>
      </c>
      <c r="B398" t="s">
        <v>11</v>
      </c>
      <c r="C398">
        <v>45862</v>
      </c>
      <c r="D398">
        <v>45869</v>
      </c>
      <c r="E398">
        <v>6</v>
      </c>
      <c r="F398">
        <v>6</v>
      </c>
      <c r="G398">
        <v>20</v>
      </c>
      <c r="H398">
        <v>4</v>
      </c>
      <c r="I398">
        <v>1</v>
      </c>
      <c r="J398" t="s">
        <v>44</v>
      </c>
      <c r="K398">
        <v>0</v>
      </c>
      <c r="L398" s="17">
        <f t="shared" ca="1" si="12"/>
        <v>46167</v>
      </c>
      <c r="M398" s="6" t="str">
        <f t="shared" ca="1" si="13"/>
        <v>25/05/yyyy a 31/05/yyyy</v>
      </c>
    </row>
    <row r="399" spans="1:13" x14ac:dyDescent="0.3">
      <c r="A399" t="s">
        <v>24</v>
      </c>
      <c r="B399" t="s">
        <v>11</v>
      </c>
      <c r="C399">
        <v>45862</v>
      </c>
      <c r="D399">
        <v>45869</v>
      </c>
      <c r="E399">
        <v>6</v>
      </c>
      <c r="F399">
        <v>6</v>
      </c>
      <c r="G399">
        <v>20</v>
      </c>
      <c r="H399">
        <v>4</v>
      </c>
      <c r="I399">
        <v>1</v>
      </c>
      <c r="J399" t="s">
        <v>45</v>
      </c>
      <c r="K399">
        <v>0</v>
      </c>
      <c r="L399" s="17">
        <f t="shared" ca="1" si="12"/>
        <v>46174</v>
      </c>
      <c r="M399" s="6" t="str">
        <f t="shared" ca="1" si="13"/>
        <v>01/06/yyyy a 07/06/yyyy</v>
      </c>
    </row>
    <row r="400" spans="1:13" x14ac:dyDescent="0.3">
      <c r="A400" t="s">
        <v>24</v>
      </c>
      <c r="B400" t="s">
        <v>11</v>
      </c>
      <c r="C400">
        <v>45862</v>
      </c>
      <c r="D400">
        <v>45869</v>
      </c>
      <c r="E400">
        <v>6</v>
      </c>
      <c r="F400">
        <v>6</v>
      </c>
      <c r="G400">
        <v>20</v>
      </c>
      <c r="H400">
        <v>4</v>
      </c>
      <c r="I400">
        <v>1</v>
      </c>
      <c r="J400" t="s">
        <v>46</v>
      </c>
      <c r="K400">
        <v>0</v>
      </c>
      <c r="L400" s="17">
        <f t="shared" ca="1" si="12"/>
        <v>46181</v>
      </c>
      <c r="M400" s="6" t="str">
        <f t="shared" ca="1" si="13"/>
        <v>08/06/yyyy a 14/06/yyyy</v>
      </c>
    </row>
    <row r="401" spans="1:13" x14ac:dyDescent="0.3">
      <c r="A401" t="s">
        <v>24</v>
      </c>
      <c r="B401" t="s">
        <v>11</v>
      </c>
      <c r="C401">
        <v>45862</v>
      </c>
      <c r="D401">
        <v>45869</v>
      </c>
      <c r="E401">
        <v>6</v>
      </c>
      <c r="F401">
        <v>6</v>
      </c>
      <c r="G401">
        <v>20</v>
      </c>
      <c r="H401">
        <v>4</v>
      </c>
      <c r="I401">
        <v>1</v>
      </c>
      <c r="J401" t="s">
        <v>47</v>
      </c>
      <c r="K401">
        <v>2</v>
      </c>
      <c r="L401" s="17">
        <f t="shared" ca="1" si="12"/>
        <v>46188</v>
      </c>
      <c r="M401" s="6" t="str">
        <f t="shared" ca="1" si="13"/>
        <v>15/06/yyyy a 21/06/yyyy</v>
      </c>
    </row>
    <row r="402" spans="1:13" x14ac:dyDescent="0.3">
      <c r="A402" t="s">
        <v>24</v>
      </c>
      <c r="B402" t="s">
        <v>11</v>
      </c>
      <c r="C402">
        <v>45862</v>
      </c>
      <c r="D402">
        <v>45869</v>
      </c>
      <c r="E402">
        <v>6</v>
      </c>
      <c r="F402">
        <v>6</v>
      </c>
      <c r="G402">
        <v>20</v>
      </c>
      <c r="H402">
        <v>4</v>
      </c>
      <c r="I402">
        <v>1</v>
      </c>
      <c r="J402" t="s">
        <v>48</v>
      </c>
      <c r="K402">
        <v>4</v>
      </c>
      <c r="L402" s="17">
        <f t="shared" ca="1" si="12"/>
        <v>46195</v>
      </c>
      <c r="M402" s="6" t="str">
        <f t="shared" ca="1" si="13"/>
        <v>22/06/yyyy a 28/06/yyyy</v>
      </c>
    </row>
    <row r="403" spans="1:13" x14ac:dyDescent="0.3">
      <c r="A403" t="s">
        <v>24</v>
      </c>
      <c r="B403" t="s">
        <v>11</v>
      </c>
      <c r="C403">
        <v>45862</v>
      </c>
      <c r="D403">
        <v>45869</v>
      </c>
      <c r="E403">
        <v>6</v>
      </c>
      <c r="F403">
        <v>6</v>
      </c>
      <c r="G403">
        <v>20</v>
      </c>
      <c r="H403">
        <v>4</v>
      </c>
      <c r="I403">
        <v>1</v>
      </c>
      <c r="J403" t="s">
        <v>49</v>
      </c>
      <c r="K403">
        <v>0</v>
      </c>
      <c r="L403" s="17">
        <f t="shared" ca="1" si="12"/>
        <v>46202</v>
      </c>
      <c r="M403" s="6" t="str">
        <f t="shared" ca="1" si="13"/>
        <v>29/06/yyyy a 05/07/yyyy</v>
      </c>
    </row>
    <row r="404" spans="1:13" x14ac:dyDescent="0.3">
      <c r="A404" t="s">
        <v>24</v>
      </c>
      <c r="B404" t="s">
        <v>11</v>
      </c>
      <c r="C404">
        <v>45862</v>
      </c>
      <c r="D404">
        <v>45869</v>
      </c>
      <c r="E404">
        <v>6</v>
      </c>
      <c r="F404">
        <v>6</v>
      </c>
      <c r="G404">
        <v>20</v>
      </c>
      <c r="H404">
        <v>4</v>
      </c>
      <c r="I404">
        <v>1</v>
      </c>
      <c r="J404" t="s">
        <v>50</v>
      </c>
      <c r="K404">
        <v>0</v>
      </c>
      <c r="L404" s="17">
        <f t="shared" ca="1" si="12"/>
        <v>46209</v>
      </c>
      <c r="M404" s="6" t="str">
        <f t="shared" ca="1" si="13"/>
        <v>06/07/yyyy a 12/07/yyyy</v>
      </c>
    </row>
    <row r="405" spans="1:13" x14ac:dyDescent="0.3">
      <c r="A405" t="s">
        <v>24</v>
      </c>
      <c r="B405" t="s">
        <v>11</v>
      </c>
      <c r="C405">
        <v>45862</v>
      </c>
      <c r="D405">
        <v>45869</v>
      </c>
      <c r="E405">
        <v>6</v>
      </c>
      <c r="F405">
        <v>6</v>
      </c>
      <c r="G405">
        <v>20</v>
      </c>
      <c r="H405">
        <v>4</v>
      </c>
      <c r="I405">
        <v>1</v>
      </c>
      <c r="J405" t="s">
        <v>51</v>
      </c>
      <c r="K405">
        <v>0</v>
      </c>
      <c r="L405" s="17">
        <f t="shared" ca="1" si="12"/>
        <v>46216</v>
      </c>
      <c r="M405" s="6" t="str">
        <f t="shared" ca="1" si="13"/>
        <v>13/07/yyyy a 19/07/yyyy</v>
      </c>
    </row>
    <row r="406" spans="1:13" x14ac:dyDescent="0.3">
      <c r="A406" t="s">
        <v>24</v>
      </c>
      <c r="B406" t="s">
        <v>11</v>
      </c>
      <c r="C406">
        <v>45862</v>
      </c>
      <c r="D406">
        <v>45869</v>
      </c>
      <c r="E406">
        <v>6</v>
      </c>
      <c r="F406">
        <v>6</v>
      </c>
      <c r="G406">
        <v>20</v>
      </c>
      <c r="H406">
        <v>4</v>
      </c>
      <c r="I406">
        <v>1</v>
      </c>
      <c r="J406" t="s">
        <v>52</v>
      </c>
      <c r="K406">
        <v>0</v>
      </c>
      <c r="L406" s="17">
        <f t="shared" ca="1" si="12"/>
        <v>46223</v>
      </c>
      <c r="M406" s="6" t="str">
        <f t="shared" ca="1" si="13"/>
        <v>20/07/yyyy a 26/07/yyyy</v>
      </c>
    </row>
    <row r="407" spans="1:13" x14ac:dyDescent="0.3">
      <c r="A407" t="s">
        <v>24</v>
      </c>
      <c r="B407" t="s">
        <v>11</v>
      </c>
      <c r="C407">
        <v>45862</v>
      </c>
      <c r="D407">
        <v>45869</v>
      </c>
      <c r="E407">
        <v>6</v>
      </c>
      <c r="F407">
        <v>6</v>
      </c>
      <c r="G407">
        <v>20</v>
      </c>
      <c r="H407">
        <v>4</v>
      </c>
      <c r="I407">
        <v>1</v>
      </c>
      <c r="J407" t="s">
        <v>53</v>
      </c>
      <c r="K407">
        <v>0</v>
      </c>
      <c r="L407" s="17">
        <f t="shared" ca="1" si="12"/>
        <v>46167</v>
      </c>
      <c r="M407" s="6" t="str">
        <f t="shared" ca="1" si="13"/>
        <v>25/05/yyyy a 31/05/yyyy</v>
      </c>
    </row>
    <row r="408" spans="1:13" x14ac:dyDescent="0.3">
      <c r="A408" t="s">
        <v>24</v>
      </c>
      <c r="B408" t="s">
        <v>11</v>
      </c>
      <c r="C408">
        <v>45862</v>
      </c>
      <c r="D408">
        <v>45869</v>
      </c>
      <c r="E408">
        <v>6</v>
      </c>
      <c r="F408">
        <v>6</v>
      </c>
      <c r="G408">
        <v>20</v>
      </c>
      <c r="H408">
        <v>4</v>
      </c>
      <c r="I408">
        <v>1</v>
      </c>
      <c r="J408" t="s">
        <v>54</v>
      </c>
      <c r="K408">
        <v>0</v>
      </c>
      <c r="L408" s="17">
        <f t="shared" ca="1" si="12"/>
        <v>46167</v>
      </c>
      <c r="M408" s="6" t="str">
        <f t="shared" ca="1" si="13"/>
        <v>25/05/yyyy a 31/05/yyyy</v>
      </c>
    </row>
    <row r="409" spans="1:13" x14ac:dyDescent="0.3">
      <c r="A409" t="s">
        <v>24</v>
      </c>
      <c r="B409" t="s">
        <v>11</v>
      </c>
      <c r="C409">
        <v>45862</v>
      </c>
      <c r="D409">
        <v>45869</v>
      </c>
      <c r="E409">
        <v>6</v>
      </c>
      <c r="F409">
        <v>6</v>
      </c>
      <c r="G409">
        <v>20</v>
      </c>
      <c r="H409">
        <v>4</v>
      </c>
      <c r="I409">
        <v>1</v>
      </c>
      <c r="J409" t="s">
        <v>55</v>
      </c>
      <c r="K409">
        <v>0</v>
      </c>
      <c r="L409" s="17">
        <f t="shared" ca="1" si="12"/>
        <v>46167</v>
      </c>
      <c r="M409" s="6" t="str">
        <f t="shared" ca="1" si="13"/>
        <v>25/05/yyyy a 31/05/yyyy</v>
      </c>
    </row>
    <row r="410" spans="1:13" x14ac:dyDescent="0.3">
      <c r="A410" t="s">
        <v>24</v>
      </c>
      <c r="B410" t="s">
        <v>28</v>
      </c>
      <c r="C410">
        <v>45848</v>
      </c>
      <c r="D410">
        <v>45855</v>
      </c>
      <c r="E410">
        <v>4</v>
      </c>
      <c r="F410">
        <v>4</v>
      </c>
      <c r="G410">
        <v>10</v>
      </c>
      <c r="H410">
        <v>2</v>
      </c>
      <c r="I410">
        <v>0.66666666666666663</v>
      </c>
      <c r="J410" t="s">
        <v>44</v>
      </c>
      <c r="K410">
        <v>0</v>
      </c>
      <c r="L410" s="17">
        <f t="shared" ca="1" si="12"/>
        <v>46167</v>
      </c>
      <c r="M410" s="6" t="str">
        <f t="shared" ca="1" si="13"/>
        <v>25/05/yyyy a 31/05/yyyy</v>
      </c>
    </row>
    <row r="411" spans="1:13" x14ac:dyDescent="0.3">
      <c r="A411" t="s">
        <v>24</v>
      </c>
      <c r="B411" t="s">
        <v>28</v>
      </c>
      <c r="C411">
        <v>45848</v>
      </c>
      <c r="D411">
        <v>45855</v>
      </c>
      <c r="E411">
        <v>4</v>
      </c>
      <c r="F411">
        <v>4</v>
      </c>
      <c r="G411">
        <v>10</v>
      </c>
      <c r="H411">
        <v>2</v>
      </c>
      <c r="I411">
        <v>0.66666666666666663</v>
      </c>
      <c r="J411" t="s">
        <v>45</v>
      </c>
      <c r="K411">
        <v>1.333333333333333</v>
      </c>
      <c r="L411" s="17">
        <f t="shared" ca="1" si="12"/>
        <v>46174</v>
      </c>
      <c r="M411" s="6" t="str">
        <f t="shared" ca="1" si="13"/>
        <v>01/06/yyyy a 07/06/yyyy</v>
      </c>
    </row>
    <row r="412" spans="1:13" x14ac:dyDescent="0.3">
      <c r="A412" t="s">
        <v>24</v>
      </c>
      <c r="B412" t="s">
        <v>28</v>
      </c>
      <c r="C412">
        <v>45848</v>
      </c>
      <c r="D412">
        <v>45855</v>
      </c>
      <c r="E412">
        <v>4</v>
      </c>
      <c r="F412">
        <v>4</v>
      </c>
      <c r="G412">
        <v>10</v>
      </c>
      <c r="H412">
        <v>2</v>
      </c>
      <c r="I412">
        <v>0.66666666666666663</v>
      </c>
      <c r="J412" t="s">
        <v>46</v>
      </c>
      <c r="K412">
        <v>2.6666666666666665</v>
      </c>
      <c r="L412" s="17">
        <f t="shared" ca="1" si="12"/>
        <v>46181</v>
      </c>
      <c r="M412" s="6" t="str">
        <f t="shared" ca="1" si="13"/>
        <v>08/06/yyyy a 14/06/yyyy</v>
      </c>
    </row>
    <row r="413" spans="1:13" x14ac:dyDescent="0.3">
      <c r="A413" t="s">
        <v>24</v>
      </c>
      <c r="B413" t="s">
        <v>28</v>
      </c>
      <c r="C413">
        <v>45848</v>
      </c>
      <c r="D413">
        <v>45855</v>
      </c>
      <c r="E413">
        <v>4</v>
      </c>
      <c r="F413">
        <v>4</v>
      </c>
      <c r="G413">
        <v>10</v>
      </c>
      <c r="H413">
        <v>2</v>
      </c>
      <c r="I413">
        <v>0.66666666666666663</v>
      </c>
      <c r="J413" t="s">
        <v>47</v>
      </c>
      <c r="K413">
        <v>0</v>
      </c>
      <c r="L413" s="17">
        <f t="shared" ca="1" si="12"/>
        <v>46188</v>
      </c>
      <c r="M413" s="6" t="str">
        <f t="shared" ca="1" si="13"/>
        <v>15/06/yyyy a 21/06/yyyy</v>
      </c>
    </row>
    <row r="414" spans="1:13" x14ac:dyDescent="0.3">
      <c r="A414" t="s">
        <v>24</v>
      </c>
      <c r="B414" t="s">
        <v>28</v>
      </c>
      <c r="C414">
        <v>45848</v>
      </c>
      <c r="D414">
        <v>45855</v>
      </c>
      <c r="E414">
        <v>4</v>
      </c>
      <c r="F414">
        <v>4</v>
      </c>
      <c r="G414">
        <v>10</v>
      </c>
      <c r="H414">
        <v>2</v>
      </c>
      <c r="I414">
        <v>0.66666666666666663</v>
      </c>
      <c r="J414" t="s">
        <v>48</v>
      </c>
      <c r="K414">
        <v>0</v>
      </c>
      <c r="L414" s="17">
        <f t="shared" ca="1" si="12"/>
        <v>46195</v>
      </c>
      <c r="M414" s="6" t="str">
        <f t="shared" ca="1" si="13"/>
        <v>22/06/yyyy a 28/06/yyyy</v>
      </c>
    </row>
    <row r="415" spans="1:13" x14ac:dyDescent="0.3">
      <c r="A415" t="s">
        <v>24</v>
      </c>
      <c r="B415" t="s">
        <v>28</v>
      </c>
      <c r="C415">
        <v>45848</v>
      </c>
      <c r="D415">
        <v>45855</v>
      </c>
      <c r="E415">
        <v>4</v>
      </c>
      <c r="F415">
        <v>4</v>
      </c>
      <c r="G415">
        <v>10</v>
      </c>
      <c r="H415">
        <v>2</v>
      </c>
      <c r="I415">
        <v>0.66666666666666663</v>
      </c>
      <c r="J415" t="s">
        <v>49</v>
      </c>
      <c r="K415">
        <v>0</v>
      </c>
      <c r="L415" s="17">
        <f t="shared" ca="1" si="12"/>
        <v>46202</v>
      </c>
      <c r="M415" s="6" t="str">
        <f t="shared" ca="1" si="13"/>
        <v>29/06/yyyy a 05/07/yyyy</v>
      </c>
    </row>
    <row r="416" spans="1:13" x14ac:dyDescent="0.3">
      <c r="A416" t="s">
        <v>24</v>
      </c>
      <c r="B416" t="s">
        <v>28</v>
      </c>
      <c r="C416">
        <v>45848</v>
      </c>
      <c r="D416">
        <v>45855</v>
      </c>
      <c r="E416">
        <v>4</v>
      </c>
      <c r="F416">
        <v>4</v>
      </c>
      <c r="G416">
        <v>10</v>
      </c>
      <c r="H416">
        <v>2</v>
      </c>
      <c r="I416">
        <v>0.66666666666666663</v>
      </c>
      <c r="J416" t="s">
        <v>50</v>
      </c>
      <c r="K416">
        <v>0</v>
      </c>
      <c r="L416" s="17">
        <f t="shared" ca="1" si="12"/>
        <v>46209</v>
      </c>
      <c r="M416" s="6" t="str">
        <f t="shared" ca="1" si="13"/>
        <v>06/07/yyyy a 12/07/yyyy</v>
      </c>
    </row>
    <row r="417" spans="1:13" x14ac:dyDescent="0.3">
      <c r="A417" t="s">
        <v>24</v>
      </c>
      <c r="B417" t="s">
        <v>28</v>
      </c>
      <c r="C417">
        <v>45848</v>
      </c>
      <c r="D417">
        <v>45855</v>
      </c>
      <c r="E417">
        <v>4</v>
      </c>
      <c r="F417">
        <v>4</v>
      </c>
      <c r="G417">
        <v>10</v>
      </c>
      <c r="H417">
        <v>2</v>
      </c>
      <c r="I417">
        <v>0.66666666666666663</v>
      </c>
      <c r="J417" t="s">
        <v>51</v>
      </c>
      <c r="K417">
        <v>0</v>
      </c>
      <c r="L417" s="17">
        <f t="shared" ca="1" si="12"/>
        <v>46216</v>
      </c>
      <c r="M417" s="6" t="str">
        <f t="shared" ca="1" si="13"/>
        <v>13/07/yyyy a 19/07/yyyy</v>
      </c>
    </row>
    <row r="418" spans="1:13" x14ac:dyDescent="0.3">
      <c r="A418" t="s">
        <v>24</v>
      </c>
      <c r="B418" t="s">
        <v>28</v>
      </c>
      <c r="C418">
        <v>45848</v>
      </c>
      <c r="D418">
        <v>45855</v>
      </c>
      <c r="E418">
        <v>4</v>
      </c>
      <c r="F418">
        <v>4</v>
      </c>
      <c r="G418">
        <v>10</v>
      </c>
      <c r="H418">
        <v>2</v>
      </c>
      <c r="I418">
        <v>0.66666666666666663</v>
      </c>
      <c r="J418" t="s">
        <v>52</v>
      </c>
      <c r="K418">
        <v>0</v>
      </c>
      <c r="L418" s="17">
        <f t="shared" ca="1" si="12"/>
        <v>46223</v>
      </c>
      <c r="M418" s="6" t="str">
        <f t="shared" ca="1" si="13"/>
        <v>20/07/yyyy a 26/07/yyyy</v>
      </c>
    </row>
    <row r="419" spans="1:13" x14ac:dyDescent="0.3">
      <c r="A419" t="s">
        <v>24</v>
      </c>
      <c r="B419" t="s">
        <v>28</v>
      </c>
      <c r="C419">
        <v>45848</v>
      </c>
      <c r="D419">
        <v>45855</v>
      </c>
      <c r="E419">
        <v>4</v>
      </c>
      <c r="F419">
        <v>4</v>
      </c>
      <c r="G419">
        <v>10</v>
      </c>
      <c r="H419">
        <v>2</v>
      </c>
      <c r="I419">
        <v>0.66666666666666663</v>
      </c>
      <c r="J419" t="s">
        <v>53</v>
      </c>
      <c r="K419">
        <v>0</v>
      </c>
      <c r="L419" s="17">
        <f t="shared" ca="1" si="12"/>
        <v>46167</v>
      </c>
      <c r="M419" s="6" t="str">
        <f t="shared" ca="1" si="13"/>
        <v>25/05/yyyy a 31/05/yyyy</v>
      </c>
    </row>
    <row r="420" spans="1:13" x14ac:dyDescent="0.3">
      <c r="A420" t="s">
        <v>24</v>
      </c>
      <c r="B420" t="s">
        <v>28</v>
      </c>
      <c r="C420">
        <v>45848</v>
      </c>
      <c r="D420">
        <v>45855</v>
      </c>
      <c r="E420">
        <v>4</v>
      </c>
      <c r="F420">
        <v>4</v>
      </c>
      <c r="G420">
        <v>10</v>
      </c>
      <c r="H420">
        <v>2</v>
      </c>
      <c r="I420">
        <v>0.66666666666666663</v>
      </c>
      <c r="J420" t="s">
        <v>54</v>
      </c>
      <c r="K420">
        <v>0</v>
      </c>
      <c r="L420" s="17">
        <f t="shared" ca="1" si="12"/>
        <v>46167</v>
      </c>
      <c r="M420" s="6" t="str">
        <f t="shared" ca="1" si="13"/>
        <v>25/05/yyyy a 31/05/yyyy</v>
      </c>
    </row>
    <row r="421" spans="1:13" x14ac:dyDescent="0.3">
      <c r="A421" t="s">
        <v>24</v>
      </c>
      <c r="B421" t="s">
        <v>28</v>
      </c>
      <c r="C421">
        <v>45848</v>
      </c>
      <c r="D421">
        <v>45855</v>
      </c>
      <c r="E421">
        <v>4</v>
      </c>
      <c r="F421">
        <v>4</v>
      </c>
      <c r="G421">
        <v>10</v>
      </c>
      <c r="H421">
        <v>2</v>
      </c>
      <c r="I421">
        <v>0.66666666666666663</v>
      </c>
      <c r="J421" t="s">
        <v>55</v>
      </c>
      <c r="K421">
        <v>0</v>
      </c>
      <c r="L421" s="17">
        <f t="shared" ca="1" si="12"/>
        <v>46167</v>
      </c>
      <c r="M421" s="6" t="str">
        <f t="shared" ca="1" si="13"/>
        <v>25/05/yyyy a 31/05/yyyy</v>
      </c>
    </row>
    <row r="422" spans="1:13" x14ac:dyDescent="0.3">
      <c r="A422" t="s">
        <v>24</v>
      </c>
      <c r="B422" t="s">
        <v>25</v>
      </c>
      <c r="C422">
        <v>45848</v>
      </c>
      <c r="D422">
        <v>45855</v>
      </c>
      <c r="E422">
        <v>10</v>
      </c>
      <c r="F422">
        <v>10</v>
      </c>
      <c r="G422">
        <v>10</v>
      </c>
      <c r="H422">
        <v>2</v>
      </c>
      <c r="I422">
        <v>1.6666666666666667</v>
      </c>
      <c r="J422" t="s">
        <v>44</v>
      </c>
      <c r="K422">
        <v>0</v>
      </c>
      <c r="L422" s="17">
        <f t="shared" ca="1" si="12"/>
        <v>46167</v>
      </c>
      <c r="M422" s="6" t="str">
        <f t="shared" ca="1" si="13"/>
        <v>25/05/yyyy a 31/05/yyyy</v>
      </c>
    </row>
    <row r="423" spans="1:13" x14ac:dyDescent="0.3">
      <c r="A423" t="s">
        <v>24</v>
      </c>
      <c r="B423" t="s">
        <v>25</v>
      </c>
      <c r="C423">
        <v>45848</v>
      </c>
      <c r="D423">
        <v>45855</v>
      </c>
      <c r="E423">
        <v>10</v>
      </c>
      <c r="F423">
        <v>10</v>
      </c>
      <c r="G423">
        <v>10</v>
      </c>
      <c r="H423">
        <v>2</v>
      </c>
      <c r="I423">
        <v>1.6666666666666667</v>
      </c>
      <c r="J423" t="s">
        <v>45</v>
      </c>
      <c r="K423">
        <v>3.3333333333333339</v>
      </c>
      <c r="L423" s="17">
        <f t="shared" ca="1" si="12"/>
        <v>46174</v>
      </c>
      <c r="M423" s="6" t="str">
        <f t="shared" ca="1" si="13"/>
        <v>01/06/yyyy a 07/06/yyyy</v>
      </c>
    </row>
    <row r="424" spans="1:13" x14ac:dyDescent="0.3">
      <c r="A424" t="s">
        <v>24</v>
      </c>
      <c r="B424" t="s">
        <v>25</v>
      </c>
      <c r="C424">
        <v>45848</v>
      </c>
      <c r="D424">
        <v>45855</v>
      </c>
      <c r="E424">
        <v>10</v>
      </c>
      <c r="F424">
        <v>10</v>
      </c>
      <c r="G424">
        <v>10</v>
      </c>
      <c r="H424">
        <v>2</v>
      </c>
      <c r="I424">
        <v>1.6666666666666667</v>
      </c>
      <c r="J424" t="s">
        <v>46</v>
      </c>
      <c r="K424">
        <v>6.666666666666667</v>
      </c>
      <c r="L424" s="17">
        <f t="shared" ca="1" si="12"/>
        <v>46181</v>
      </c>
      <c r="M424" s="6" t="str">
        <f t="shared" ca="1" si="13"/>
        <v>08/06/yyyy a 14/06/yyyy</v>
      </c>
    </row>
    <row r="425" spans="1:13" x14ac:dyDescent="0.3">
      <c r="A425" t="s">
        <v>24</v>
      </c>
      <c r="B425" t="s">
        <v>25</v>
      </c>
      <c r="C425">
        <v>45848</v>
      </c>
      <c r="D425">
        <v>45855</v>
      </c>
      <c r="E425">
        <v>10</v>
      </c>
      <c r="F425">
        <v>10</v>
      </c>
      <c r="G425">
        <v>10</v>
      </c>
      <c r="H425">
        <v>2</v>
      </c>
      <c r="I425">
        <v>1.6666666666666667</v>
      </c>
      <c r="J425" t="s">
        <v>47</v>
      </c>
      <c r="K425">
        <v>0</v>
      </c>
      <c r="L425" s="17">
        <f t="shared" ca="1" si="12"/>
        <v>46188</v>
      </c>
      <c r="M425" s="6" t="str">
        <f t="shared" ca="1" si="13"/>
        <v>15/06/yyyy a 21/06/yyyy</v>
      </c>
    </row>
    <row r="426" spans="1:13" x14ac:dyDescent="0.3">
      <c r="A426" t="s">
        <v>24</v>
      </c>
      <c r="B426" t="s">
        <v>25</v>
      </c>
      <c r="C426">
        <v>45848</v>
      </c>
      <c r="D426">
        <v>45855</v>
      </c>
      <c r="E426">
        <v>10</v>
      </c>
      <c r="F426">
        <v>10</v>
      </c>
      <c r="G426">
        <v>10</v>
      </c>
      <c r="H426">
        <v>2</v>
      </c>
      <c r="I426">
        <v>1.6666666666666667</v>
      </c>
      <c r="J426" t="s">
        <v>48</v>
      </c>
      <c r="K426">
        <v>0</v>
      </c>
      <c r="L426" s="17">
        <f t="shared" ca="1" si="12"/>
        <v>46195</v>
      </c>
      <c r="M426" s="6" t="str">
        <f t="shared" ca="1" si="13"/>
        <v>22/06/yyyy a 28/06/yyyy</v>
      </c>
    </row>
    <row r="427" spans="1:13" x14ac:dyDescent="0.3">
      <c r="A427" t="s">
        <v>24</v>
      </c>
      <c r="B427" t="s">
        <v>25</v>
      </c>
      <c r="C427">
        <v>45848</v>
      </c>
      <c r="D427">
        <v>45855</v>
      </c>
      <c r="E427">
        <v>10</v>
      </c>
      <c r="F427">
        <v>10</v>
      </c>
      <c r="G427">
        <v>10</v>
      </c>
      <c r="H427">
        <v>2</v>
      </c>
      <c r="I427">
        <v>1.6666666666666667</v>
      </c>
      <c r="J427" t="s">
        <v>49</v>
      </c>
      <c r="K427">
        <v>0</v>
      </c>
      <c r="L427" s="17">
        <f t="shared" ca="1" si="12"/>
        <v>46202</v>
      </c>
      <c r="M427" s="6" t="str">
        <f t="shared" ca="1" si="13"/>
        <v>29/06/yyyy a 05/07/yyyy</v>
      </c>
    </row>
    <row r="428" spans="1:13" x14ac:dyDescent="0.3">
      <c r="A428" t="s">
        <v>24</v>
      </c>
      <c r="B428" t="s">
        <v>25</v>
      </c>
      <c r="C428">
        <v>45848</v>
      </c>
      <c r="D428">
        <v>45855</v>
      </c>
      <c r="E428">
        <v>10</v>
      </c>
      <c r="F428">
        <v>10</v>
      </c>
      <c r="G428">
        <v>10</v>
      </c>
      <c r="H428">
        <v>2</v>
      </c>
      <c r="I428">
        <v>1.6666666666666667</v>
      </c>
      <c r="J428" t="s">
        <v>50</v>
      </c>
      <c r="K428">
        <v>0</v>
      </c>
      <c r="L428" s="17">
        <f t="shared" ca="1" si="12"/>
        <v>46209</v>
      </c>
      <c r="M428" s="6" t="str">
        <f t="shared" ca="1" si="13"/>
        <v>06/07/yyyy a 12/07/yyyy</v>
      </c>
    </row>
    <row r="429" spans="1:13" x14ac:dyDescent="0.3">
      <c r="A429" t="s">
        <v>24</v>
      </c>
      <c r="B429" t="s">
        <v>25</v>
      </c>
      <c r="C429">
        <v>45848</v>
      </c>
      <c r="D429">
        <v>45855</v>
      </c>
      <c r="E429">
        <v>10</v>
      </c>
      <c r="F429">
        <v>10</v>
      </c>
      <c r="G429">
        <v>10</v>
      </c>
      <c r="H429">
        <v>2</v>
      </c>
      <c r="I429">
        <v>1.6666666666666667</v>
      </c>
      <c r="J429" t="s">
        <v>51</v>
      </c>
      <c r="K429">
        <v>0</v>
      </c>
      <c r="L429" s="17">
        <f t="shared" ca="1" si="12"/>
        <v>46216</v>
      </c>
      <c r="M429" s="6" t="str">
        <f t="shared" ca="1" si="13"/>
        <v>13/07/yyyy a 19/07/yyyy</v>
      </c>
    </row>
    <row r="430" spans="1:13" x14ac:dyDescent="0.3">
      <c r="A430" t="s">
        <v>24</v>
      </c>
      <c r="B430" t="s">
        <v>25</v>
      </c>
      <c r="C430">
        <v>45848</v>
      </c>
      <c r="D430">
        <v>45855</v>
      </c>
      <c r="E430">
        <v>10</v>
      </c>
      <c r="F430">
        <v>10</v>
      </c>
      <c r="G430">
        <v>10</v>
      </c>
      <c r="H430">
        <v>2</v>
      </c>
      <c r="I430">
        <v>1.6666666666666667</v>
      </c>
      <c r="J430" t="s">
        <v>52</v>
      </c>
      <c r="K430">
        <v>0</v>
      </c>
      <c r="L430" s="17">
        <f t="shared" ca="1" si="12"/>
        <v>46223</v>
      </c>
      <c r="M430" s="6" t="str">
        <f t="shared" ca="1" si="13"/>
        <v>20/07/yyyy a 26/07/yyyy</v>
      </c>
    </row>
    <row r="431" spans="1:13" x14ac:dyDescent="0.3">
      <c r="A431" t="s">
        <v>24</v>
      </c>
      <c r="B431" t="s">
        <v>25</v>
      </c>
      <c r="C431">
        <v>45848</v>
      </c>
      <c r="D431">
        <v>45855</v>
      </c>
      <c r="E431">
        <v>10</v>
      </c>
      <c r="F431">
        <v>10</v>
      </c>
      <c r="G431">
        <v>10</v>
      </c>
      <c r="H431">
        <v>2</v>
      </c>
      <c r="I431">
        <v>1.6666666666666667</v>
      </c>
      <c r="J431" t="s">
        <v>53</v>
      </c>
      <c r="K431">
        <v>0</v>
      </c>
      <c r="L431" s="17">
        <f t="shared" ca="1" si="12"/>
        <v>46167</v>
      </c>
      <c r="M431" s="6" t="str">
        <f t="shared" ca="1" si="13"/>
        <v>25/05/yyyy a 31/05/yyyy</v>
      </c>
    </row>
    <row r="432" spans="1:13" x14ac:dyDescent="0.3">
      <c r="A432" t="s">
        <v>24</v>
      </c>
      <c r="B432" t="s">
        <v>25</v>
      </c>
      <c r="C432">
        <v>45848</v>
      </c>
      <c r="D432">
        <v>45855</v>
      </c>
      <c r="E432">
        <v>10</v>
      </c>
      <c r="F432">
        <v>10</v>
      </c>
      <c r="G432">
        <v>10</v>
      </c>
      <c r="H432">
        <v>2</v>
      </c>
      <c r="I432">
        <v>1.6666666666666667</v>
      </c>
      <c r="J432" t="s">
        <v>54</v>
      </c>
      <c r="K432">
        <v>0</v>
      </c>
      <c r="L432" s="17">
        <f t="shared" ca="1" si="12"/>
        <v>46167</v>
      </c>
      <c r="M432" s="6" t="str">
        <f t="shared" ca="1" si="13"/>
        <v>25/05/yyyy a 31/05/yyyy</v>
      </c>
    </row>
    <row r="433" spans="1:13" x14ac:dyDescent="0.3">
      <c r="A433" t="s">
        <v>24</v>
      </c>
      <c r="B433" t="s">
        <v>25</v>
      </c>
      <c r="C433">
        <v>45848</v>
      </c>
      <c r="D433">
        <v>45855</v>
      </c>
      <c r="E433">
        <v>10</v>
      </c>
      <c r="F433">
        <v>10</v>
      </c>
      <c r="G433">
        <v>10</v>
      </c>
      <c r="H433">
        <v>2</v>
      </c>
      <c r="I433">
        <v>1.6666666666666667</v>
      </c>
      <c r="J433" t="s">
        <v>55</v>
      </c>
      <c r="K433">
        <v>0</v>
      </c>
      <c r="L433" s="17">
        <f t="shared" ca="1" si="12"/>
        <v>46167</v>
      </c>
      <c r="M433" s="6" t="str">
        <f t="shared" ca="1" si="13"/>
        <v>25/05/yyyy a 31/05/yyyy</v>
      </c>
    </row>
    <row r="434" spans="1:13" x14ac:dyDescent="0.3">
      <c r="A434" t="s">
        <v>24</v>
      </c>
      <c r="B434" t="s">
        <v>29</v>
      </c>
      <c r="C434">
        <v>45862</v>
      </c>
      <c r="D434">
        <v>45869</v>
      </c>
      <c r="E434">
        <v>2.5</v>
      </c>
      <c r="F434">
        <v>2.5</v>
      </c>
      <c r="G434">
        <v>20</v>
      </c>
      <c r="H434">
        <v>4</v>
      </c>
      <c r="I434">
        <v>0.41666666666666669</v>
      </c>
      <c r="J434" t="s">
        <v>44</v>
      </c>
      <c r="K434">
        <v>0</v>
      </c>
      <c r="L434" s="17">
        <f t="shared" ca="1" si="12"/>
        <v>46167</v>
      </c>
      <c r="M434" s="6" t="str">
        <f t="shared" ca="1" si="13"/>
        <v>25/05/yyyy a 31/05/yyyy</v>
      </c>
    </row>
    <row r="435" spans="1:13" x14ac:dyDescent="0.3">
      <c r="A435" t="s">
        <v>24</v>
      </c>
      <c r="B435" t="s">
        <v>29</v>
      </c>
      <c r="C435">
        <v>45862</v>
      </c>
      <c r="D435">
        <v>45869</v>
      </c>
      <c r="E435">
        <v>2.5</v>
      </c>
      <c r="F435">
        <v>2.5</v>
      </c>
      <c r="G435">
        <v>20</v>
      </c>
      <c r="H435">
        <v>4</v>
      </c>
      <c r="I435">
        <v>0.41666666666666669</v>
      </c>
      <c r="J435" t="s">
        <v>45</v>
      </c>
      <c r="K435">
        <v>0</v>
      </c>
      <c r="L435" s="17">
        <f t="shared" ca="1" si="12"/>
        <v>46174</v>
      </c>
      <c r="M435" s="6" t="str">
        <f t="shared" ca="1" si="13"/>
        <v>01/06/yyyy a 07/06/yyyy</v>
      </c>
    </row>
    <row r="436" spans="1:13" x14ac:dyDescent="0.3">
      <c r="A436" t="s">
        <v>24</v>
      </c>
      <c r="B436" t="s">
        <v>29</v>
      </c>
      <c r="C436">
        <v>45862</v>
      </c>
      <c r="D436">
        <v>45869</v>
      </c>
      <c r="E436">
        <v>2.5</v>
      </c>
      <c r="F436">
        <v>2.5</v>
      </c>
      <c r="G436">
        <v>20</v>
      </c>
      <c r="H436">
        <v>4</v>
      </c>
      <c r="I436">
        <v>0.41666666666666669</v>
      </c>
      <c r="J436" t="s">
        <v>46</v>
      </c>
      <c r="K436">
        <v>0</v>
      </c>
      <c r="L436" s="17">
        <f t="shared" ca="1" si="12"/>
        <v>46181</v>
      </c>
      <c r="M436" s="6" t="str">
        <f t="shared" ca="1" si="13"/>
        <v>08/06/yyyy a 14/06/yyyy</v>
      </c>
    </row>
    <row r="437" spans="1:13" x14ac:dyDescent="0.3">
      <c r="A437" t="s">
        <v>24</v>
      </c>
      <c r="B437" t="s">
        <v>29</v>
      </c>
      <c r="C437">
        <v>45862</v>
      </c>
      <c r="D437">
        <v>45869</v>
      </c>
      <c r="E437">
        <v>2.5</v>
      </c>
      <c r="F437">
        <v>2.5</v>
      </c>
      <c r="G437">
        <v>20</v>
      </c>
      <c r="H437">
        <v>4</v>
      </c>
      <c r="I437">
        <v>0.41666666666666669</v>
      </c>
      <c r="J437" t="s">
        <v>47</v>
      </c>
      <c r="K437">
        <v>0.83333333333333348</v>
      </c>
      <c r="L437" s="17">
        <f t="shared" ca="1" si="12"/>
        <v>46188</v>
      </c>
      <c r="M437" s="6" t="str">
        <f t="shared" ca="1" si="13"/>
        <v>15/06/yyyy a 21/06/yyyy</v>
      </c>
    </row>
    <row r="438" spans="1:13" x14ac:dyDescent="0.3">
      <c r="A438" t="s">
        <v>24</v>
      </c>
      <c r="B438" t="s">
        <v>29</v>
      </c>
      <c r="C438">
        <v>45862</v>
      </c>
      <c r="D438">
        <v>45869</v>
      </c>
      <c r="E438">
        <v>2.5</v>
      </c>
      <c r="F438">
        <v>2.5</v>
      </c>
      <c r="G438">
        <v>20</v>
      </c>
      <c r="H438">
        <v>4</v>
      </c>
      <c r="I438">
        <v>0.41666666666666669</v>
      </c>
      <c r="J438" t="s">
        <v>48</v>
      </c>
      <c r="K438">
        <v>1.6666666666666667</v>
      </c>
      <c r="L438" s="17">
        <f t="shared" ca="1" si="12"/>
        <v>46195</v>
      </c>
      <c r="M438" s="6" t="str">
        <f t="shared" ca="1" si="13"/>
        <v>22/06/yyyy a 28/06/yyyy</v>
      </c>
    </row>
    <row r="439" spans="1:13" x14ac:dyDescent="0.3">
      <c r="A439" t="s">
        <v>24</v>
      </c>
      <c r="B439" t="s">
        <v>29</v>
      </c>
      <c r="C439">
        <v>45862</v>
      </c>
      <c r="D439">
        <v>45869</v>
      </c>
      <c r="E439">
        <v>2.5</v>
      </c>
      <c r="F439">
        <v>2.5</v>
      </c>
      <c r="G439">
        <v>20</v>
      </c>
      <c r="H439">
        <v>4</v>
      </c>
      <c r="I439">
        <v>0.41666666666666669</v>
      </c>
      <c r="J439" t="s">
        <v>49</v>
      </c>
      <c r="K439">
        <v>0</v>
      </c>
      <c r="L439" s="17">
        <f t="shared" ca="1" si="12"/>
        <v>46202</v>
      </c>
      <c r="M439" s="6" t="str">
        <f t="shared" ca="1" si="13"/>
        <v>29/06/yyyy a 05/07/yyyy</v>
      </c>
    </row>
    <row r="440" spans="1:13" x14ac:dyDescent="0.3">
      <c r="A440" t="s">
        <v>24</v>
      </c>
      <c r="B440" t="s">
        <v>29</v>
      </c>
      <c r="C440">
        <v>45862</v>
      </c>
      <c r="D440">
        <v>45869</v>
      </c>
      <c r="E440">
        <v>2.5</v>
      </c>
      <c r="F440">
        <v>2.5</v>
      </c>
      <c r="G440">
        <v>20</v>
      </c>
      <c r="H440">
        <v>4</v>
      </c>
      <c r="I440">
        <v>0.41666666666666669</v>
      </c>
      <c r="J440" t="s">
        <v>50</v>
      </c>
      <c r="K440">
        <v>0</v>
      </c>
      <c r="L440" s="17">
        <f t="shared" ca="1" si="12"/>
        <v>46209</v>
      </c>
      <c r="M440" s="6" t="str">
        <f t="shared" ca="1" si="13"/>
        <v>06/07/yyyy a 12/07/yyyy</v>
      </c>
    </row>
    <row r="441" spans="1:13" x14ac:dyDescent="0.3">
      <c r="A441" t="s">
        <v>24</v>
      </c>
      <c r="B441" t="s">
        <v>29</v>
      </c>
      <c r="C441">
        <v>45862</v>
      </c>
      <c r="D441">
        <v>45869</v>
      </c>
      <c r="E441">
        <v>2.5</v>
      </c>
      <c r="F441">
        <v>2.5</v>
      </c>
      <c r="G441">
        <v>20</v>
      </c>
      <c r="H441">
        <v>4</v>
      </c>
      <c r="I441">
        <v>0.41666666666666669</v>
      </c>
      <c r="J441" t="s">
        <v>51</v>
      </c>
      <c r="K441">
        <v>0</v>
      </c>
      <c r="L441" s="17">
        <f t="shared" ca="1" si="12"/>
        <v>46216</v>
      </c>
      <c r="M441" s="6" t="str">
        <f t="shared" ca="1" si="13"/>
        <v>13/07/yyyy a 19/07/yyyy</v>
      </c>
    </row>
    <row r="442" spans="1:13" x14ac:dyDescent="0.3">
      <c r="A442" t="s">
        <v>24</v>
      </c>
      <c r="B442" t="s">
        <v>29</v>
      </c>
      <c r="C442">
        <v>45862</v>
      </c>
      <c r="D442">
        <v>45869</v>
      </c>
      <c r="E442">
        <v>2.5</v>
      </c>
      <c r="F442">
        <v>2.5</v>
      </c>
      <c r="G442">
        <v>20</v>
      </c>
      <c r="H442">
        <v>4</v>
      </c>
      <c r="I442">
        <v>0.41666666666666669</v>
      </c>
      <c r="J442" t="s">
        <v>52</v>
      </c>
      <c r="K442">
        <v>0</v>
      </c>
      <c r="L442" s="17">
        <f t="shared" ca="1" si="12"/>
        <v>46223</v>
      </c>
      <c r="M442" s="6" t="str">
        <f t="shared" ca="1" si="13"/>
        <v>20/07/yyyy a 26/07/yyyy</v>
      </c>
    </row>
    <row r="443" spans="1:13" x14ac:dyDescent="0.3">
      <c r="A443" t="s">
        <v>24</v>
      </c>
      <c r="B443" t="s">
        <v>29</v>
      </c>
      <c r="C443">
        <v>45862</v>
      </c>
      <c r="D443">
        <v>45869</v>
      </c>
      <c r="E443">
        <v>2.5</v>
      </c>
      <c r="F443">
        <v>2.5</v>
      </c>
      <c r="G443">
        <v>20</v>
      </c>
      <c r="H443">
        <v>4</v>
      </c>
      <c r="I443">
        <v>0.41666666666666669</v>
      </c>
      <c r="J443" t="s">
        <v>53</v>
      </c>
      <c r="K443">
        <v>0</v>
      </c>
      <c r="L443" s="17">
        <f t="shared" ca="1" si="12"/>
        <v>46167</v>
      </c>
      <c r="M443" s="6" t="str">
        <f t="shared" ca="1" si="13"/>
        <v>25/05/yyyy a 31/05/yyyy</v>
      </c>
    </row>
    <row r="444" spans="1:13" x14ac:dyDescent="0.3">
      <c r="A444" t="s">
        <v>24</v>
      </c>
      <c r="B444" t="s">
        <v>29</v>
      </c>
      <c r="C444">
        <v>45862</v>
      </c>
      <c r="D444">
        <v>45869</v>
      </c>
      <c r="E444">
        <v>2.5</v>
      </c>
      <c r="F444">
        <v>2.5</v>
      </c>
      <c r="G444">
        <v>20</v>
      </c>
      <c r="H444">
        <v>4</v>
      </c>
      <c r="I444">
        <v>0.41666666666666669</v>
      </c>
      <c r="J444" t="s">
        <v>54</v>
      </c>
      <c r="K444">
        <v>0</v>
      </c>
      <c r="L444" s="17">
        <f t="shared" ca="1" si="12"/>
        <v>46167</v>
      </c>
      <c r="M444" s="6" t="str">
        <f t="shared" ca="1" si="13"/>
        <v>25/05/yyyy a 31/05/yyyy</v>
      </c>
    </row>
    <row r="445" spans="1:13" x14ac:dyDescent="0.3">
      <c r="A445" t="s">
        <v>24</v>
      </c>
      <c r="B445" t="s">
        <v>29</v>
      </c>
      <c r="C445">
        <v>45862</v>
      </c>
      <c r="D445">
        <v>45869</v>
      </c>
      <c r="E445">
        <v>2.5</v>
      </c>
      <c r="F445">
        <v>2.5</v>
      </c>
      <c r="G445">
        <v>20</v>
      </c>
      <c r="H445">
        <v>4</v>
      </c>
      <c r="I445">
        <v>0.41666666666666669</v>
      </c>
      <c r="J445" t="s">
        <v>55</v>
      </c>
      <c r="K445">
        <v>0</v>
      </c>
      <c r="L445" s="17">
        <f t="shared" ca="1" si="12"/>
        <v>46167</v>
      </c>
      <c r="M445" s="6" t="str">
        <f t="shared" ca="1" si="13"/>
        <v>25/05/yyyy a 31/05/yyyy</v>
      </c>
    </row>
    <row r="446" spans="1:13" x14ac:dyDescent="0.3">
      <c r="A446" t="s">
        <v>24</v>
      </c>
      <c r="B446" t="s">
        <v>27</v>
      </c>
      <c r="C446">
        <v>45862</v>
      </c>
      <c r="D446">
        <v>45869</v>
      </c>
      <c r="E446">
        <v>3.5</v>
      </c>
      <c r="F446">
        <v>3.5</v>
      </c>
      <c r="G446">
        <v>20</v>
      </c>
      <c r="H446">
        <v>4</v>
      </c>
      <c r="I446">
        <v>0.58333333333333337</v>
      </c>
      <c r="J446" t="s">
        <v>44</v>
      </c>
      <c r="K446">
        <v>0</v>
      </c>
      <c r="L446" s="17">
        <f t="shared" ca="1" si="12"/>
        <v>46167</v>
      </c>
      <c r="M446" s="6" t="str">
        <f t="shared" ca="1" si="13"/>
        <v>25/05/yyyy a 31/05/yyyy</v>
      </c>
    </row>
    <row r="447" spans="1:13" x14ac:dyDescent="0.3">
      <c r="A447" t="s">
        <v>24</v>
      </c>
      <c r="B447" t="s">
        <v>27</v>
      </c>
      <c r="C447">
        <v>45862</v>
      </c>
      <c r="D447">
        <v>45869</v>
      </c>
      <c r="E447">
        <v>3.5</v>
      </c>
      <c r="F447">
        <v>3.5</v>
      </c>
      <c r="G447">
        <v>20</v>
      </c>
      <c r="H447">
        <v>4</v>
      </c>
      <c r="I447">
        <v>0.58333333333333337</v>
      </c>
      <c r="J447" t="s">
        <v>45</v>
      </c>
      <c r="K447">
        <v>0</v>
      </c>
      <c r="L447" s="17">
        <f t="shared" ca="1" si="12"/>
        <v>46174</v>
      </c>
      <c r="M447" s="6" t="str">
        <f t="shared" ca="1" si="13"/>
        <v>01/06/yyyy a 07/06/yyyy</v>
      </c>
    </row>
    <row r="448" spans="1:13" x14ac:dyDescent="0.3">
      <c r="A448" t="s">
        <v>24</v>
      </c>
      <c r="B448" t="s">
        <v>27</v>
      </c>
      <c r="C448">
        <v>45862</v>
      </c>
      <c r="D448">
        <v>45869</v>
      </c>
      <c r="E448">
        <v>3.5</v>
      </c>
      <c r="F448">
        <v>3.5</v>
      </c>
      <c r="G448">
        <v>20</v>
      </c>
      <c r="H448">
        <v>4</v>
      </c>
      <c r="I448">
        <v>0.58333333333333337</v>
      </c>
      <c r="J448" t="s">
        <v>46</v>
      </c>
      <c r="K448">
        <v>0</v>
      </c>
      <c r="L448" s="17">
        <f t="shared" ca="1" si="12"/>
        <v>46181</v>
      </c>
      <c r="M448" s="6" t="str">
        <f t="shared" ca="1" si="13"/>
        <v>08/06/yyyy a 14/06/yyyy</v>
      </c>
    </row>
    <row r="449" spans="1:13" x14ac:dyDescent="0.3">
      <c r="A449" t="s">
        <v>24</v>
      </c>
      <c r="B449" t="s">
        <v>27</v>
      </c>
      <c r="C449">
        <v>45862</v>
      </c>
      <c r="D449">
        <v>45869</v>
      </c>
      <c r="E449">
        <v>3.5</v>
      </c>
      <c r="F449">
        <v>3.5</v>
      </c>
      <c r="G449">
        <v>20</v>
      </c>
      <c r="H449">
        <v>4</v>
      </c>
      <c r="I449">
        <v>0.58333333333333337</v>
      </c>
      <c r="J449" t="s">
        <v>47</v>
      </c>
      <c r="K449">
        <v>1.166666666666667</v>
      </c>
      <c r="L449" s="17">
        <f t="shared" ca="1" si="12"/>
        <v>46188</v>
      </c>
      <c r="M449" s="6" t="str">
        <f t="shared" ca="1" si="13"/>
        <v>15/06/yyyy a 21/06/yyyy</v>
      </c>
    </row>
    <row r="450" spans="1:13" x14ac:dyDescent="0.3">
      <c r="A450" t="s">
        <v>24</v>
      </c>
      <c r="B450" t="s">
        <v>27</v>
      </c>
      <c r="C450">
        <v>45862</v>
      </c>
      <c r="D450">
        <v>45869</v>
      </c>
      <c r="E450">
        <v>3.5</v>
      </c>
      <c r="F450">
        <v>3.5</v>
      </c>
      <c r="G450">
        <v>20</v>
      </c>
      <c r="H450">
        <v>4</v>
      </c>
      <c r="I450">
        <v>0.58333333333333337</v>
      </c>
      <c r="J450" t="s">
        <v>48</v>
      </c>
      <c r="K450">
        <v>2.3333333333333335</v>
      </c>
      <c r="L450" s="17">
        <f t="shared" ref="L450:L513" ca="1" si="14">IFERROR(VLOOKUP(J450,$O$2:$P$13,2),"")</f>
        <v>46195</v>
      </c>
      <c r="M450" s="6" t="str">
        <f t="shared" ref="M450:M513" ca="1" si="15">IFERROR(TEXT(L450,"dd/mm/yyyy")&amp; " a " &amp; (TEXT(L450+6,"dd/mm/yyyy")),"")</f>
        <v>22/06/yyyy a 28/06/yyyy</v>
      </c>
    </row>
    <row r="451" spans="1:13" x14ac:dyDescent="0.3">
      <c r="A451" t="s">
        <v>24</v>
      </c>
      <c r="B451" t="s">
        <v>27</v>
      </c>
      <c r="C451">
        <v>45862</v>
      </c>
      <c r="D451">
        <v>45869</v>
      </c>
      <c r="E451">
        <v>3.5</v>
      </c>
      <c r="F451">
        <v>3.5</v>
      </c>
      <c r="G451">
        <v>20</v>
      </c>
      <c r="H451">
        <v>4</v>
      </c>
      <c r="I451">
        <v>0.58333333333333337</v>
      </c>
      <c r="J451" t="s">
        <v>49</v>
      </c>
      <c r="K451">
        <v>0</v>
      </c>
      <c r="L451" s="17">
        <f t="shared" ca="1" si="14"/>
        <v>46202</v>
      </c>
      <c r="M451" s="6" t="str">
        <f t="shared" ca="1" si="15"/>
        <v>29/06/yyyy a 05/07/yyyy</v>
      </c>
    </row>
    <row r="452" spans="1:13" x14ac:dyDescent="0.3">
      <c r="A452" t="s">
        <v>24</v>
      </c>
      <c r="B452" t="s">
        <v>27</v>
      </c>
      <c r="C452">
        <v>45862</v>
      </c>
      <c r="D452">
        <v>45869</v>
      </c>
      <c r="E452">
        <v>3.5</v>
      </c>
      <c r="F452">
        <v>3.5</v>
      </c>
      <c r="G452">
        <v>20</v>
      </c>
      <c r="H452">
        <v>4</v>
      </c>
      <c r="I452">
        <v>0.58333333333333337</v>
      </c>
      <c r="J452" t="s">
        <v>50</v>
      </c>
      <c r="K452">
        <v>0</v>
      </c>
      <c r="L452" s="17">
        <f t="shared" ca="1" si="14"/>
        <v>46209</v>
      </c>
      <c r="M452" s="6" t="str">
        <f t="shared" ca="1" si="15"/>
        <v>06/07/yyyy a 12/07/yyyy</v>
      </c>
    </row>
    <row r="453" spans="1:13" x14ac:dyDescent="0.3">
      <c r="A453" t="s">
        <v>24</v>
      </c>
      <c r="B453" t="s">
        <v>27</v>
      </c>
      <c r="C453">
        <v>45862</v>
      </c>
      <c r="D453">
        <v>45869</v>
      </c>
      <c r="E453">
        <v>3.5</v>
      </c>
      <c r="F453">
        <v>3.5</v>
      </c>
      <c r="G453">
        <v>20</v>
      </c>
      <c r="H453">
        <v>4</v>
      </c>
      <c r="I453">
        <v>0.58333333333333337</v>
      </c>
      <c r="J453" t="s">
        <v>51</v>
      </c>
      <c r="K453">
        <v>0</v>
      </c>
      <c r="L453" s="17">
        <f t="shared" ca="1" si="14"/>
        <v>46216</v>
      </c>
      <c r="M453" s="6" t="str">
        <f t="shared" ca="1" si="15"/>
        <v>13/07/yyyy a 19/07/yyyy</v>
      </c>
    </row>
    <row r="454" spans="1:13" x14ac:dyDescent="0.3">
      <c r="A454" t="s">
        <v>24</v>
      </c>
      <c r="B454" t="s">
        <v>27</v>
      </c>
      <c r="C454">
        <v>45862</v>
      </c>
      <c r="D454">
        <v>45869</v>
      </c>
      <c r="E454">
        <v>3.5</v>
      </c>
      <c r="F454">
        <v>3.5</v>
      </c>
      <c r="G454">
        <v>20</v>
      </c>
      <c r="H454">
        <v>4</v>
      </c>
      <c r="I454">
        <v>0.58333333333333337</v>
      </c>
      <c r="J454" t="s">
        <v>52</v>
      </c>
      <c r="K454">
        <v>0</v>
      </c>
      <c r="L454" s="17">
        <f t="shared" ca="1" si="14"/>
        <v>46223</v>
      </c>
      <c r="M454" s="6" t="str">
        <f t="shared" ca="1" si="15"/>
        <v>20/07/yyyy a 26/07/yyyy</v>
      </c>
    </row>
    <row r="455" spans="1:13" x14ac:dyDescent="0.3">
      <c r="A455" t="s">
        <v>24</v>
      </c>
      <c r="B455" t="s">
        <v>27</v>
      </c>
      <c r="C455">
        <v>45862</v>
      </c>
      <c r="D455">
        <v>45869</v>
      </c>
      <c r="E455">
        <v>3.5</v>
      </c>
      <c r="F455">
        <v>3.5</v>
      </c>
      <c r="G455">
        <v>20</v>
      </c>
      <c r="H455">
        <v>4</v>
      </c>
      <c r="I455">
        <v>0.58333333333333337</v>
      </c>
      <c r="J455" t="s">
        <v>53</v>
      </c>
      <c r="K455">
        <v>0</v>
      </c>
      <c r="L455" s="17">
        <f t="shared" ca="1" si="14"/>
        <v>46167</v>
      </c>
      <c r="M455" s="6" t="str">
        <f t="shared" ca="1" si="15"/>
        <v>25/05/yyyy a 31/05/yyyy</v>
      </c>
    </row>
    <row r="456" spans="1:13" x14ac:dyDescent="0.3">
      <c r="A456" t="s">
        <v>24</v>
      </c>
      <c r="B456" t="s">
        <v>27</v>
      </c>
      <c r="C456">
        <v>45862</v>
      </c>
      <c r="D456">
        <v>45869</v>
      </c>
      <c r="E456">
        <v>3.5</v>
      </c>
      <c r="F456">
        <v>3.5</v>
      </c>
      <c r="G456">
        <v>20</v>
      </c>
      <c r="H456">
        <v>4</v>
      </c>
      <c r="I456">
        <v>0.58333333333333337</v>
      </c>
      <c r="J456" t="s">
        <v>54</v>
      </c>
      <c r="K456">
        <v>0</v>
      </c>
      <c r="L456" s="17">
        <f t="shared" ca="1" si="14"/>
        <v>46167</v>
      </c>
      <c r="M456" s="6" t="str">
        <f t="shared" ca="1" si="15"/>
        <v>25/05/yyyy a 31/05/yyyy</v>
      </c>
    </row>
    <row r="457" spans="1:13" x14ac:dyDescent="0.3">
      <c r="A457" t="s">
        <v>24</v>
      </c>
      <c r="B457" t="s">
        <v>27</v>
      </c>
      <c r="C457">
        <v>45862</v>
      </c>
      <c r="D457">
        <v>45869</v>
      </c>
      <c r="E457">
        <v>3.5</v>
      </c>
      <c r="F457">
        <v>3.5</v>
      </c>
      <c r="G457">
        <v>20</v>
      </c>
      <c r="H457">
        <v>4</v>
      </c>
      <c r="I457">
        <v>0.58333333333333337</v>
      </c>
      <c r="J457" t="s">
        <v>55</v>
      </c>
      <c r="K457">
        <v>0</v>
      </c>
      <c r="L457" s="17">
        <f t="shared" ca="1" si="14"/>
        <v>46167</v>
      </c>
      <c r="M457" s="6" t="str">
        <f t="shared" ca="1" si="15"/>
        <v>25/05/yyyy a 31/05/yyyy</v>
      </c>
    </row>
    <row r="458" spans="1:13" x14ac:dyDescent="0.3">
      <c r="A458" t="s">
        <v>17</v>
      </c>
      <c r="B458" t="s">
        <v>18</v>
      </c>
      <c r="C458">
        <v>45841</v>
      </c>
      <c r="D458">
        <v>45848</v>
      </c>
      <c r="E458">
        <v>3</v>
      </c>
      <c r="F458">
        <v>1.5</v>
      </c>
      <c r="G458">
        <v>5</v>
      </c>
      <c r="H458">
        <v>1</v>
      </c>
      <c r="I458">
        <v>0.5</v>
      </c>
      <c r="J458" t="s">
        <v>44</v>
      </c>
      <c r="K458">
        <v>0</v>
      </c>
      <c r="L458" s="17">
        <f t="shared" ca="1" si="14"/>
        <v>46167</v>
      </c>
      <c r="M458" s="6" t="str">
        <f t="shared" ca="1" si="15"/>
        <v>25/05/yyyy a 31/05/yyyy</v>
      </c>
    </row>
    <row r="459" spans="1:13" x14ac:dyDescent="0.3">
      <c r="A459" t="s">
        <v>17</v>
      </c>
      <c r="B459" t="s">
        <v>18</v>
      </c>
      <c r="C459">
        <v>45841</v>
      </c>
      <c r="D459">
        <v>45848</v>
      </c>
      <c r="E459">
        <v>3</v>
      </c>
      <c r="F459">
        <v>1.5</v>
      </c>
      <c r="G459">
        <v>5</v>
      </c>
      <c r="H459">
        <v>1</v>
      </c>
      <c r="I459">
        <v>0.5</v>
      </c>
      <c r="J459" t="s">
        <v>45</v>
      </c>
      <c r="K459">
        <v>2</v>
      </c>
      <c r="L459" s="17">
        <f t="shared" ca="1" si="14"/>
        <v>46174</v>
      </c>
      <c r="M459" s="6" t="str">
        <f t="shared" ca="1" si="15"/>
        <v>01/06/yyyy a 07/06/yyyy</v>
      </c>
    </row>
    <row r="460" spans="1:13" x14ac:dyDescent="0.3">
      <c r="A460" t="s">
        <v>17</v>
      </c>
      <c r="B460" t="s">
        <v>18</v>
      </c>
      <c r="C460">
        <v>45841</v>
      </c>
      <c r="D460">
        <v>45848</v>
      </c>
      <c r="E460">
        <v>3</v>
      </c>
      <c r="F460">
        <v>1.5</v>
      </c>
      <c r="G460">
        <v>5</v>
      </c>
      <c r="H460">
        <v>1</v>
      </c>
      <c r="I460">
        <v>0.5</v>
      </c>
      <c r="J460" t="s">
        <v>46</v>
      </c>
      <c r="K460">
        <v>0</v>
      </c>
      <c r="L460" s="17">
        <f t="shared" ca="1" si="14"/>
        <v>46181</v>
      </c>
      <c r="M460" s="6" t="str">
        <f t="shared" ca="1" si="15"/>
        <v>08/06/yyyy a 14/06/yyyy</v>
      </c>
    </row>
    <row r="461" spans="1:13" x14ac:dyDescent="0.3">
      <c r="A461" t="s">
        <v>17</v>
      </c>
      <c r="B461" t="s">
        <v>18</v>
      </c>
      <c r="C461">
        <v>45841</v>
      </c>
      <c r="D461">
        <v>45848</v>
      </c>
      <c r="E461">
        <v>3</v>
      </c>
      <c r="F461">
        <v>1.5</v>
      </c>
      <c r="G461">
        <v>5</v>
      </c>
      <c r="H461">
        <v>1</v>
      </c>
      <c r="I461">
        <v>0.5</v>
      </c>
      <c r="J461" t="s">
        <v>47</v>
      </c>
      <c r="K461">
        <v>0</v>
      </c>
      <c r="L461" s="17">
        <f t="shared" ca="1" si="14"/>
        <v>46188</v>
      </c>
      <c r="M461" s="6" t="str">
        <f t="shared" ca="1" si="15"/>
        <v>15/06/yyyy a 21/06/yyyy</v>
      </c>
    </row>
    <row r="462" spans="1:13" x14ac:dyDescent="0.3">
      <c r="A462" t="s">
        <v>17</v>
      </c>
      <c r="B462" t="s">
        <v>18</v>
      </c>
      <c r="C462">
        <v>45841</v>
      </c>
      <c r="D462">
        <v>45848</v>
      </c>
      <c r="E462">
        <v>3</v>
      </c>
      <c r="F462">
        <v>1.5</v>
      </c>
      <c r="G462">
        <v>5</v>
      </c>
      <c r="H462">
        <v>1</v>
      </c>
      <c r="I462">
        <v>0.5</v>
      </c>
      <c r="J462" t="s">
        <v>48</v>
      </c>
      <c r="K462">
        <v>0</v>
      </c>
      <c r="L462" s="17">
        <f t="shared" ca="1" si="14"/>
        <v>46195</v>
      </c>
      <c r="M462" s="6" t="str">
        <f t="shared" ca="1" si="15"/>
        <v>22/06/yyyy a 28/06/yyyy</v>
      </c>
    </row>
    <row r="463" spans="1:13" x14ac:dyDescent="0.3">
      <c r="A463" t="s">
        <v>17</v>
      </c>
      <c r="B463" t="s">
        <v>18</v>
      </c>
      <c r="C463">
        <v>45841</v>
      </c>
      <c r="D463">
        <v>45848</v>
      </c>
      <c r="E463">
        <v>3</v>
      </c>
      <c r="F463">
        <v>1.5</v>
      </c>
      <c r="G463">
        <v>5</v>
      </c>
      <c r="H463">
        <v>1</v>
      </c>
      <c r="I463">
        <v>0.5</v>
      </c>
      <c r="J463" t="s">
        <v>49</v>
      </c>
      <c r="K463">
        <v>0</v>
      </c>
      <c r="L463" s="17">
        <f t="shared" ca="1" si="14"/>
        <v>46202</v>
      </c>
      <c r="M463" s="6" t="str">
        <f t="shared" ca="1" si="15"/>
        <v>29/06/yyyy a 05/07/yyyy</v>
      </c>
    </row>
    <row r="464" spans="1:13" x14ac:dyDescent="0.3">
      <c r="A464" t="s">
        <v>17</v>
      </c>
      <c r="B464" t="s">
        <v>18</v>
      </c>
      <c r="C464">
        <v>45841</v>
      </c>
      <c r="D464">
        <v>45848</v>
      </c>
      <c r="E464">
        <v>3</v>
      </c>
      <c r="F464">
        <v>1.5</v>
      </c>
      <c r="G464">
        <v>5</v>
      </c>
      <c r="H464">
        <v>1</v>
      </c>
      <c r="I464">
        <v>0.5</v>
      </c>
      <c r="J464" t="s">
        <v>50</v>
      </c>
      <c r="K464">
        <v>0</v>
      </c>
      <c r="L464" s="17">
        <f t="shared" ca="1" si="14"/>
        <v>46209</v>
      </c>
      <c r="M464" s="6" t="str">
        <f t="shared" ca="1" si="15"/>
        <v>06/07/yyyy a 12/07/yyyy</v>
      </c>
    </row>
    <row r="465" spans="1:13" x14ac:dyDescent="0.3">
      <c r="A465" t="s">
        <v>17</v>
      </c>
      <c r="B465" t="s">
        <v>18</v>
      </c>
      <c r="C465">
        <v>45841</v>
      </c>
      <c r="D465">
        <v>45848</v>
      </c>
      <c r="E465">
        <v>3</v>
      </c>
      <c r="F465">
        <v>1.5</v>
      </c>
      <c r="G465">
        <v>5</v>
      </c>
      <c r="H465">
        <v>1</v>
      </c>
      <c r="I465">
        <v>0.5</v>
      </c>
      <c r="J465" t="s">
        <v>51</v>
      </c>
      <c r="K465">
        <v>0</v>
      </c>
      <c r="L465" s="17">
        <f t="shared" ca="1" si="14"/>
        <v>46216</v>
      </c>
      <c r="M465" s="6" t="str">
        <f t="shared" ca="1" si="15"/>
        <v>13/07/yyyy a 19/07/yyyy</v>
      </c>
    </row>
    <row r="466" spans="1:13" x14ac:dyDescent="0.3">
      <c r="A466" t="s">
        <v>17</v>
      </c>
      <c r="B466" t="s">
        <v>18</v>
      </c>
      <c r="C466">
        <v>45841</v>
      </c>
      <c r="D466">
        <v>45848</v>
      </c>
      <c r="E466">
        <v>3</v>
      </c>
      <c r="F466">
        <v>1.5</v>
      </c>
      <c r="G466">
        <v>5</v>
      </c>
      <c r="H466">
        <v>1</v>
      </c>
      <c r="I466">
        <v>0.5</v>
      </c>
      <c r="J466" t="s">
        <v>52</v>
      </c>
      <c r="K466">
        <v>0</v>
      </c>
      <c r="L466" s="17">
        <f t="shared" ca="1" si="14"/>
        <v>46223</v>
      </c>
      <c r="M466" s="6" t="str">
        <f t="shared" ca="1" si="15"/>
        <v>20/07/yyyy a 26/07/yyyy</v>
      </c>
    </row>
    <row r="467" spans="1:13" x14ac:dyDescent="0.3">
      <c r="A467" t="s">
        <v>17</v>
      </c>
      <c r="B467" t="s">
        <v>18</v>
      </c>
      <c r="C467">
        <v>45841</v>
      </c>
      <c r="D467">
        <v>45848</v>
      </c>
      <c r="E467">
        <v>3</v>
      </c>
      <c r="F467">
        <v>1.5</v>
      </c>
      <c r="G467">
        <v>5</v>
      </c>
      <c r="H467">
        <v>1</v>
      </c>
      <c r="I467">
        <v>0.5</v>
      </c>
      <c r="J467" t="s">
        <v>53</v>
      </c>
      <c r="K467">
        <v>0</v>
      </c>
      <c r="L467" s="17">
        <f t="shared" ca="1" si="14"/>
        <v>46167</v>
      </c>
      <c r="M467" s="6" t="str">
        <f t="shared" ca="1" si="15"/>
        <v>25/05/yyyy a 31/05/yyyy</v>
      </c>
    </row>
    <row r="468" spans="1:13" x14ac:dyDescent="0.3">
      <c r="A468" t="s">
        <v>17</v>
      </c>
      <c r="B468" t="s">
        <v>18</v>
      </c>
      <c r="C468">
        <v>45841</v>
      </c>
      <c r="D468">
        <v>45848</v>
      </c>
      <c r="E468">
        <v>3</v>
      </c>
      <c r="F468">
        <v>1.5</v>
      </c>
      <c r="G468">
        <v>5</v>
      </c>
      <c r="H468">
        <v>1</v>
      </c>
      <c r="I468">
        <v>0.5</v>
      </c>
      <c r="J468" t="s">
        <v>54</v>
      </c>
      <c r="K468">
        <v>0</v>
      </c>
      <c r="L468" s="17">
        <f t="shared" ca="1" si="14"/>
        <v>46167</v>
      </c>
      <c r="M468" s="6" t="str">
        <f t="shared" ca="1" si="15"/>
        <v>25/05/yyyy a 31/05/yyyy</v>
      </c>
    </row>
    <row r="469" spans="1:13" x14ac:dyDescent="0.3">
      <c r="A469" t="s">
        <v>17</v>
      </c>
      <c r="B469" t="s">
        <v>18</v>
      </c>
      <c r="C469">
        <v>45841</v>
      </c>
      <c r="D469">
        <v>45848</v>
      </c>
      <c r="E469">
        <v>3</v>
      </c>
      <c r="F469">
        <v>1.5</v>
      </c>
      <c r="G469">
        <v>5</v>
      </c>
      <c r="H469">
        <v>1</v>
      </c>
      <c r="I469">
        <v>0.5</v>
      </c>
      <c r="J469" t="s">
        <v>55</v>
      </c>
      <c r="K469">
        <v>0</v>
      </c>
      <c r="L469" s="17">
        <f t="shared" ca="1" si="14"/>
        <v>46167</v>
      </c>
      <c r="M469" s="6" t="str">
        <f t="shared" ca="1" si="15"/>
        <v>25/05/yyyy a 31/05/yyyy</v>
      </c>
    </row>
    <row r="470" spans="1:13" x14ac:dyDescent="0.3">
      <c r="A470" t="s">
        <v>17</v>
      </c>
      <c r="B470" t="s">
        <v>30</v>
      </c>
      <c r="C470">
        <v>45841</v>
      </c>
      <c r="D470">
        <v>45847</v>
      </c>
      <c r="E470">
        <v>3</v>
      </c>
      <c r="F470">
        <v>1.2000000000000002</v>
      </c>
      <c r="G470">
        <v>4</v>
      </c>
      <c r="H470">
        <v>0.8</v>
      </c>
      <c r="I470">
        <v>0.6</v>
      </c>
      <c r="J470" t="s">
        <v>44</v>
      </c>
      <c r="K470">
        <v>2.2204460492503131E-16</v>
      </c>
      <c r="L470" s="17">
        <f t="shared" ca="1" si="14"/>
        <v>46167</v>
      </c>
      <c r="M470" s="6" t="str">
        <f t="shared" ca="1" si="15"/>
        <v>25/05/yyyy a 31/05/yyyy</v>
      </c>
    </row>
    <row r="471" spans="1:13" x14ac:dyDescent="0.3">
      <c r="A471" t="s">
        <v>17</v>
      </c>
      <c r="B471" t="s">
        <v>30</v>
      </c>
      <c r="C471">
        <v>45841</v>
      </c>
      <c r="D471">
        <v>45847</v>
      </c>
      <c r="E471">
        <v>3</v>
      </c>
      <c r="F471">
        <v>1.2000000000000002</v>
      </c>
      <c r="G471">
        <v>4</v>
      </c>
      <c r="H471">
        <v>0.8</v>
      </c>
      <c r="I471">
        <v>0.6</v>
      </c>
      <c r="J471" t="s">
        <v>45</v>
      </c>
      <c r="K471">
        <v>1.8</v>
      </c>
      <c r="L471" s="17">
        <f t="shared" ca="1" si="14"/>
        <v>46174</v>
      </c>
      <c r="M471" s="6" t="str">
        <f t="shared" ca="1" si="15"/>
        <v>01/06/yyyy a 07/06/yyyy</v>
      </c>
    </row>
    <row r="472" spans="1:13" x14ac:dyDescent="0.3">
      <c r="A472" t="s">
        <v>17</v>
      </c>
      <c r="B472" t="s">
        <v>30</v>
      </c>
      <c r="C472">
        <v>45841</v>
      </c>
      <c r="D472">
        <v>45847</v>
      </c>
      <c r="E472">
        <v>3</v>
      </c>
      <c r="F472">
        <v>1.2000000000000002</v>
      </c>
      <c r="G472">
        <v>4</v>
      </c>
      <c r="H472">
        <v>0.8</v>
      </c>
      <c r="I472">
        <v>0.6</v>
      </c>
      <c r="J472" t="s">
        <v>46</v>
      </c>
      <c r="K472">
        <v>0</v>
      </c>
      <c r="L472" s="17">
        <f t="shared" ca="1" si="14"/>
        <v>46181</v>
      </c>
      <c r="M472" s="6" t="str">
        <f t="shared" ca="1" si="15"/>
        <v>08/06/yyyy a 14/06/yyyy</v>
      </c>
    </row>
    <row r="473" spans="1:13" x14ac:dyDescent="0.3">
      <c r="A473" t="s">
        <v>17</v>
      </c>
      <c r="B473" t="s">
        <v>30</v>
      </c>
      <c r="C473">
        <v>45841</v>
      </c>
      <c r="D473">
        <v>45847</v>
      </c>
      <c r="E473">
        <v>3</v>
      </c>
      <c r="F473">
        <v>1.2000000000000002</v>
      </c>
      <c r="G473">
        <v>4</v>
      </c>
      <c r="H473">
        <v>0.8</v>
      </c>
      <c r="I473">
        <v>0.6</v>
      </c>
      <c r="J473" t="s">
        <v>47</v>
      </c>
      <c r="K473">
        <v>0</v>
      </c>
      <c r="L473" s="17">
        <f t="shared" ca="1" si="14"/>
        <v>46188</v>
      </c>
      <c r="M473" s="6" t="str">
        <f t="shared" ca="1" si="15"/>
        <v>15/06/yyyy a 21/06/yyyy</v>
      </c>
    </row>
    <row r="474" spans="1:13" x14ac:dyDescent="0.3">
      <c r="A474" t="s">
        <v>17</v>
      </c>
      <c r="B474" t="s">
        <v>30</v>
      </c>
      <c r="C474">
        <v>45841</v>
      </c>
      <c r="D474">
        <v>45847</v>
      </c>
      <c r="E474">
        <v>3</v>
      </c>
      <c r="F474">
        <v>1.2000000000000002</v>
      </c>
      <c r="G474">
        <v>4</v>
      </c>
      <c r="H474">
        <v>0.8</v>
      </c>
      <c r="I474">
        <v>0.6</v>
      </c>
      <c r="J474" t="s">
        <v>48</v>
      </c>
      <c r="K474">
        <v>0</v>
      </c>
      <c r="L474" s="17">
        <f t="shared" ca="1" si="14"/>
        <v>46195</v>
      </c>
      <c r="M474" s="6" t="str">
        <f t="shared" ca="1" si="15"/>
        <v>22/06/yyyy a 28/06/yyyy</v>
      </c>
    </row>
    <row r="475" spans="1:13" x14ac:dyDescent="0.3">
      <c r="A475" t="s">
        <v>17</v>
      </c>
      <c r="B475" t="s">
        <v>30</v>
      </c>
      <c r="C475">
        <v>45841</v>
      </c>
      <c r="D475">
        <v>45847</v>
      </c>
      <c r="E475">
        <v>3</v>
      </c>
      <c r="F475">
        <v>1.2000000000000002</v>
      </c>
      <c r="G475">
        <v>4</v>
      </c>
      <c r="H475">
        <v>0.8</v>
      </c>
      <c r="I475">
        <v>0.6</v>
      </c>
      <c r="J475" t="s">
        <v>49</v>
      </c>
      <c r="K475">
        <v>0</v>
      </c>
      <c r="L475" s="17">
        <f t="shared" ca="1" si="14"/>
        <v>46202</v>
      </c>
      <c r="M475" s="6" t="str">
        <f t="shared" ca="1" si="15"/>
        <v>29/06/yyyy a 05/07/yyyy</v>
      </c>
    </row>
    <row r="476" spans="1:13" x14ac:dyDescent="0.3">
      <c r="A476" t="s">
        <v>17</v>
      </c>
      <c r="B476" t="s">
        <v>30</v>
      </c>
      <c r="C476">
        <v>45841</v>
      </c>
      <c r="D476">
        <v>45847</v>
      </c>
      <c r="E476">
        <v>3</v>
      </c>
      <c r="F476">
        <v>1.2000000000000002</v>
      </c>
      <c r="G476">
        <v>4</v>
      </c>
      <c r="H476">
        <v>0.8</v>
      </c>
      <c r="I476">
        <v>0.6</v>
      </c>
      <c r="J476" t="s">
        <v>50</v>
      </c>
      <c r="K476">
        <v>0</v>
      </c>
      <c r="L476" s="17">
        <f t="shared" ca="1" si="14"/>
        <v>46209</v>
      </c>
      <c r="M476" s="6" t="str">
        <f t="shared" ca="1" si="15"/>
        <v>06/07/yyyy a 12/07/yyyy</v>
      </c>
    </row>
    <row r="477" spans="1:13" x14ac:dyDescent="0.3">
      <c r="A477" t="s">
        <v>17</v>
      </c>
      <c r="B477" t="s">
        <v>30</v>
      </c>
      <c r="C477">
        <v>45841</v>
      </c>
      <c r="D477">
        <v>45847</v>
      </c>
      <c r="E477">
        <v>3</v>
      </c>
      <c r="F477">
        <v>1.2000000000000002</v>
      </c>
      <c r="G477">
        <v>4</v>
      </c>
      <c r="H477">
        <v>0.8</v>
      </c>
      <c r="I477">
        <v>0.6</v>
      </c>
      <c r="J477" t="s">
        <v>51</v>
      </c>
      <c r="K477">
        <v>0</v>
      </c>
      <c r="L477" s="17">
        <f t="shared" ca="1" si="14"/>
        <v>46216</v>
      </c>
      <c r="M477" s="6" t="str">
        <f t="shared" ca="1" si="15"/>
        <v>13/07/yyyy a 19/07/yyyy</v>
      </c>
    </row>
    <row r="478" spans="1:13" x14ac:dyDescent="0.3">
      <c r="A478" t="s">
        <v>17</v>
      </c>
      <c r="B478" t="s">
        <v>30</v>
      </c>
      <c r="C478">
        <v>45841</v>
      </c>
      <c r="D478">
        <v>45847</v>
      </c>
      <c r="E478">
        <v>3</v>
      </c>
      <c r="F478">
        <v>1.2000000000000002</v>
      </c>
      <c r="G478">
        <v>4</v>
      </c>
      <c r="H478">
        <v>0.8</v>
      </c>
      <c r="I478">
        <v>0.6</v>
      </c>
      <c r="J478" t="s">
        <v>52</v>
      </c>
      <c r="K478">
        <v>0</v>
      </c>
      <c r="L478" s="17">
        <f t="shared" ca="1" si="14"/>
        <v>46223</v>
      </c>
      <c r="M478" s="6" t="str">
        <f t="shared" ca="1" si="15"/>
        <v>20/07/yyyy a 26/07/yyyy</v>
      </c>
    </row>
    <row r="479" spans="1:13" x14ac:dyDescent="0.3">
      <c r="A479" t="s">
        <v>17</v>
      </c>
      <c r="B479" t="s">
        <v>30</v>
      </c>
      <c r="C479">
        <v>45841</v>
      </c>
      <c r="D479">
        <v>45847</v>
      </c>
      <c r="E479">
        <v>3</v>
      </c>
      <c r="F479">
        <v>1.2000000000000002</v>
      </c>
      <c r="G479">
        <v>4</v>
      </c>
      <c r="H479">
        <v>0.8</v>
      </c>
      <c r="I479">
        <v>0.6</v>
      </c>
      <c r="J479" t="s">
        <v>53</v>
      </c>
      <c r="K479">
        <v>0</v>
      </c>
      <c r="L479" s="17">
        <f t="shared" ca="1" si="14"/>
        <v>46167</v>
      </c>
      <c r="M479" s="6" t="str">
        <f t="shared" ca="1" si="15"/>
        <v>25/05/yyyy a 31/05/yyyy</v>
      </c>
    </row>
    <row r="480" spans="1:13" x14ac:dyDescent="0.3">
      <c r="A480" t="s">
        <v>17</v>
      </c>
      <c r="B480" t="s">
        <v>30</v>
      </c>
      <c r="C480">
        <v>45841</v>
      </c>
      <c r="D480">
        <v>45847</v>
      </c>
      <c r="E480">
        <v>3</v>
      </c>
      <c r="F480">
        <v>1.2000000000000002</v>
      </c>
      <c r="G480">
        <v>4</v>
      </c>
      <c r="H480">
        <v>0.8</v>
      </c>
      <c r="I480">
        <v>0.6</v>
      </c>
      <c r="J480" t="s">
        <v>54</v>
      </c>
      <c r="K480">
        <v>0</v>
      </c>
      <c r="L480" s="17">
        <f t="shared" ca="1" si="14"/>
        <v>46167</v>
      </c>
      <c r="M480" s="6" t="str">
        <f t="shared" ca="1" si="15"/>
        <v>25/05/yyyy a 31/05/yyyy</v>
      </c>
    </row>
    <row r="481" spans="1:13" x14ac:dyDescent="0.3">
      <c r="A481" t="s">
        <v>17</v>
      </c>
      <c r="B481" t="s">
        <v>30</v>
      </c>
      <c r="C481">
        <v>45841</v>
      </c>
      <c r="D481">
        <v>45847</v>
      </c>
      <c r="E481">
        <v>3</v>
      </c>
      <c r="F481">
        <v>1.2000000000000002</v>
      </c>
      <c r="G481">
        <v>4</v>
      </c>
      <c r="H481">
        <v>0.8</v>
      </c>
      <c r="I481">
        <v>0.6</v>
      </c>
      <c r="J481" t="s">
        <v>55</v>
      </c>
      <c r="K481">
        <v>0</v>
      </c>
      <c r="L481" s="17">
        <f t="shared" ca="1" si="14"/>
        <v>46167</v>
      </c>
      <c r="M481" s="6" t="str">
        <f t="shared" ca="1" si="15"/>
        <v>25/05/yyyy a 31/05/yyyy</v>
      </c>
    </row>
    <row r="482" spans="1:13" x14ac:dyDescent="0.3">
      <c r="A482" t="s">
        <v>17</v>
      </c>
      <c r="B482" t="s">
        <v>25</v>
      </c>
      <c r="C482">
        <v>45841</v>
      </c>
      <c r="D482">
        <v>45852</v>
      </c>
      <c r="E482">
        <v>10</v>
      </c>
      <c r="F482">
        <v>6.25</v>
      </c>
      <c r="G482">
        <v>7</v>
      </c>
      <c r="H482">
        <v>1.4</v>
      </c>
      <c r="I482">
        <v>1.25</v>
      </c>
      <c r="J482" t="s">
        <v>44</v>
      </c>
      <c r="K482">
        <v>0</v>
      </c>
      <c r="L482" s="17">
        <f t="shared" ca="1" si="14"/>
        <v>46167</v>
      </c>
      <c r="M482" s="6" t="str">
        <f t="shared" ca="1" si="15"/>
        <v>25/05/yyyy a 31/05/yyyy</v>
      </c>
    </row>
    <row r="483" spans="1:13" x14ac:dyDescent="0.3">
      <c r="A483" t="s">
        <v>17</v>
      </c>
      <c r="B483" t="s">
        <v>25</v>
      </c>
      <c r="C483">
        <v>45841</v>
      </c>
      <c r="D483">
        <v>45852</v>
      </c>
      <c r="E483">
        <v>10</v>
      </c>
      <c r="F483">
        <v>6.25</v>
      </c>
      <c r="G483">
        <v>7</v>
      </c>
      <c r="H483">
        <v>1.4</v>
      </c>
      <c r="I483">
        <v>1.25</v>
      </c>
      <c r="J483" t="s">
        <v>45</v>
      </c>
      <c r="K483">
        <v>6.25</v>
      </c>
      <c r="L483" s="17">
        <f t="shared" ca="1" si="14"/>
        <v>46174</v>
      </c>
      <c r="M483" s="6" t="str">
        <f t="shared" ca="1" si="15"/>
        <v>01/06/yyyy a 07/06/yyyy</v>
      </c>
    </row>
    <row r="484" spans="1:13" x14ac:dyDescent="0.3">
      <c r="A484" t="s">
        <v>17</v>
      </c>
      <c r="B484" t="s">
        <v>25</v>
      </c>
      <c r="C484">
        <v>45841</v>
      </c>
      <c r="D484">
        <v>45852</v>
      </c>
      <c r="E484">
        <v>10</v>
      </c>
      <c r="F484">
        <v>6.25</v>
      </c>
      <c r="G484">
        <v>7</v>
      </c>
      <c r="H484">
        <v>1.4</v>
      </c>
      <c r="I484">
        <v>1.25</v>
      </c>
      <c r="J484" t="s">
        <v>46</v>
      </c>
      <c r="K484">
        <v>1.25</v>
      </c>
      <c r="L484" s="17">
        <f t="shared" ca="1" si="14"/>
        <v>46181</v>
      </c>
      <c r="M484" s="6" t="str">
        <f t="shared" ca="1" si="15"/>
        <v>08/06/yyyy a 14/06/yyyy</v>
      </c>
    </row>
    <row r="485" spans="1:13" x14ac:dyDescent="0.3">
      <c r="A485" t="s">
        <v>17</v>
      </c>
      <c r="B485" t="s">
        <v>25</v>
      </c>
      <c r="C485">
        <v>45841</v>
      </c>
      <c r="D485">
        <v>45852</v>
      </c>
      <c r="E485">
        <v>10</v>
      </c>
      <c r="F485">
        <v>6.25</v>
      </c>
      <c r="G485">
        <v>7</v>
      </c>
      <c r="H485">
        <v>1.4</v>
      </c>
      <c r="I485">
        <v>1.25</v>
      </c>
      <c r="J485" t="s">
        <v>47</v>
      </c>
      <c r="K485">
        <v>0</v>
      </c>
      <c r="L485" s="17">
        <f t="shared" ca="1" si="14"/>
        <v>46188</v>
      </c>
      <c r="M485" s="6" t="str">
        <f t="shared" ca="1" si="15"/>
        <v>15/06/yyyy a 21/06/yyyy</v>
      </c>
    </row>
    <row r="486" spans="1:13" x14ac:dyDescent="0.3">
      <c r="A486" t="s">
        <v>17</v>
      </c>
      <c r="B486" t="s">
        <v>25</v>
      </c>
      <c r="C486">
        <v>45841</v>
      </c>
      <c r="D486">
        <v>45852</v>
      </c>
      <c r="E486">
        <v>10</v>
      </c>
      <c r="F486">
        <v>6.25</v>
      </c>
      <c r="G486">
        <v>7</v>
      </c>
      <c r="H486">
        <v>1.4</v>
      </c>
      <c r="I486">
        <v>1.25</v>
      </c>
      <c r="J486" t="s">
        <v>48</v>
      </c>
      <c r="K486">
        <v>0</v>
      </c>
      <c r="L486" s="17">
        <f t="shared" ca="1" si="14"/>
        <v>46195</v>
      </c>
      <c r="M486" s="6" t="str">
        <f t="shared" ca="1" si="15"/>
        <v>22/06/yyyy a 28/06/yyyy</v>
      </c>
    </row>
    <row r="487" spans="1:13" x14ac:dyDescent="0.3">
      <c r="A487" t="s">
        <v>17</v>
      </c>
      <c r="B487" t="s">
        <v>25</v>
      </c>
      <c r="C487">
        <v>45841</v>
      </c>
      <c r="D487">
        <v>45852</v>
      </c>
      <c r="E487">
        <v>10</v>
      </c>
      <c r="F487">
        <v>6.25</v>
      </c>
      <c r="G487">
        <v>7</v>
      </c>
      <c r="H487">
        <v>1.4</v>
      </c>
      <c r="I487">
        <v>1.25</v>
      </c>
      <c r="J487" t="s">
        <v>49</v>
      </c>
      <c r="K487">
        <v>0</v>
      </c>
      <c r="L487" s="17">
        <f t="shared" ca="1" si="14"/>
        <v>46202</v>
      </c>
      <c r="M487" s="6" t="str">
        <f t="shared" ca="1" si="15"/>
        <v>29/06/yyyy a 05/07/yyyy</v>
      </c>
    </row>
    <row r="488" spans="1:13" x14ac:dyDescent="0.3">
      <c r="A488" t="s">
        <v>17</v>
      </c>
      <c r="B488" t="s">
        <v>25</v>
      </c>
      <c r="C488">
        <v>45841</v>
      </c>
      <c r="D488">
        <v>45852</v>
      </c>
      <c r="E488">
        <v>10</v>
      </c>
      <c r="F488">
        <v>6.25</v>
      </c>
      <c r="G488">
        <v>7</v>
      </c>
      <c r="H488">
        <v>1.4</v>
      </c>
      <c r="I488">
        <v>1.25</v>
      </c>
      <c r="J488" t="s">
        <v>50</v>
      </c>
      <c r="K488">
        <v>0</v>
      </c>
      <c r="L488" s="17">
        <f t="shared" ca="1" si="14"/>
        <v>46209</v>
      </c>
      <c r="M488" s="6" t="str">
        <f t="shared" ca="1" si="15"/>
        <v>06/07/yyyy a 12/07/yyyy</v>
      </c>
    </row>
    <row r="489" spans="1:13" x14ac:dyDescent="0.3">
      <c r="A489" t="s">
        <v>17</v>
      </c>
      <c r="B489" t="s">
        <v>25</v>
      </c>
      <c r="C489">
        <v>45841</v>
      </c>
      <c r="D489">
        <v>45852</v>
      </c>
      <c r="E489">
        <v>10</v>
      </c>
      <c r="F489">
        <v>6.25</v>
      </c>
      <c r="G489">
        <v>7</v>
      </c>
      <c r="H489">
        <v>1.4</v>
      </c>
      <c r="I489">
        <v>1.25</v>
      </c>
      <c r="J489" t="s">
        <v>51</v>
      </c>
      <c r="K489">
        <v>0</v>
      </c>
      <c r="L489" s="17">
        <f t="shared" ca="1" si="14"/>
        <v>46216</v>
      </c>
      <c r="M489" s="6" t="str">
        <f t="shared" ca="1" si="15"/>
        <v>13/07/yyyy a 19/07/yyyy</v>
      </c>
    </row>
    <row r="490" spans="1:13" x14ac:dyDescent="0.3">
      <c r="A490" t="s">
        <v>17</v>
      </c>
      <c r="B490" t="s">
        <v>25</v>
      </c>
      <c r="C490">
        <v>45841</v>
      </c>
      <c r="D490">
        <v>45852</v>
      </c>
      <c r="E490">
        <v>10</v>
      </c>
      <c r="F490">
        <v>6.25</v>
      </c>
      <c r="G490">
        <v>7</v>
      </c>
      <c r="H490">
        <v>1.4</v>
      </c>
      <c r="I490">
        <v>1.25</v>
      </c>
      <c r="J490" t="s">
        <v>52</v>
      </c>
      <c r="K490">
        <v>0</v>
      </c>
      <c r="L490" s="17">
        <f t="shared" ca="1" si="14"/>
        <v>46223</v>
      </c>
      <c r="M490" s="6" t="str">
        <f t="shared" ca="1" si="15"/>
        <v>20/07/yyyy a 26/07/yyyy</v>
      </c>
    </row>
    <row r="491" spans="1:13" x14ac:dyDescent="0.3">
      <c r="A491" t="s">
        <v>17</v>
      </c>
      <c r="B491" t="s">
        <v>25</v>
      </c>
      <c r="C491">
        <v>45841</v>
      </c>
      <c r="D491">
        <v>45852</v>
      </c>
      <c r="E491">
        <v>10</v>
      </c>
      <c r="F491">
        <v>6.25</v>
      </c>
      <c r="G491">
        <v>7</v>
      </c>
      <c r="H491">
        <v>1.4</v>
      </c>
      <c r="I491">
        <v>1.25</v>
      </c>
      <c r="J491" t="s">
        <v>53</v>
      </c>
      <c r="K491">
        <v>0</v>
      </c>
      <c r="L491" s="17">
        <f t="shared" ca="1" si="14"/>
        <v>46167</v>
      </c>
      <c r="M491" s="6" t="str">
        <f t="shared" ca="1" si="15"/>
        <v>25/05/yyyy a 31/05/yyyy</v>
      </c>
    </row>
    <row r="492" spans="1:13" x14ac:dyDescent="0.3">
      <c r="A492" t="s">
        <v>17</v>
      </c>
      <c r="B492" t="s">
        <v>25</v>
      </c>
      <c r="C492">
        <v>45841</v>
      </c>
      <c r="D492">
        <v>45852</v>
      </c>
      <c r="E492">
        <v>10</v>
      </c>
      <c r="F492">
        <v>6.25</v>
      </c>
      <c r="G492">
        <v>7</v>
      </c>
      <c r="H492">
        <v>1.4</v>
      </c>
      <c r="I492">
        <v>1.25</v>
      </c>
      <c r="J492" t="s">
        <v>54</v>
      </c>
      <c r="K492">
        <v>0</v>
      </c>
      <c r="L492" s="17">
        <f t="shared" ca="1" si="14"/>
        <v>46167</v>
      </c>
      <c r="M492" s="6" t="str">
        <f t="shared" ca="1" si="15"/>
        <v>25/05/yyyy a 31/05/yyyy</v>
      </c>
    </row>
    <row r="493" spans="1:13" x14ac:dyDescent="0.3">
      <c r="A493" t="s">
        <v>17</v>
      </c>
      <c r="B493" t="s">
        <v>25</v>
      </c>
      <c r="C493">
        <v>45841</v>
      </c>
      <c r="D493">
        <v>45852</v>
      </c>
      <c r="E493">
        <v>10</v>
      </c>
      <c r="F493">
        <v>6.25</v>
      </c>
      <c r="G493">
        <v>7</v>
      </c>
      <c r="H493">
        <v>1.4</v>
      </c>
      <c r="I493">
        <v>1.25</v>
      </c>
      <c r="J493" t="s">
        <v>55</v>
      </c>
      <c r="K493">
        <v>0</v>
      </c>
      <c r="L493" s="17">
        <f t="shared" ca="1" si="14"/>
        <v>46167</v>
      </c>
      <c r="M493" s="6" t="str">
        <f t="shared" ca="1" si="15"/>
        <v>25/05/yyyy a 31/05/yyyy</v>
      </c>
    </row>
    <row r="494" spans="1:13" x14ac:dyDescent="0.3">
      <c r="A494" t="s">
        <v>17</v>
      </c>
      <c r="B494" t="s">
        <v>18</v>
      </c>
      <c r="C494">
        <v>45855</v>
      </c>
      <c r="D494">
        <v>45862</v>
      </c>
      <c r="E494">
        <v>3</v>
      </c>
      <c r="F494">
        <v>3</v>
      </c>
      <c r="G494">
        <v>15</v>
      </c>
      <c r="H494">
        <v>3</v>
      </c>
      <c r="I494">
        <v>0.5</v>
      </c>
      <c r="J494" t="s">
        <v>44</v>
      </c>
      <c r="K494">
        <v>0</v>
      </c>
      <c r="L494" s="17">
        <f t="shared" ca="1" si="14"/>
        <v>46167</v>
      </c>
      <c r="M494" s="6" t="str">
        <f t="shared" ca="1" si="15"/>
        <v>25/05/yyyy a 31/05/yyyy</v>
      </c>
    </row>
    <row r="495" spans="1:13" x14ac:dyDescent="0.3">
      <c r="A495" t="s">
        <v>17</v>
      </c>
      <c r="B495" t="s">
        <v>18</v>
      </c>
      <c r="C495">
        <v>45855</v>
      </c>
      <c r="D495">
        <v>45862</v>
      </c>
      <c r="E495">
        <v>3</v>
      </c>
      <c r="F495">
        <v>3</v>
      </c>
      <c r="G495">
        <v>15</v>
      </c>
      <c r="H495">
        <v>3</v>
      </c>
      <c r="I495">
        <v>0.5</v>
      </c>
      <c r="J495" t="s">
        <v>45</v>
      </c>
      <c r="K495">
        <v>0</v>
      </c>
      <c r="L495" s="17">
        <f t="shared" ca="1" si="14"/>
        <v>46174</v>
      </c>
      <c r="M495" s="6" t="str">
        <f t="shared" ca="1" si="15"/>
        <v>01/06/yyyy a 07/06/yyyy</v>
      </c>
    </row>
    <row r="496" spans="1:13" x14ac:dyDescent="0.3">
      <c r="A496" t="s">
        <v>17</v>
      </c>
      <c r="B496" t="s">
        <v>18</v>
      </c>
      <c r="C496">
        <v>45855</v>
      </c>
      <c r="D496">
        <v>45862</v>
      </c>
      <c r="E496">
        <v>3</v>
      </c>
      <c r="F496">
        <v>3</v>
      </c>
      <c r="G496">
        <v>15</v>
      </c>
      <c r="H496">
        <v>3</v>
      </c>
      <c r="I496">
        <v>0.5</v>
      </c>
      <c r="J496" t="s">
        <v>46</v>
      </c>
      <c r="K496">
        <v>1</v>
      </c>
      <c r="L496" s="17">
        <f t="shared" ca="1" si="14"/>
        <v>46181</v>
      </c>
      <c r="M496" s="6" t="str">
        <f t="shared" ca="1" si="15"/>
        <v>08/06/yyyy a 14/06/yyyy</v>
      </c>
    </row>
    <row r="497" spans="1:13" x14ac:dyDescent="0.3">
      <c r="A497" t="s">
        <v>17</v>
      </c>
      <c r="B497" t="s">
        <v>18</v>
      </c>
      <c r="C497">
        <v>45855</v>
      </c>
      <c r="D497">
        <v>45862</v>
      </c>
      <c r="E497">
        <v>3</v>
      </c>
      <c r="F497">
        <v>3</v>
      </c>
      <c r="G497">
        <v>15</v>
      </c>
      <c r="H497">
        <v>3</v>
      </c>
      <c r="I497">
        <v>0.5</v>
      </c>
      <c r="J497" t="s">
        <v>47</v>
      </c>
      <c r="K497">
        <v>2</v>
      </c>
      <c r="L497" s="17">
        <f t="shared" ca="1" si="14"/>
        <v>46188</v>
      </c>
      <c r="M497" s="6" t="str">
        <f t="shared" ca="1" si="15"/>
        <v>15/06/yyyy a 21/06/yyyy</v>
      </c>
    </row>
    <row r="498" spans="1:13" x14ac:dyDescent="0.3">
      <c r="A498" t="s">
        <v>17</v>
      </c>
      <c r="B498" t="s">
        <v>18</v>
      </c>
      <c r="C498">
        <v>45855</v>
      </c>
      <c r="D498">
        <v>45862</v>
      </c>
      <c r="E498">
        <v>3</v>
      </c>
      <c r="F498">
        <v>3</v>
      </c>
      <c r="G498">
        <v>15</v>
      </c>
      <c r="H498">
        <v>3</v>
      </c>
      <c r="I498">
        <v>0.5</v>
      </c>
      <c r="J498" t="s">
        <v>48</v>
      </c>
      <c r="K498">
        <v>0</v>
      </c>
      <c r="L498" s="17">
        <f t="shared" ca="1" si="14"/>
        <v>46195</v>
      </c>
      <c r="M498" s="6" t="str">
        <f t="shared" ca="1" si="15"/>
        <v>22/06/yyyy a 28/06/yyyy</v>
      </c>
    </row>
    <row r="499" spans="1:13" x14ac:dyDescent="0.3">
      <c r="A499" t="s">
        <v>17</v>
      </c>
      <c r="B499" t="s">
        <v>18</v>
      </c>
      <c r="C499">
        <v>45855</v>
      </c>
      <c r="D499">
        <v>45862</v>
      </c>
      <c r="E499">
        <v>3</v>
      </c>
      <c r="F499">
        <v>3</v>
      </c>
      <c r="G499">
        <v>15</v>
      </c>
      <c r="H499">
        <v>3</v>
      </c>
      <c r="I499">
        <v>0.5</v>
      </c>
      <c r="J499" t="s">
        <v>49</v>
      </c>
      <c r="K499">
        <v>0</v>
      </c>
      <c r="L499" s="17">
        <f t="shared" ca="1" si="14"/>
        <v>46202</v>
      </c>
      <c r="M499" s="6" t="str">
        <f t="shared" ca="1" si="15"/>
        <v>29/06/yyyy a 05/07/yyyy</v>
      </c>
    </row>
    <row r="500" spans="1:13" x14ac:dyDescent="0.3">
      <c r="A500" t="s">
        <v>17</v>
      </c>
      <c r="B500" t="s">
        <v>18</v>
      </c>
      <c r="C500">
        <v>45855</v>
      </c>
      <c r="D500">
        <v>45862</v>
      </c>
      <c r="E500">
        <v>3</v>
      </c>
      <c r="F500">
        <v>3</v>
      </c>
      <c r="G500">
        <v>15</v>
      </c>
      <c r="H500">
        <v>3</v>
      </c>
      <c r="I500">
        <v>0.5</v>
      </c>
      <c r="J500" t="s">
        <v>50</v>
      </c>
      <c r="K500">
        <v>0</v>
      </c>
      <c r="L500" s="17">
        <f t="shared" ca="1" si="14"/>
        <v>46209</v>
      </c>
      <c r="M500" s="6" t="str">
        <f t="shared" ca="1" si="15"/>
        <v>06/07/yyyy a 12/07/yyyy</v>
      </c>
    </row>
    <row r="501" spans="1:13" x14ac:dyDescent="0.3">
      <c r="A501" t="s">
        <v>17</v>
      </c>
      <c r="B501" t="s">
        <v>18</v>
      </c>
      <c r="C501">
        <v>45855</v>
      </c>
      <c r="D501">
        <v>45862</v>
      </c>
      <c r="E501">
        <v>3</v>
      </c>
      <c r="F501">
        <v>3</v>
      </c>
      <c r="G501">
        <v>15</v>
      </c>
      <c r="H501">
        <v>3</v>
      </c>
      <c r="I501">
        <v>0.5</v>
      </c>
      <c r="J501" t="s">
        <v>51</v>
      </c>
      <c r="K501">
        <v>0</v>
      </c>
      <c r="L501" s="17">
        <f t="shared" ca="1" si="14"/>
        <v>46216</v>
      </c>
      <c r="M501" s="6" t="str">
        <f t="shared" ca="1" si="15"/>
        <v>13/07/yyyy a 19/07/yyyy</v>
      </c>
    </row>
    <row r="502" spans="1:13" x14ac:dyDescent="0.3">
      <c r="A502" t="s">
        <v>17</v>
      </c>
      <c r="B502" t="s">
        <v>18</v>
      </c>
      <c r="C502">
        <v>45855</v>
      </c>
      <c r="D502">
        <v>45862</v>
      </c>
      <c r="E502">
        <v>3</v>
      </c>
      <c r="F502">
        <v>3</v>
      </c>
      <c r="G502">
        <v>15</v>
      </c>
      <c r="H502">
        <v>3</v>
      </c>
      <c r="I502">
        <v>0.5</v>
      </c>
      <c r="J502" t="s">
        <v>52</v>
      </c>
      <c r="K502">
        <v>0</v>
      </c>
      <c r="L502" s="17">
        <f t="shared" ca="1" si="14"/>
        <v>46223</v>
      </c>
      <c r="M502" s="6" t="str">
        <f t="shared" ca="1" si="15"/>
        <v>20/07/yyyy a 26/07/yyyy</v>
      </c>
    </row>
    <row r="503" spans="1:13" x14ac:dyDescent="0.3">
      <c r="A503" t="s">
        <v>17</v>
      </c>
      <c r="B503" t="s">
        <v>18</v>
      </c>
      <c r="C503">
        <v>45855</v>
      </c>
      <c r="D503">
        <v>45862</v>
      </c>
      <c r="E503">
        <v>3</v>
      </c>
      <c r="F503">
        <v>3</v>
      </c>
      <c r="G503">
        <v>15</v>
      </c>
      <c r="H503">
        <v>3</v>
      </c>
      <c r="I503">
        <v>0.5</v>
      </c>
      <c r="J503" t="s">
        <v>53</v>
      </c>
      <c r="K503">
        <v>0</v>
      </c>
      <c r="L503" s="17">
        <f t="shared" ca="1" si="14"/>
        <v>46167</v>
      </c>
      <c r="M503" s="6" t="str">
        <f t="shared" ca="1" si="15"/>
        <v>25/05/yyyy a 31/05/yyyy</v>
      </c>
    </row>
    <row r="504" spans="1:13" x14ac:dyDescent="0.3">
      <c r="A504" t="s">
        <v>17</v>
      </c>
      <c r="B504" t="s">
        <v>18</v>
      </c>
      <c r="C504">
        <v>45855</v>
      </c>
      <c r="D504">
        <v>45862</v>
      </c>
      <c r="E504">
        <v>3</v>
      </c>
      <c r="F504">
        <v>3</v>
      </c>
      <c r="G504">
        <v>15</v>
      </c>
      <c r="H504">
        <v>3</v>
      </c>
      <c r="I504">
        <v>0.5</v>
      </c>
      <c r="J504" t="s">
        <v>54</v>
      </c>
      <c r="K504">
        <v>0</v>
      </c>
      <c r="L504" s="17">
        <f t="shared" ca="1" si="14"/>
        <v>46167</v>
      </c>
      <c r="M504" s="6" t="str">
        <f t="shared" ca="1" si="15"/>
        <v>25/05/yyyy a 31/05/yyyy</v>
      </c>
    </row>
    <row r="505" spans="1:13" x14ac:dyDescent="0.3">
      <c r="A505" t="s">
        <v>17</v>
      </c>
      <c r="B505" t="s">
        <v>18</v>
      </c>
      <c r="C505">
        <v>45855</v>
      </c>
      <c r="D505">
        <v>45862</v>
      </c>
      <c r="E505">
        <v>3</v>
      </c>
      <c r="F505">
        <v>3</v>
      </c>
      <c r="G505">
        <v>15</v>
      </c>
      <c r="H505">
        <v>3</v>
      </c>
      <c r="I505">
        <v>0.5</v>
      </c>
      <c r="J505" t="s">
        <v>55</v>
      </c>
      <c r="K505">
        <v>0</v>
      </c>
      <c r="L505" s="17">
        <f t="shared" ca="1" si="14"/>
        <v>46167</v>
      </c>
      <c r="M505" s="6" t="str">
        <f t="shared" ca="1" si="15"/>
        <v>25/05/yyyy a 31/05/yyyy</v>
      </c>
    </row>
    <row r="506" spans="1:13" x14ac:dyDescent="0.3">
      <c r="A506" t="s">
        <v>17</v>
      </c>
      <c r="B506" t="s">
        <v>30</v>
      </c>
      <c r="C506">
        <v>45855</v>
      </c>
      <c r="D506">
        <v>45861</v>
      </c>
      <c r="E506">
        <v>3</v>
      </c>
      <c r="F506">
        <v>3</v>
      </c>
      <c r="G506">
        <v>14</v>
      </c>
      <c r="H506">
        <v>2.8</v>
      </c>
      <c r="I506">
        <v>0.6</v>
      </c>
      <c r="J506" t="s">
        <v>44</v>
      </c>
      <c r="K506">
        <v>0</v>
      </c>
      <c r="L506" s="17">
        <f t="shared" ca="1" si="14"/>
        <v>46167</v>
      </c>
      <c r="M506" s="6" t="str">
        <f t="shared" ca="1" si="15"/>
        <v>25/05/yyyy a 31/05/yyyy</v>
      </c>
    </row>
    <row r="507" spans="1:13" x14ac:dyDescent="0.3">
      <c r="A507" t="s">
        <v>17</v>
      </c>
      <c r="B507" t="s">
        <v>30</v>
      </c>
      <c r="C507">
        <v>45855</v>
      </c>
      <c r="D507">
        <v>45861</v>
      </c>
      <c r="E507">
        <v>3</v>
      </c>
      <c r="F507">
        <v>3</v>
      </c>
      <c r="G507">
        <v>14</v>
      </c>
      <c r="H507">
        <v>2.8</v>
      </c>
      <c r="I507">
        <v>0.6</v>
      </c>
      <c r="J507" t="s">
        <v>45</v>
      </c>
      <c r="K507">
        <v>0</v>
      </c>
      <c r="L507" s="17">
        <f t="shared" ca="1" si="14"/>
        <v>46174</v>
      </c>
      <c r="M507" s="6" t="str">
        <f t="shared" ca="1" si="15"/>
        <v>01/06/yyyy a 07/06/yyyy</v>
      </c>
    </row>
    <row r="508" spans="1:13" x14ac:dyDescent="0.3">
      <c r="A508" t="s">
        <v>17</v>
      </c>
      <c r="B508" t="s">
        <v>30</v>
      </c>
      <c r="C508">
        <v>45855</v>
      </c>
      <c r="D508">
        <v>45861</v>
      </c>
      <c r="E508">
        <v>3</v>
      </c>
      <c r="F508">
        <v>3</v>
      </c>
      <c r="G508">
        <v>14</v>
      </c>
      <c r="H508">
        <v>2.8</v>
      </c>
      <c r="I508">
        <v>0.6</v>
      </c>
      <c r="J508" t="s">
        <v>46</v>
      </c>
      <c r="K508">
        <v>1.2000000000000002</v>
      </c>
      <c r="L508" s="17">
        <f t="shared" ca="1" si="14"/>
        <v>46181</v>
      </c>
      <c r="M508" s="6" t="str">
        <f t="shared" ca="1" si="15"/>
        <v>08/06/yyyy a 14/06/yyyy</v>
      </c>
    </row>
    <row r="509" spans="1:13" x14ac:dyDescent="0.3">
      <c r="A509" t="s">
        <v>17</v>
      </c>
      <c r="B509" t="s">
        <v>30</v>
      </c>
      <c r="C509">
        <v>45855</v>
      </c>
      <c r="D509">
        <v>45861</v>
      </c>
      <c r="E509">
        <v>3</v>
      </c>
      <c r="F509">
        <v>3</v>
      </c>
      <c r="G509">
        <v>14</v>
      </c>
      <c r="H509">
        <v>2.8</v>
      </c>
      <c r="I509">
        <v>0.6</v>
      </c>
      <c r="J509" t="s">
        <v>47</v>
      </c>
      <c r="K509">
        <v>1.8</v>
      </c>
      <c r="L509" s="17">
        <f t="shared" ca="1" si="14"/>
        <v>46188</v>
      </c>
      <c r="M509" s="6" t="str">
        <f t="shared" ca="1" si="15"/>
        <v>15/06/yyyy a 21/06/yyyy</v>
      </c>
    </row>
    <row r="510" spans="1:13" x14ac:dyDescent="0.3">
      <c r="A510" t="s">
        <v>17</v>
      </c>
      <c r="B510" t="s">
        <v>30</v>
      </c>
      <c r="C510">
        <v>45855</v>
      </c>
      <c r="D510">
        <v>45861</v>
      </c>
      <c r="E510">
        <v>3</v>
      </c>
      <c r="F510">
        <v>3</v>
      </c>
      <c r="G510">
        <v>14</v>
      </c>
      <c r="H510">
        <v>2.8</v>
      </c>
      <c r="I510">
        <v>0.6</v>
      </c>
      <c r="J510" t="s">
        <v>48</v>
      </c>
      <c r="K510">
        <v>0</v>
      </c>
      <c r="L510" s="17">
        <f t="shared" ca="1" si="14"/>
        <v>46195</v>
      </c>
      <c r="M510" s="6" t="str">
        <f t="shared" ca="1" si="15"/>
        <v>22/06/yyyy a 28/06/yyyy</v>
      </c>
    </row>
    <row r="511" spans="1:13" x14ac:dyDescent="0.3">
      <c r="A511" t="s">
        <v>17</v>
      </c>
      <c r="B511" t="s">
        <v>30</v>
      </c>
      <c r="C511">
        <v>45855</v>
      </c>
      <c r="D511">
        <v>45861</v>
      </c>
      <c r="E511">
        <v>3</v>
      </c>
      <c r="F511">
        <v>3</v>
      </c>
      <c r="G511">
        <v>14</v>
      </c>
      <c r="H511">
        <v>2.8</v>
      </c>
      <c r="I511">
        <v>0.6</v>
      </c>
      <c r="J511" t="s">
        <v>49</v>
      </c>
      <c r="K511">
        <v>0</v>
      </c>
      <c r="L511" s="17">
        <f t="shared" ca="1" si="14"/>
        <v>46202</v>
      </c>
      <c r="M511" s="6" t="str">
        <f t="shared" ca="1" si="15"/>
        <v>29/06/yyyy a 05/07/yyyy</v>
      </c>
    </row>
    <row r="512" spans="1:13" x14ac:dyDescent="0.3">
      <c r="A512" t="s">
        <v>17</v>
      </c>
      <c r="B512" t="s">
        <v>30</v>
      </c>
      <c r="C512">
        <v>45855</v>
      </c>
      <c r="D512">
        <v>45861</v>
      </c>
      <c r="E512">
        <v>3</v>
      </c>
      <c r="F512">
        <v>3</v>
      </c>
      <c r="G512">
        <v>14</v>
      </c>
      <c r="H512">
        <v>2.8</v>
      </c>
      <c r="I512">
        <v>0.6</v>
      </c>
      <c r="J512" t="s">
        <v>50</v>
      </c>
      <c r="K512">
        <v>0</v>
      </c>
      <c r="L512" s="17">
        <f t="shared" ca="1" si="14"/>
        <v>46209</v>
      </c>
      <c r="M512" s="6" t="str">
        <f t="shared" ca="1" si="15"/>
        <v>06/07/yyyy a 12/07/yyyy</v>
      </c>
    </row>
    <row r="513" spans="1:13" x14ac:dyDescent="0.3">
      <c r="A513" t="s">
        <v>17</v>
      </c>
      <c r="B513" t="s">
        <v>30</v>
      </c>
      <c r="C513">
        <v>45855</v>
      </c>
      <c r="D513">
        <v>45861</v>
      </c>
      <c r="E513">
        <v>3</v>
      </c>
      <c r="F513">
        <v>3</v>
      </c>
      <c r="G513">
        <v>14</v>
      </c>
      <c r="H513">
        <v>2.8</v>
      </c>
      <c r="I513">
        <v>0.6</v>
      </c>
      <c r="J513" t="s">
        <v>51</v>
      </c>
      <c r="K513">
        <v>0</v>
      </c>
      <c r="L513" s="17">
        <f t="shared" ca="1" si="14"/>
        <v>46216</v>
      </c>
      <c r="M513" s="6" t="str">
        <f t="shared" ca="1" si="15"/>
        <v>13/07/yyyy a 19/07/yyyy</v>
      </c>
    </row>
    <row r="514" spans="1:13" x14ac:dyDescent="0.3">
      <c r="A514" t="s">
        <v>17</v>
      </c>
      <c r="B514" t="s">
        <v>30</v>
      </c>
      <c r="C514">
        <v>45855</v>
      </c>
      <c r="D514">
        <v>45861</v>
      </c>
      <c r="E514">
        <v>3</v>
      </c>
      <c r="F514">
        <v>3</v>
      </c>
      <c r="G514">
        <v>14</v>
      </c>
      <c r="H514">
        <v>2.8</v>
      </c>
      <c r="I514">
        <v>0.6</v>
      </c>
      <c r="J514" t="s">
        <v>52</v>
      </c>
      <c r="K514">
        <v>0</v>
      </c>
      <c r="L514" s="17">
        <f t="shared" ref="L514:L577" ca="1" si="16">IFERROR(VLOOKUP(J514,$O$2:$P$13,2),"")</f>
        <v>46223</v>
      </c>
      <c r="M514" s="6" t="str">
        <f t="shared" ref="M514:M577" ca="1" si="17">IFERROR(TEXT(L514,"dd/mm/yyyy")&amp; " a " &amp; (TEXT(L514+6,"dd/mm/yyyy")),"")</f>
        <v>20/07/yyyy a 26/07/yyyy</v>
      </c>
    </row>
    <row r="515" spans="1:13" x14ac:dyDescent="0.3">
      <c r="A515" t="s">
        <v>17</v>
      </c>
      <c r="B515" t="s">
        <v>30</v>
      </c>
      <c r="C515">
        <v>45855</v>
      </c>
      <c r="D515">
        <v>45861</v>
      </c>
      <c r="E515">
        <v>3</v>
      </c>
      <c r="F515">
        <v>3</v>
      </c>
      <c r="G515">
        <v>14</v>
      </c>
      <c r="H515">
        <v>2.8</v>
      </c>
      <c r="I515">
        <v>0.6</v>
      </c>
      <c r="J515" t="s">
        <v>53</v>
      </c>
      <c r="K515">
        <v>0</v>
      </c>
      <c r="L515" s="17">
        <f t="shared" ca="1" si="16"/>
        <v>46167</v>
      </c>
      <c r="M515" s="6" t="str">
        <f t="shared" ca="1" si="17"/>
        <v>25/05/yyyy a 31/05/yyyy</v>
      </c>
    </row>
    <row r="516" spans="1:13" x14ac:dyDescent="0.3">
      <c r="A516" t="s">
        <v>17</v>
      </c>
      <c r="B516" t="s">
        <v>30</v>
      </c>
      <c r="C516">
        <v>45855</v>
      </c>
      <c r="D516">
        <v>45861</v>
      </c>
      <c r="E516">
        <v>3</v>
      </c>
      <c r="F516">
        <v>3</v>
      </c>
      <c r="G516">
        <v>14</v>
      </c>
      <c r="H516">
        <v>2.8</v>
      </c>
      <c r="I516">
        <v>0.6</v>
      </c>
      <c r="J516" t="s">
        <v>54</v>
      </c>
      <c r="K516">
        <v>0</v>
      </c>
      <c r="L516" s="17">
        <f t="shared" ca="1" si="16"/>
        <v>46167</v>
      </c>
      <c r="M516" s="6" t="str">
        <f t="shared" ca="1" si="17"/>
        <v>25/05/yyyy a 31/05/yyyy</v>
      </c>
    </row>
    <row r="517" spans="1:13" x14ac:dyDescent="0.3">
      <c r="A517" t="s">
        <v>17</v>
      </c>
      <c r="B517" t="s">
        <v>30</v>
      </c>
      <c r="C517">
        <v>45855</v>
      </c>
      <c r="D517">
        <v>45861</v>
      </c>
      <c r="E517">
        <v>3</v>
      </c>
      <c r="F517">
        <v>3</v>
      </c>
      <c r="G517">
        <v>14</v>
      </c>
      <c r="H517">
        <v>2.8</v>
      </c>
      <c r="I517">
        <v>0.6</v>
      </c>
      <c r="J517" t="s">
        <v>55</v>
      </c>
      <c r="K517">
        <v>0</v>
      </c>
      <c r="L517" s="17">
        <f t="shared" ca="1" si="16"/>
        <v>46167</v>
      </c>
      <c r="M517" s="6" t="str">
        <f t="shared" ca="1" si="17"/>
        <v>25/05/yyyy a 31/05/yyyy</v>
      </c>
    </row>
    <row r="518" spans="1:13" x14ac:dyDescent="0.3">
      <c r="A518" t="s">
        <v>17</v>
      </c>
      <c r="B518" t="s">
        <v>25</v>
      </c>
      <c r="C518">
        <v>45855</v>
      </c>
      <c r="D518">
        <v>45866</v>
      </c>
      <c r="E518">
        <v>10</v>
      </c>
      <c r="F518">
        <v>10</v>
      </c>
      <c r="G518">
        <v>17</v>
      </c>
      <c r="H518">
        <v>3.4</v>
      </c>
      <c r="I518">
        <v>1.25</v>
      </c>
      <c r="J518" t="s">
        <v>44</v>
      </c>
      <c r="K518">
        <v>0</v>
      </c>
      <c r="L518" s="17">
        <f t="shared" ca="1" si="16"/>
        <v>46167</v>
      </c>
      <c r="M518" s="6" t="str">
        <f t="shared" ca="1" si="17"/>
        <v>25/05/yyyy a 31/05/yyyy</v>
      </c>
    </row>
    <row r="519" spans="1:13" x14ac:dyDescent="0.3">
      <c r="A519" t="s">
        <v>17</v>
      </c>
      <c r="B519" t="s">
        <v>25</v>
      </c>
      <c r="C519">
        <v>45855</v>
      </c>
      <c r="D519">
        <v>45866</v>
      </c>
      <c r="E519">
        <v>10</v>
      </c>
      <c r="F519">
        <v>10</v>
      </c>
      <c r="G519">
        <v>17</v>
      </c>
      <c r="H519">
        <v>3.4</v>
      </c>
      <c r="I519">
        <v>1.25</v>
      </c>
      <c r="J519" t="s">
        <v>45</v>
      </c>
      <c r="K519">
        <v>0</v>
      </c>
      <c r="L519" s="17">
        <f t="shared" ca="1" si="16"/>
        <v>46174</v>
      </c>
      <c r="M519" s="6" t="str">
        <f t="shared" ca="1" si="17"/>
        <v>01/06/yyyy a 07/06/yyyy</v>
      </c>
    </row>
    <row r="520" spans="1:13" x14ac:dyDescent="0.3">
      <c r="A520" t="s">
        <v>17</v>
      </c>
      <c r="B520" t="s">
        <v>25</v>
      </c>
      <c r="C520">
        <v>45855</v>
      </c>
      <c r="D520">
        <v>45866</v>
      </c>
      <c r="E520">
        <v>10</v>
      </c>
      <c r="F520">
        <v>10</v>
      </c>
      <c r="G520">
        <v>17</v>
      </c>
      <c r="H520">
        <v>3.4</v>
      </c>
      <c r="I520">
        <v>1.25</v>
      </c>
      <c r="J520" t="s">
        <v>46</v>
      </c>
      <c r="K520">
        <v>2.5</v>
      </c>
      <c r="L520" s="17">
        <f t="shared" ca="1" si="16"/>
        <v>46181</v>
      </c>
      <c r="M520" s="6" t="str">
        <f t="shared" ca="1" si="17"/>
        <v>08/06/yyyy a 14/06/yyyy</v>
      </c>
    </row>
    <row r="521" spans="1:13" x14ac:dyDescent="0.3">
      <c r="A521" t="s">
        <v>17</v>
      </c>
      <c r="B521" t="s">
        <v>25</v>
      </c>
      <c r="C521">
        <v>45855</v>
      </c>
      <c r="D521">
        <v>45866</v>
      </c>
      <c r="E521">
        <v>10</v>
      </c>
      <c r="F521">
        <v>10</v>
      </c>
      <c r="G521">
        <v>17</v>
      </c>
      <c r="H521">
        <v>3.4</v>
      </c>
      <c r="I521">
        <v>1.25</v>
      </c>
      <c r="J521" t="s">
        <v>47</v>
      </c>
      <c r="K521">
        <v>6.25</v>
      </c>
      <c r="L521" s="17">
        <f t="shared" ca="1" si="16"/>
        <v>46188</v>
      </c>
      <c r="M521" s="6" t="str">
        <f t="shared" ca="1" si="17"/>
        <v>15/06/yyyy a 21/06/yyyy</v>
      </c>
    </row>
    <row r="522" spans="1:13" x14ac:dyDescent="0.3">
      <c r="A522" t="s">
        <v>17</v>
      </c>
      <c r="B522" t="s">
        <v>25</v>
      </c>
      <c r="C522">
        <v>45855</v>
      </c>
      <c r="D522">
        <v>45866</v>
      </c>
      <c r="E522">
        <v>10</v>
      </c>
      <c r="F522">
        <v>10</v>
      </c>
      <c r="G522">
        <v>17</v>
      </c>
      <c r="H522">
        <v>3.4</v>
      </c>
      <c r="I522">
        <v>1.25</v>
      </c>
      <c r="J522" t="s">
        <v>48</v>
      </c>
      <c r="K522">
        <v>1.25</v>
      </c>
      <c r="L522" s="17">
        <f t="shared" ca="1" si="16"/>
        <v>46195</v>
      </c>
      <c r="M522" s="6" t="str">
        <f t="shared" ca="1" si="17"/>
        <v>22/06/yyyy a 28/06/yyyy</v>
      </c>
    </row>
    <row r="523" spans="1:13" x14ac:dyDescent="0.3">
      <c r="A523" t="s">
        <v>17</v>
      </c>
      <c r="B523" t="s">
        <v>25</v>
      </c>
      <c r="C523">
        <v>45855</v>
      </c>
      <c r="D523">
        <v>45866</v>
      </c>
      <c r="E523">
        <v>10</v>
      </c>
      <c r="F523">
        <v>10</v>
      </c>
      <c r="G523">
        <v>17</v>
      </c>
      <c r="H523">
        <v>3.4</v>
      </c>
      <c r="I523">
        <v>1.25</v>
      </c>
      <c r="J523" t="s">
        <v>49</v>
      </c>
      <c r="K523">
        <v>0</v>
      </c>
      <c r="L523" s="17">
        <f t="shared" ca="1" si="16"/>
        <v>46202</v>
      </c>
      <c r="M523" s="6" t="str">
        <f t="shared" ca="1" si="17"/>
        <v>29/06/yyyy a 05/07/yyyy</v>
      </c>
    </row>
    <row r="524" spans="1:13" x14ac:dyDescent="0.3">
      <c r="A524" t="s">
        <v>17</v>
      </c>
      <c r="B524" t="s">
        <v>25</v>
      </c>
      <c r="C524">
        <v>45855</v>
      </c>
      <c r="D524">
        <v>45866</v>
      </c>
      <c r="E524">
        <v>10</v>
      </c>
      <c r="F524">
        <v>10</v>
      </c>
      <c r="G524">
        <v>17</v>
      </c>
      <c r="H524">
        <v>3.4</v>
      </c>
      <c r="I524">
        <v>1.25</v>
      </c>
      <c r="J524" t="s">
        <v>50</v>
      </c>
      <c r="K524">
        <v>0</v>
      </c>
      <c r="L524" s="17">
        <f t="shared" ca="1" si="16"/>
        <v>46209</v>
      </c>
      <c r="M524" s="6" t="str">
        <f t="shared" ca="1" si="17"/>
        <v>06/07/yyyy a 12/07/yyyy</v>
      </c>
    </row>
    <row r="525" spans="1:13" x14ac:dyDescent="0.3">
      <c r="A525" t="s">
        <v>17</v>
      </c>
      <c r="B525" t="s">
        <v>25</v>
      </c>
      <c r="C525">
        <v>45855</v>
      </c>
      <c r="D525">
        <v>45866</v>
      </c>
      <c r="E525">
        <v>10</v>
      </c>
      <c r="F525">
        <v>10</v>
      </c>
      <c r="G525">
        <v>17</v>
      </c>
      <c r="H525">
        <v>3.4</v>
      </c>
      <c r="I525">
        <v>1.25</v>
      </c>
      <c r="J525" t="s">
        <v>51</v>
      </c>
      <c r="K525">
        <v>0</v>
      </c>
      <c r="L525" s="17">
        <f t="shared" ca="1" si="16"/>
        <v>46216</v>
      </c>
      <c r="M525" s="6" t="str">
        <f t="shared" ca="1" si="17"/>
        <v>13/07/yyyy a 19/07/yyyy</v>
      </c>
    </row>
    <row r="526" spans="1:13" x14ac:dyDescent="0.3">
      <c r="A526" t="s">
        <v>17</v>
      </c>
      <c r="B526" t="s">
        <v>25</v>
      </c>
      <c r="C526">
        <v>45855</v>
      </c>
      <c r="D526">
        <v>45866</v>
      </c>
      <c r="E526">
        <v>10</v>
      </c>
      <c r="F526">
        <v>10</v>
      </c>
      <c r="G526">
        <v>17</v>
      </c>
      <c r="H526">
        <v>3.4</v>
      </c>
      <c r="I526">
        <v>1.25</v>
      </c>
      <c r="J526" t="s">
        <v>52</v>
      </c>
      <c r="K526">
        <v>0</v>
      </c>
      <c r="L526" s="17">
        <f t="shared" ca="1" si="16"/>
        <v>46223</v>
      </c>
      <c r="M526" s="6" t="str">
        <f t="shared" ca="1" si="17"/>
        <v>20/07/yyyy a 26/07/yyyy</v>
      </c>
    </row>
    <row r="527" spans="1:13" x14ac:dyDescent="0.3">
      <c r="A527" t="s">
        <v>17</v>
      </c>
      <c r="B527" t="s">
        <v>25</v>
      </c>
      <c r="C527">
        <v>45855</v>
      </c>
      <c r="D527">
        <v>45866</v>
      </c>
      <c r="E527">
        <v>10</v>
      </c>
      <c r="F527">
        <v>10</v>
      </c>
      <c r="G527">
        <v>17</v>
      </c>
      <c r="H527">
        <v>3.4</v>
      </c>
      <c r="I527">
        <v>1.25</v>
      </c>
      <c r="J527" t="s">
        <v>53</v>
      </c>
      <c r="K527">
        <v>0</v>
      </c>
      <c r="L527" s="17">
        <f t="shared" ca="1" si="16"/>
        <v>46167</v>
      </c>
      <c r="M527" s="6" t="str">
        <f t="shared" ca="1" si="17"/>
        <v>25/05/yyyy a 31/05/yyyy</v>
      </c>
    </row>
    <row r="528" spans="1:13" x14ac:dyDescent="0.3">
      <c r="A528" t="s">
        <v>17</v>
      </c>
      <c r="B528" t="s">
        <v>25</v>
      </c>
      <c r="C528">
        <v>45855</v>
      </c>
      <c r="D528">
        <v>45866</v>
      </c>
      <c r="E528">
        <v>10</v>
      </c>
      <c r="F528">
        <v>10</v>
      </c>
      <c r="G528">
        <v>17</v>
      </c>
      <c r="H528">
        <v>3.4</v>
      </c>
      <c r="I528">
        <v>1.25</v>
      </c>
      <c r="J528" t="s">
        <v>54</v>
      </c>
      <c r="K528">
        <v>0</v>
      </c>
      <c r="L528" s="17">
        <f t="shared" ca="1" si="16"/>
        <v>46167</v>
      </c>
      <c r="M528" s="6" t="str">
        <f t="shared" ca="1" si="17"/>
        <v>25/05/yyyy a 31/05/yyyy</v>
      </c>
    </row>
    <row r="529" spans="1:13" x14ac:dyDescent="0.3">
      <c r="A529" t="s">
        <v>17</v>
      </c>
      <c r="B529" t="s">
        <v>25</v>
      </c>
      <c r="C529">
        <v>45855</v>
      </c>
      <c r="D529">
        <v>45866</v>
      </c>
      <c r="E529">
        <v>10</v>
      </c>
      <c r="F529">
        <v>10</v>
      </c>
      <c r="G529">
        <v>17</v>
      </c>
      <c r="H529">
        <v>3.4</v>
      </c>
      <c r="I529">
        <v>1.25</v>
      </c>
      <c r="J529" t="s">
        <v>55</v>
      </c>
      <c r="K529">
        <v>0</v>
      </c>
      <c r="L529" s="17">
        <f t="shared" ca="1" si="16"/>
        <v>46167</v>
      </c>
      <c r="M529" s="6" t="str">
        <f t="shared" ca="1" si="17"/>
        <v>25/05/yyyy a 31/05/yyyy</v>
      </c>
    </row>
    <row r="530" spans="1:13" x14ac:dyDescent="0.3">
      <c r="A530" t="s">
        <v>17</v>
      </c>
      <c r="B530" t="s">
        <v>16</v>
      </c>
      <c r="C530">
        <v>45848</v>
      </c>
      <c r="D530">
        <v>45855</v>
      </c>
      <c r="E530">
        <v>2.5</v>
      </c>
      <c r="F530">
        <v>2.5</v>
      </c>
      <c r="G530">
        <v>10</v>
      </c>
      <c r="H530">
        <v>2</v>
      </c>
      <c r="I530">
        <v>0.41666666666666669</v>
      </c>
      <c r="J530" t="s">
        <v>44</v>
      </c>
      <c r="K530">
        <v>0</v>
      </c>
      <c r="L530" s="17">
        <f t="shared" ca="1" si="16"/>
        <v>46167</v>
      </c>
      <c r="M530" s="6" t="str">
        <f t="shared" ca="1" si="17"/>
        <v>25/05/yyyy a 31/05/yyyy</v>
      </c>
    </row>
    <row r="531" spans="1:13" x14ac:dyDescent="0.3">
      <c r="A531" t="s">
        <v>17</v>
      </c>
      <c r="B531" t="s">
        <v>16</v>
      </c>
      <c r="C531">
        <v>45848</v>
      </c>
      <c r="D531">
        <v>45855</v>
      </c>
      <c r="E531">
        <v>2.5</v>
      </c>
      <c r="F531">
        <v>2.5</v>
      </c>
      <c r="G531">
        <v>10</v>
      </c>
      <c r="H531">
        <v>2</v>
      </c>
      <c r="I531">
        <v>0.41666666666666669</v>
      </c>
      <c r="J531" t="s">
        <v>45</v>
      </c>
      <c r="K531">
        <v>0.83333333333333348</v>
      </c>
      <c r="L531" s="17">
        <f t="shared" ca="1" si="16"/>
        <v>46174</v>
      </c>
      <c r="M531" s="6" t="str">
        <f t="shared" ca="1" si="17"/>
        <v>01/06/yyyy a 07/06/yyyy</v>
      </c>
    </row>
    <row r="532" spans="1:13" x14ac:dyDescent="0.3">
      <c r="A532" t="s">
        <v>17</v>
      </c>
      <c r="B532" t="s">
        <v>16</v>
      </c>
      <c r="C532">
        <v>45848</v>
      </c>
      <c r="D532">
        <v>45855</v>
      </c>
      <c r="E532">
        <v>2.5</v>
      </c>
      <c r="F532">
        <v>2.5</v>
      </c>
      <c r="G532">
        <v>10</v>
      </c>
      <c r="H532">
        <v>2</v>
      </c>
      <c r="I532">
        <v>0.41666666666666669</v>
      </c>
      <c r="J532" t="s">
        <v>46</v>
      </c>
      <c r="K532">
        <v>1.6666666666666667</v>
      </c>
      <c r="L532" s="17">
        <f t="shared" ca="1" si="16"/>
        <v>46181</v>
      </c>
      <c r="M532" s="6" t="str">
        <f t="shared" ca="1" si="17"/>
        <v>08/06/yyyy a 14/06/yyyy</v>
      </c>
    </row>
    <row r="533" spans="1:13" x14ac:dyDescent="0.3">
      <c r="A533" t="s">
        <v>17</v>
      </c>
      <c r="B533" t="s">
        <v>16</v>
      </c>
      <c r="C533">
        <v>45848</v>
      </c>
      <c r="D533">
        <v>45855</v>
      </c>
      <c r="E533">
        <v>2.5</v>
      </c>
      <c r="F533">
        <v>2.5</v>
      </c>
      <c r="G533">
        <v>10</v>
      </c>
      <c r="H533">
        <v>2</v>
      </c>
      <c r="I533">
        <v>0.41666666666666669</v>
      </c>
      <c r="J533" t="s">
        <v>47</v>
      </c>
      <c r="K533">
        <v>0</v>
      </c>
      <c r="L533" s="17">
        <f t="shared" ca="1" si="16"/>
        <v>46188</v>
      </c>
      <c r="M533" s="6" t="str">
        <f t="shared" ca="1" si="17"/>
        <v>15/06/yyyy a 21/06/yyyy</v>
      </c>
    </row>
    <row r="534" spans="1:13" x14ac:dyDescent="0.3">
      <c r="A534" t="s">
        <v>17</v>
      </c>
      <c r="B534" t="s">
        <v>16</v>
      </c>
      <c r="C534">
        <v>45848</v>
      </c>
      <c r="D534">
        <v>45855</v>
      </c>
      <c r="E534">
        <v>2.5</v>
      </c>
      <c r="F534">
        <v>2.5</v>
      </c>
      <c r="G534">
        <v>10</v>
      </c>
      <c r="H534">
        <v>2</v>
      </c>
      <c r="I534">
        <v>0.41666666666666669</v>
      </c>
      <c r="J534" t="s">
        <v>48</v>
      </c>
      <c r="K534">
        <v>0</v>
      </c>
      <c r="L534" s="17">
        <f t="shared" ca="1" si="16"/>
        <v>46195</v>
      </c>
      <c r="M534" s="6" t="str">
        <f t="shared" ca="1" si="17"/>
        <v>22/06/yyyy a 28/06/yyyy</v>
      </c>
    </row>
    <row r="535" spans="1:13" x14ac:dyDescent="0.3">
      <c r="A535" t="s">
        <v>17</v>
      </c>
      <c r="B535" t="s">
        <v>16</v>
      </c>
      <c r="C535">
        <v>45848</v>
      </c>
      <c r="D535">
        <v>45855</v>
      </c>
      <c r="E535">
        <v>2.5</v>
      </c>
      <c r="F535">
        <v>2.5</v>
      </c>
      <c r="G535">
        <v>10</v>
      </c>
      <c r="H535">
        <v>2</v>
      </c>
      <c r="I535">
        <v>0.41666666666666669</v>
      </c>
      <c r="J535" t="s">
        <v>49</v>
      </c>
      <c r="K535">
        <v>0</v>
      </c>
      <c r="L535" s="17">
        <f t="shared" ca="1" si="16"/>
        <v>46202</v>
      </c>
      <c r="M535" s="6" t="str">
        <f t="shared" ca="1" si="17"/>
        <v>29/06/yyyy a 05/07/yyyy</v>
      </c>
    </row>
    <row r="536" spans="1:13" x14ac:dyDescent="0.3">
      <c r="A536" t="s">
        <v>17</v>
      </c>
      <c r="B536" t="s">
        <v>16</v>
      </c>
      <c r="C536">
        <v>45848</v>
      </c>
      <c r="D536">
        <v>45855</v>
      </c>
      <c r="E536">
        <v>2.5</v>
      </c>
      <c r="F536">
        <v>2.5</v>
      </c>
      <c r="G536">
        <v>10</v>
      </c>
      <c r="H536">
        <v>2</v>
      </c>
      <c r="I536">
        <v>0.41666666666666669</v>
      </c>
      <c r="J536" t="s">
        <v>50</v>
      </c>
      <c r="K536">
        <v>0</v>
      </c>
      <c r="L536" s="17">
        <f t="shared" ca="1" si="16"/>
        <v>46209</v>
      </c>
      <c r="M536" s="6" t="str">
        <f t="shared" ca="1" si="17"/>
        <v>06/07/yyyy a 12/07/yyyy</v>
      </c>
    </row>
    <row r="537" spans="1:13" x14ac:dyDescent="0.3">
      <c r="A537" t="s">
        <v>17</v>
      </c>
      <c r="B537" t="s">
        <v>16</v>
      </c>
      <c r="C537">
        <v>45848</v>
      </c>
      <c r="D537">
        <v>45855</v>
      </c>
      <c r="E537">
        <v>2.5</v>
      </c>
      <c r="F537">
        <v>2.5</v>
      </c>
      <c r="G537">
        <v>10</v>
      </c>
      <c r="H537">
        <v>2</v>
      </c>
      <c r="I537">
        <v>0.41666666666666669</v>
      </c>
      <c r="J537" t="s">
        <v>51</v>
      </c>
      <c r="K537">
        <v>0</v>
      </c>
      <c r="L537" s="17">
        <f t="shared" ca="1" si="16"/>
        <v>46216</v>
      </c>
      <c r="M537" s="6" t="str">
        <f t="shared" ca="1" si="17"/>
        <v>13/07/yyyy a 19/07/yyyy</v>
      </c>
    </row>
    <row r="538" spans="1:13" x14ac:dyDescent="0.3">
      <c r="A538" t="s">
        <v>17</v>
      </c>
      <c r="B538" t="s">
        <v>16</v>
      </c>
      <c r="C538">
        <v>45848</v>
      </c>
      <c r="D538">
        <v>45855</v>
      </c>
      <c r="E538">
        <v>2.5</v>
      </c>
      <c r="F538">
        <v>2.5</v>
      </c>
      <c r="G538">
        <v>10</v>
      </c>
      <c r="H538">
        <v>2</v>
      </c>
      <c r="I538">
        <v>0.41666666666666669</v>
      </c>
      <c r="J538" t="s">
        <v>52</v>
      </c>
      <c r="K538">
        <v>0</v>
      </c>
      <c r="L538" s="17">
        <f t="shared" ca="1" si="16"/>
        <v>46223</v>
      </c>
      <c r="M538" s="6" t="str">
        <f t="shared" ca="1" si="17"/>
        <v>20/07/yyyy a 26/07/yyyy</v>
      </c>
    </row>
    <row r="539" spans="1:13" x14ac:dyDescent="0.3">
      <c r="A539" t="s">
        <v>17</v>
      </c>
      <c r="B539" t="s">
        <v>16</v>
      </c>
      <c r="C539">
        <v>45848</v>
      </c>
      <c r="D539">
        <v>45855</v>
      </c>
      <c r="E539">
        <v>2.5</v>
      </c>
      <c r="F539">
        <v>2.5</v>
      </c>
      <c r="G539">
        <v>10</v>
      </c>
      <c r="H539">
        <v>2</v>
      </c>
      <c r="I539">
        <v>0.41666666666666669</v>
      </c>
      <c r="J539" t="s">
        <v>53</v>
      </c>
      <c r="K539">
        <v>0</v>
      </c>
      <c r="L539" s="17">
        <f t="shared" ca="1" si="16"/>
        <v>46167</v>
      </c>
      <c r="M539" s="6" t="str">
        <f t="shared" ca="1" si="17"/>
        <v>25/05/yyyy a 31/05/yyyy</v>
      </c>
    </row>
    <row r="540" spans="1:13" x14ac:dyDescent="0.3">
      <c r="A540" t="s">
        <v>17</v>
      </c>
      <c r="B540" t="s">
        <v>16</v>
      </c>
      <c r="C540">
        <v>45848</v>
      </c>
      <c r="D540">
        <v>45855</v>
      </c>
      <c r="E540">
        <v>2.5</v>
      </c>
      <c r="F540">
        <v>2.5</v>
      </c>
      <c r="G540">
        <v>10</v>
      </c>
      <c r="H540">
        <v>2</v>
      </c>
      <c r="I540">
        <v>0.41666666666666669</v>
      </c>
      <c r="J540" t="s">
        <v>54</v>
      </c>
      <c r="K540">
        <v>0</v>
      </c>
      <c r="L540" s="17">
        <f t="shared" ca="1" si="16"/>
        <v>46167</v>
      </c>
      <c r="M540" s="6" t="str">
        <f t="shared" ca="1" si="17"/>
        <v>25/05/yyyy a 31/05/yyyy</v>
      </c>
    </row>
    <row r="541" spans="1:13" x14ac:dyDescent="0.3">
      <c r="A541" t="s">
        <v>17</v>
      </c>
      <c r="B541" t="s">
        <v>16</v>
      </c>
      <c r="C541">
        <v>45848</v>
      </c>
      <c r="D541">
        <v>45855</v>
      </c>
      <c r="E541">
        <v>2.5</v>
      </c>
      <c r="F541">
        <v>2.5</v>
      </c>
      <c r="G541">
        <v>10</v>
      </c>
      <c r="H541">
        <v>2</v>
      </c>
      <c r="I541">
        <v>0.41666666666666669</v>
      </c>
      <c r="J541" t="s">
        <v>55</v>
      </c>
      <c r="K541">
        <v>0</v>
      </c>
      <c r="L541" s="17">
        <f t="shared" ca="1" si="16"/>
        <v>46167</v>
      </c>
      <c r="M541" s="6" t="str">
        <f t="shared" ca="1" si="17"/>
        <v>25/05/yyyy a 31/05/yyyy</v>
      </c>
    </row>
    <row r="542" spans="1:13" x14ac:dyDescent="0.3">
      <c r="A542" t="s">
        <v>17</v>
      </c>
      <c r="B542" t="s">
        <v>18</v>
      </c>
      <c r="C542">
        <v>45848</v>
      </c>
      <c r="D542">
        <v>45855</v>
      </c>
      <c r="E542">
        <v>3</v>
      </c>
      <c r="F542">
        <v>3</v>
      </c>
      <c r="G542">
        <v>10</v>
      </c>
      <c r="H542">
        <v>2</v>
      </c>
      <c r="I542">
        <v>0.5</v>
      </c>
      <c r="J542" t="s">
        <v>44</v>
      </c>
      <c r="K542">
        <v>0</v>
      </c>
      <c r="L542" s="17">
        <f t="shared" ca="1" si="16"/>
        <v>46167</v>
      </c>
      <c r="M542" s="6" t="str">
        <f t="shared" ca="1" si="17"/>
        <v>25/05/yyyy a 31/05/yyyy</v>
      </c>
    </row>
    <row r="543" spans="1:13" x14ac:dyDescent="0.3">
      <c r="A543" t="s">
        <v>17</v>
      </c>
      <c r="B543" t="s">
        <v>18</v>
      </c>
      <c r="C543">
        <v>45848</v>
      </c>
      <c r="D543">
        <v>45855</v>
      </c>
      <c r="E543">
        <v>3</v>
      </c>
      <c r="F543">
        <v>3</v>
      </c>
      <c r="G543">
        <v>10</v>
      </c>
      <c r="H543">
        <v>2</v>
      </c>
      <c r="I543">
        <v>0.5</v>
      </c>
      <c r="J543" t="s">
        <v>45</v>
      </c>
      <c r="K543">
        <v>1</v>
      </c>
      <c r="L543" s="17">
        <f t="shared" ca="1" si="16"/>
        <v>46174</v>
      </c>
      <c r="M543" s="6" t="str">
        <f t="shared" ca="1" si="17"/>
        <v>01/06/yyyy a 07/06/yyyy</v>
      </c>
    </row>
    <row r="544" spans="1:13" x14ac:dyDescent="0.3">
      <c r="A544" t="s">
        <v>17</v>
      </c>
      <c r="B544" t="s">
        <v>18</v>
      </c>
      <c r="C544">
        <v>45848</v>
      </c>
      <c r="D544">
        <v>45855</v>
      </c>
      <c r="E544">
        <v>3</v>
      </c>
      <c r="F544">
        <v>3</v>
      </c>
      <c r="G544">
        <v>10</v>
      </c>
      <c r="H544">
        <v>2</v>
      </c>
      <c r="I544">
        <v>0.5</v>
      </c>
      <c r="J544" t="s">
        <v>46</v>
      </c>
      <c r="K544">
        <v>2</v>
      </c>
      <c r="L544" s="17">
        <f t="shared" ca="1" si="16"/>
        <v>46181</v>
      </c>
      <c r="M544" s="6" t="str">
        <f t="shared" ca="1" si="17"/>
        <v>08/06/yyyy a 14/06/yyyy</v>
      </c>
    </row>
    <row r="545" spans="1:13" x14ac:dyDescent="0.3">
      <c r="A545" t="s">
        <v>17</v>
      </c>
      <c r="B545" t="s">
        <v>18</v>
      </c>
      <c r="C545">
        <v>45848</v>
      </c>
      <c r="D545">
        <v>45855</v>
      </c>
      <c r="E545">
        <v>3</v>
      </c>
      <c r="F545">
        <v>3</v>
      </c>
      <c r="G545">
        <v>10</v>
      </c>
      <c r="H545">
        <v>2</v>
      </c>
      <c r="I545">
        <v>0.5</v>
      </c>
      <c r="J545" t="s">
        <v>47</v>
      </c>
      <c r="K545">
        <v>0</v>
      </c>
      <c r="L545" s="17">
        <f t="shared" ca="1" si="16"/>
        <v>46188</v>
      </c>
      <c r="M545" s="6" t="str">
        <f t="shared" ca="1" si="17"/>
        <v>15/06/yyyy a 21/06/yyyy</v>
      </c>
    </row>
    <row r="546" spans="1:13" x14ac:dyDescent="0.3">
      <c r="A546" t="s">
        <v>17</v>
      </c>
      <c r="B546" t="s">
        <v>18</v>
      </c>
      <c r="C546">
        <v>45848</v>
      </c>
      <c r="D546">
        <v>45855</v>
      </c>
      <c r="E546">
        <v>3</v>
      </c>
      <c r="F546">
        <v>3</v>
      </c>
      <c r="G546">
        <v>10</v>
      </c>
      <c r="H546">
        <v>2</v>
      </c>
      <c r="I546">
        <v>0.5</v>
      </c>
      <c r="J546" t="s">
        <v>48</v>
      </c>
      <c r="K546">
        <v>0</v>
      </c>
      <c r="L546" s="17">
        <f t="shared" ca="1" si="16"/>
        <v>46195</v>
      </c>
      <c r="M546" s="6" t="str">
        <f t="shared" ca="1" si="17"/>
        <v>22/06/yyyy a 28/06/yyyy</v>
      </c>
    </row>
    <row r="547" spans="1:13" x14ac:dyDescent="0.3">
      <c r="A547" t="s">
        <v>17</v>
      </c>
      <c r="B547" t="s">
        <v>18</v>
      </c>
      <c r="C547">
        <v>45848</v>
      </c>
      <c r="D547">
        <v>45855</v>
      </c>
      <c r="E547">
        <v>3</v>
      </c>
      <c r="F547">
        <v>3</v>
      </c>
      <c r="G547">
        <v>10</v>
      </c>
      <c r="H547">
        <v>2</v>
      </c>
      <c r="I547">
        <v>0.5</v>
      </c>
      <c r="J547" t="s">
        <v>49</v>
      </c>
      <c r="K547">
        <v>0</v>
      </c>
      <c r="L547" s="17">
        <f t="shared" ca="1" si="16"/>
        <v>46202</v>
      </c>
      <c r="M547" s="6" t="str">
        <f t="shared" ca="1" si="17"/>
        <v>29/06/yyyy a 05/07/yyyy</v>
      </c>
    </row>
    <row r="548" spans="1:13" x14ac:dyDescent="0.3">
      <c r="A548" t="s">
        <v>17</v>
      </c>
      <c r="B548" t="s">
        <v>18</v>
      </c>
      <c r="C548">
        <v>45848</v>
      </c>
      <c r="D548">
        <v>45855</v>
      </c>
      <c r="E548">
        <v>3</v>
      </c>
      <c r="F548">
        <v>3</v>
      </c>
      <c r="G548">
        <v>10</v>
      </c>
      <c r="H548">
        <v>2</v>
      </c>
      <c r="I548">
        <v>0.5</v>
      </c>
      <c r="J548" t="s">
        <v>50</v>
      </c>
      <c r="K548">
        <v>0</v>
      </c>
      <c r="L548" s="17">
        <f t="shared" ca="1" si="16"/>
        <v>46209</v>
      </c>
      <c r="M548" s="6" t="str">
        <f t="shared" ca="1" si="17"/>
        <v>06/07/yyyy a 12/07/yyyy</v>
      </c>
    </row>
    <row r="549" spans="1:13" x14ac:dyDescent="0.3">
      <c r="A549" t="s">
        <v>17</v>
      </c>
      <c r="B549" t="s">
        <v>18</v>
      </c>
      <c r="C549">
        <v>45848</v>
      </c>
      <c r="D549">
        <v>45855</v>
      </c>
      <c r="E549">
        <v>3</v>
      </c>
      <c r="F549">
        <v>3</v>
      </c>
      <c r="G549">
        <v>10</v>
      </c>
      <c r="H549">
        <v>2</v>
      </c>
      <c r="I549">
        <v>0.5</v>
      </c>
      <c r="J549" t="s">
        <v>51</v>
      </c>
      <c r="K549">
        <v>0</v>
      </c>
      <c r="L549" s="17">
        <f t="shared" ca="1" si="16"/>
        <v>46216</v>
      </c>
      <c r="M549" s="6" t="str">
        <f t="shared" ca="1" si="17"/>
        <v>13/07/yyyy a 19/07/yyyy</v>
      </c>
    </row>
    <row r="550" spans="1:13" x14ac:dyDescent="0.3">
      <c r="A550" t="s">
        <v>17</v>
      </c>
      <c r="B550" t="s">
        <v>18</v>
      </c>
      <c r="C550">
        <v>45848</v>
      </c>
      <c r="D550">
        <v>45855</v>
      </c>
      <c r="E550">
        <v>3</v>
      </c>
      <c r="F550">
        <v>3</v>
      </c>
      <c r="G550">
        <v>10</v>
      </c>
      <c r="H550">
        <v>2</v>
      </c>
      <c r="I550">
        <v>0.5</v>
      </c>
      <c r="J550" t="s">
        <v>52</v>
      </c>
      <c r="K550">
        <v>0</v>
      </c>
      <c r="L550" s="17">
        <f t="shared" ca="1" si="16"/>
        <v>46223</v>
      </c>
      <c r="M550" s="6" t="str">
        <f t="shared" ca="1" si="17"/>
        <v>20/07/yyyy a 26/07/yyyy</v>
      </c>
    </row>
    <row r="551" spans="1:13" x14ac:dyDescent="0.3">
      <c r="A551" t="s">
        <v>17</v>
      </c>
      <c r="B551" t="s">
        <v>18</v>
      </c>
      <c r="C551">
        <v>45848</v>
      </c>
      <c r="D551">
        <v>45855</v>
      </c>
      <c r="E551">
        <v>3</v>
      </c>
      <c r="F551">
        <v>3</v>
      </c>
      <c r="G551">
        <v>10</v>
      </c>
      <c r="H551">
        <v>2</v>
      </c>
      <c r="I551">
        <v>0.5</v>
      </c>
      <c r="J551" t="s">
        <v>53</v>
      </c>
      <c r="K551">
        <v>0</v>
      </c>
      <c r="L551" s="17">
        <f t="shared" ca="1" si="16"/>
        <v>46167</v>
      </c>
      <c r="M551" s="6" t="str">
        <f t="shared" ca="1" si="17"/>
        <v>25/05/yyyy a 31/05/yyyy</v>
      </c>
    </row>
    <row r="552" spans="1:13" x14ac:dyDescent="0.3">
      <c r="A552" t="s">
        <v>17</v>
      </c>
      <c r="B552" t="s">
        <v>18</v>
      </c>
      <c r="C552">
        <v>45848</v>
      </c>
      <c r="D552">
        <v>45855</v>
      </c>
      <c r="E552">
        <v>3</v>
      </c>
      <c r="F552">
        <v>3</v>
      </c>
      <c r="G552">
        <v>10</v>
      </c>
      <c r="H552">
        <v>2</v>
      </c>
      <c r="I552">
        <v>0.5</v>
      </c>
      <c r="J552" t="s">
        <v>54</v>
      </c>
      <c r="K552">
        <v>0</v>
      </c>
      <c r="L552" s="17">
        <f t="shared" ca="1" si="16"/>
        <v>46167</v>
      </c>
      <c r="M552" s="6" t="str">
        <f t="shared" ca="1" si="17"/>
        <v>25/05/yyyy a 31/05/yyyy</v>
      </c>
    </row>
    <row r="553" spans="1:13" x14ac:dyDescent="0.3">
      <c r="A553" t="s">
        <v>17</v>
      </c>
      <c r="B553" t="s">
        <v>18</v>
      </c>
      <c r="C553">
        <v>45848</v>
      </c>
      <c r="D553">
        <v>45855</v>
      </c>
      <c r="E553">
        <v>3</v>
      </c>
      <c r="F553">
        <v>3</v>
      </c>
      <c r="G553">
        <v>10</v>
      </c>
      <c r="H553">
        <v>2</v>
      </c>
      <c r="I553">
        <v>0.5</v>
      </c>
      <c r="J553" t="s">
        <v>55</v>
      </c>
      <c r="K553">
        <v>0</v>
      </c>
      <c r="L553" s="17">
        <f t="shared" ca="1" si="16"/>
        <v>46167</v>
      </c>
      <c r="M553" s="6" t="str">
        <f t="shared" ca="1" si="17"/>
        <v>25/05/yyyy a 31/05/yyyy</v>
      </c>
    </row>
    <row r="554" spans="1:13" x14ac:dyDescent="0.3">
      <c r="A554" t="s">
        <v>17</v>
      </c>
      <c r="B554" t="s">
        <v>16</v>
      </c>
      <c r="C554">
        <v>45848</v>
      </c>
      <c r="D554">
        <v>45855</v>
      </c>
      <c r="E554">
        <v>2.5</v>
      </c>
      <c r="F554">
        <v>2.5</v>
      </c>
      <c r="G554">
        <v>10</v>
      </c>
      <c r="H554">
        <v>2</v>
      </c>
      <c r="I554">
        <v>0.41666666666666669</v>
      </c>
      <c r="J554" t="s">
        <v>44</v>
      </c>
      <c r="K554">
        <v>0</v>
      </c>
      <c r="L554" s="17">
        <f t="shared" ca="1" si="16"/>
        <v>46167</v>
      </c>
      <c r="M554" s="6" t="str">
        <f t="shared" ca="1" si="17"/>
        <v>25/05/yyyy a 31/05/yyyy</v>
      </c>
    </row>
    <row r="555" spans="1:13" x14ac:dyDescent="0.3">
      <c r="A555" t="s">
        <v>17</v>
      </c>
      <c r="B555" t="s">
        <v>16</v>
      </c>
      <c r="C555">
        <v>45848</v>
      </c>
      <c r="D555">
        <v>45855</v>
      </c>
      <c r="E555">
        <v>2.5</v>
      </c>
      <c r="F555">
        <v>2.5</v>
      </c>
      <c r="G555">
        <v>10</v>
      </c>
      <c r="H555">
        <v>2</v>
      </c>
      <c r="I555">
        <v>0.41666666666666669</v>
      </c>
      <c r="J555" t="s">
        <v>45</v>
      </c>
      <c r="K555">
        <v>0.83333333333333348</v>
      </c>
      <c r="L555" s="17">
        <f t="shared" ca="1" si="16"/>
        <v>46174</v>
      </c>
      <c r="M555" s="6" t="str">
        <f t="shared" ca="1" si="17"/>
        <v>01/06/yyyy a 07/06/yyyy</v>
      </c>
    </row>
    <row r="556" spans="1:13" x14ac:dyDescent="0.3">
      <c r="A556" t="s">
        <v>17</v>
      </c>
      <c r="B556" t="s">
        <v>16</v>
      </c>
      <c r="C556">
        <v>45848</v>
      </c>
      <c r="D556">
        <v>45855</v>
      </c>
      <c r="E556">
        <v>2.5</v>
      </c>
      <c r="F556">
        <v>2.5</v>
      </c>
      <c r="G556">
        <v>10</v>
      </c>
      <c r="H556">
        <v>2</v>
      </c>
      <c r="I556">
        <v>0.41666666666666669</v>
      </c>
      <c r="J556" t="s">
        <v>46</v>
      </c>
      <c r="K556">
        <v>1.6666666666666667</v>
      </c>
      <c r="L556" s="17">
        <f t="shared" ca="1" si="16"/>
        <v>46181</v>
      </c>
      <c r="M556" s="6" t="str">
        <f t="shared" ca="1" si="17"/>
        <v>08/06/yyyy a 14/06/yyyy</v>
      </c>
    </row>
    <row r="557" spans="1:13" x14ac:dyDescent="0.3">
      <c r="A557" t="s">
        <v>17</v>
      </c>
      <c r="B557" t="s">
        <v>16</v>
      </c>
      <c r="C557">
        <v>45848</v>
      </c>
      <c r="D557">
        <v>45855</v>
      </c>
      <c r="E557">
        <v>2.5</v>
      </c>
      <c r="F557">
        <v>2.5</v>
      </c>
      <c r="G557">
        <v>10</v>
      </c>
      <c r="H557">
        <v>2</v>
      </c>
      <c r="I557">
        <v>0.41666666666666669</v>
      </c>
      <c r="J557" t="s">
        <v>47</v>
      </c>
      <c r="K557">
        <v>0</v>
      </c>
      <c r="L557" s="17">
        <f t="shared" ca="1" si="16"/>
        <v>46188</v>
      </c>
      <c r="M557" s="6" t="str">
        <f t="shared" ca="1" si="17"/>
        <v>15/06/yyyy a 21/06/yyyy</v>
      </c>
    </row>
    <row r="558" spans="1:13" x14ac:dyDescent="0.3">
      <c r="A558" t="s">
        <v>17</v>
      </c>
      <c r="B558" t="s">
        <v>16</v>
      </c>
      <c r="C558">
        <v>45848</v>
      </c>
      <c r="D558">
        <v>45855</v>
      </c>
      <c r="E558">
        <v>2.5</v>
      </c>
      <c r="F558">
        <v>2.5</v>
      </c>
      <c r="G558">
        <v>10</v>
      </c>
      <c r="H558">
        <v>2</v>
      </c>
      <c r="I558">
        <v>0.41666666666666669</v>
      </c>
      <c r="J558" t="s">
        <v>48</v>
      </c>
      <c r="K558">
        <v>0</v>
      </c>
      <c r="L558" s="17">
        <f t="shared" ca="1" si="16"/>
        <v>46195</v>
      </c>
      <c r="M558" s="6" t="str">
        <f t="shared" ca="1" si="17"/>
        <v>22/06/yyyy a 28/06/yyyy</v>
      </c>
    </row>
    <row r="559" spans="1:13" x14ac:dyDescent="0.3">
      <c r="A559" t="s">
        <v>17</v>
      </c>
      <c r="B559" t="s">
        <v>16</v>
      </c>
      <c r="C559">
        <v>45848</v>
      </c>
      <c r="D559">
        <v>45855</v>
      </c>
      <c r="E559">
        <v>2.5</v>
      </c>
      <c r="F559">
        <v>2.5</v>
      </c>
      <c r="G559">
        <v>10</v>
      </c>
      <c r="H559">
        <v>2</v>
      </c>
      <c r="I559">
        <v>0.41666666666666669</v>
      </c>
      <c r="J559" t="s">
        <v>49</v>
      </c>
      <c r="K559">
        <v>0</v>
      </c>
      <c r="L559" s="17">
        <f t="shared" ca="1" si="16"/>
        <v>46202</v>
      </c>
      <c r="M559" s="6" t="str">
        <f t="shared" ca="1" si="17"/>
        <v>29/06/yyyy a 05/07/yyyy</v>
      </c>
    </row>
    <row r="560" spans="1:13" x14ac:dyDescent="0.3">
      <c r="A560" t="s">
        <v>17</v>
      </c>
      <c r="B560" t="s">
        <v>16</v>
      </c>
      <c r="C560">
        <v>45848</v>
      </c>
      <c r="D560">
        <v>45855</v>
      </c>
      <c r="E560">
        <v>2.5</v>
      </c>
      <c r="F560">
        <v>2.5</v>
      </c>
      <c r="G560">
        <v>10</v>
      </c>
      <c r="H560">
        <v>2</v>
      </c>
      <c r="I560">
        <v>0.41666666666666669</v>
      </c>
      <c r="J560" t="s">
        <v>50</v>
      </c>
      <c r="K560">
        <v>0</v>
      </c>
      <c r="L560" s="17">
        <f t="shared" ca="1" si="16"/>
        <v>46209</v>
      </c>
      <c r="M560" s="6" t="str">
        <f t="shared" ca="1" si="17"/>
        <v>06/07/yyyy a 12/07/yyyy</v>
      </c>
    </row>
    <row r="561" spans="1:13" x14ac:dyDescent="0.3">
      <c r="A561" t="s">
        <v>17</v>
      </c>
      <c r="B561" t="s">
        <v>16</v>
      </c>
      <c r="C561">
        <v>45848</v>
      </c>
      <c r="D561">
        <v>45855</v>
      </c>
      <c r="E561">
        <v>2.5</v>
      </c>
      <c r="F561">
        <v>2.5</v>
      </c>
      <c r="G561">
        <v>10</v>
      </c>
      <c r="H561">
        <v>2</v>
      </c>
      <c r="I561">
        <v>0.41666666666666669</v>
      </c>
      <c r="J561" t="s">
        <v>51</v>
      </c>
      <c r="K561">
        <v>0</v>
      </c>
      <c r="L561" s="17">
        <f t="shared" ca="1" si="16"/>
        <v>46216</v>
      </c>
      <c r="M561" s="6" t="str">
        <f t="shared" ca="1" si="17"/>
        <v>13/07/yyyy a 19/07/yyyy</v>
      </c>
    </row>
    <row r="562" spans="1:13" x14ac:dyDescent="0.3">
      <c r="A562" t="s">
        <v>17</v>
      </c>
      <c r="B562" t="s">
        <v>16</v>
      </c>
      <c r="C562">
        <v>45848</v>
      </c>
      <c r="D562">
        <v>45855</v>
      </c>
      <c r="E562">
        <v>2.5</v>
      </c>
      <c r="F562">
        <v>2.5</v>
      </c>
      <c r="G562">
        <v>10</v>
      </c>
      <c r="H562">
        <v>2</v>
      </c>
      <c r="I562">
        <v>0.41666666666666669</v>
      </c>
      <c r="J562" t="s">
        <v>52</v>
      </c>
      <c r="K562">
        <v>0</v>
      </c>
      <c r="L562" s="17">
        <f t="shared" ca="1" si="16"/>
        <v>46223</v>
      </c>
      <c r="M562" s="6" t="str">
        <f t="shared" ca="1" si="17"/>
        <v>20/07/yyyy a 26/07/yyyy</v>
      </c>
    </row>
    <row r="563" spans="1:13" x14ac:dyDescent="0.3">
      <c r="A563" t="s">
        <v>17</v>
      </c>
      <c r="B563" t="s">
        <v>16</v>
      </c>
      <c r="C563">
        <v>45848</v>
      </c>
      <c r="D563">
        <v>45855</v>
      </c>
      <c r="E563">
        <v>2.5</v>
      </c>
      <c r="F563">
        <v>2.5</v>
      </c>
      <c r="G563">
        <v>10</v>
      </c>
      <c r="H563">
        <v>2</v>
      </c>
      <c r="I563">
        <v>0.41666666666666669</v>
      </c>
      <c r="J563" t="s">
        <v>53</v>
      </c>
      <c r="K563">
        <v>0</v>
      </c>
      <c r="L563" s="17">
        <f t="shared" ca="1" si="16"/>
        <v>46167</v>
      </c>
      <c r="M563" s="6" t="str">
        <f t="shared" ca="1" si="17"/>
        <v>25/05/yyyy a 31/05/yyyy</v>
      </c>
    </row>
    <row r="564" spans="1:13" x14ac:dyDescent="0.3">
      <c r="A564" t="s">
        <v>17</v>
      </c>
      <c r="B564" t="s">
        <v>16</v>
      </c>
      <c r="C564">
        <v>45848</v>
      </c>
      <c r="D564">
        <v>45855</v>
      </c>
      <c r="E564">
        <v>2.5</v>
      </c>
      <c r="F564">
        <v>2.5</v>
      </c>
      <c r="G564">
        <v>10</v>
      </c>
      <c r="H564">
        <v>2</v>
      </c>
      <c r="I564">
        <v>0.41666666666666669</v>
      </c>
      <c r="J564" t="s">
        <v>54</v>
      </c>
      <c r="K564">
        <v>0</v>
      </c>
      <c r="L564" s="17">
        <f t="shared" ca="1" si="16"/>
        <v>46167</v>
      </c>
      <c r="M564" s="6" t="str">
        <f t="shared" ca="1" si="17"/>
        <v>25/05/yyyy a 31/05/yyyy</v>
      </c>
    </row>
    <row r="565" spans="1:13" x14ac:dyDescent="0.3">
      <c r="A565" t="s">
        <v>17</v>
      </c>
      <c r="B565" t="s">
        <v>16</v>
      </c>
      <c r="C565">
        <v>45848</v>
      </c>
      <c r="D565">
        <v>45855</v>
      </c>
      <c r="E565">
        <v>2.5</v>
      </c>
      <c r="F565">
        <v>2.5</v>
      </c>
      <c r="G565">
        <v>10</v>
      </c>
      <c r="H565">
        <v>2</v>
      </c>
      <c r="I565">
        <v>0.41666666666666669</v>
      </c>
      <c r="J565" t="s">
        <v>55</v>
      </c>
      <c r="K565">
        <v>0</v>
      </c>
      <c r="L565" s="17">
        <f t="shared" ca="1" si="16"/>
        <v>46167</v>
      </c>
      <c r="M565" s="6" t="str">
        <f t="shared" ca="1" si="17"/>
        <v>25/05/yyyy a 31/05/yyyy</v>
      </c>
    </row>
    <row r="566" spans="1:13" x14ac:dyDescent="0.3">
      <c r="A566" t="s">
        <v>17</v>
      </c>
      <c r="B566" t="s">
        <v>27</v>
      </c>
      <c r="C566">
        <v>45862</v>
      </c>
      <c r="D566">
        <v>45869</v>
      </c>
      <c r="E566">
        <v>3.5</v>
      </c>
      <c r="F566">
        <v>3.5</v>
      </c>
      <c r="G566">
        <v>20</v>
      </c>
      <c r="H566">
        <v>4</v>
      </c>
      <c r="I566">
        <v>0.58333333333333337</v>
      </c>
      <c r="J566" t="s">
        <v>44</v>
      </c>
      <c r="K566">
        <v>0</v>
      </c>
      <c r="L566" s="17">
        <f t="shared" ca="1" si="16"/>
        <v>46167</v>
      </c>
      <c r="M566" s="6" t="str">
        <f t="shared" ca="1" si="17"/>
        <v>25/05/yyyy a 31/05/yyyy</v>
      </c>
    </row>
    <row r="567" spans="1:13" x14ac:dyDescent="0.3">
      <c r="A567" t="s">
        <v>17</v>
      </c>
      <c r="B567" t="s">
        <v>27</v>
      </c>
      <c r="C567">
        <v>45862</v>
      </c>
      <c r="D567">
        <v>45869</v>
      </c>
      <c r="E567">
        <v>3.5</v>
      </c>
      <c r="F567">
        <v>3.5</v>
      </c>
      <c r="G567">
        <v>20</v>
      </c>
      <c r="H567">
        <v>4</v>
      </c>
      <c r="I567">
        <v>0.58333333333333337</v>
      </c>
      <c r="J567" t="s">
        <v>45</v>
      </c>
      <c r="K567">
        <v>0</v>
      </c>
      <c r="L567" s="17">
        <f t="shared" ca="1" si="16"/>
        <v>46174</v>
      </c>
      <c r="M567" s="6" t="str">
        <f t="shared" ca="1" si="17"/>
        <v>01/06/yyyy a 07/06/yyyy</v>
      </c>
    </row>
    <row r="568" spans="1:13" x14ac:dyDescent="0.3">
      <c r="A568" t="s">
        <v>17</v>
      </c>
      <c r="B568" t="s">
        <v>27</v>
      </c>
      <c r="C568">
        <v>45862</v>
      </c>
      <c r="D568">
        <v>45869</v>
      </c>
      <c r="E568">
        <v>3.5</v>
      </c>
      <c r="F568">
        <v>3.5</v>
      </c>
      <c r="G568">
        <v>20</v>
      </c>
      <c r="H568">
        <v>4</v>
      </c>
      <c r="I568">
        <v>0.58333333333333337</v>
      </c>
      <c r="J568" t="s">
        <v>46</v>
      </c>
      <c r="K568">
        <v>0</v>
      </c>
      <c r="L568" s="17">
        <f t="shared" ca="1" si="16"/>
        <v>46181</v>
      </c>
      <c r="M568" s="6" t="str">
        <f t="shared" ca="1" si="17"/>
        <v>08/06/yyyy a 14/06/yyyy</v>
      </c>
    </row>
    <row r="569" spans="1:13" x14ac:dyDescent="0.3">
      <c r="A569" t="s">
        <v>17</v>
      </c>
      <c r="B569" t="s">
        <v>27</v>
      </c>
      <c r="C569">
        <v>45862</v>
      </c>
      <c r="D569">
        <v>45869</v>
      </c>
      <c r="E569">
        <v>3.5</v>
      </c>
      <c r="F569">
        <v>3.5</v>
      </c>
      <c r="G569">
        <v>20</v>
      </c>
      <c r="H569">
        <v>4</v>
      </c>
      <c r="I569">
        <v>0.58333333333333337</v>
      </c>
      <c r="J569" t="s">
        <v>47</v>
      </c>
      <c r="K569">
        <v>1.166666666666667</v>
      </c>
      <c r="L569" s="17">
        <f t="shared" ca="1" si="16"/>
        <v>46188</v>
      </c>
      <c r="M569" s="6" t="str">
        <f t="shared" ca="1" si="17"/>
        <v>15/06/yyyy a 21/06/yyyy</v>
      </c>
    </row>
    <row r="570" spans="1:13" x14ac:dyDescent="0.3">
      <c r="A570" t="s">
        <v>17</v>
      </c>
      <c r="B570" t="s">
        <v>27</v>
      </c>
      <c r="C570">
        <v>45862</v>
      </c>
      <c r="D570">
        <v>45869</v>
      </c>
      <c r="E570">
        <v>3.5</v>
      </c>
      <c r="F570">
        <v>3.5</v>
      </c>
      <c r="G570">
        <v>20</v>
      </c>
      <c r="H570">
        <v>4</v>
      </c>
      <c r="I570">
        <v>0.58333333333333337</v>
      </c>
      <c r="J570" t="s">
        <v>48</v>
      </c>
      <c r="K570">
        <v>2.3333333333333335</v>
      </c>
      <c r="L570" s="17">
        <f t="shared" ca="1" si="16"/>
        <v>46195</v>
      </c>
      <c r="M570" s="6" t="str">
        <f t="shared" ca="1" si="17"/>
        <v>22/06/yyyy a 28/06/yyyy</v>
      </c>
    </row>
    <row r="571" spans="1:13" x14ac:dyDescent="0.3">
      <c r="A571" t="s">
        <v>17</v>
      </c>
      <c r="B571" t="s">
        <v>27</v>
      </c>
      <c r="C571">
        <v>45862</v>
      </c>
      <c r="D571">
        <v>45869</v>
      </c>
      <c r="E571">
        <v>3.5</v>
      </c>
      <c r="F571">
        <v>3.5</v>
      </c>
      <c r="G571">
        <v>20</v>
      </c>
      <c r="H571">
        <v>4</v>
      </c>
      <c r="I571">
        <v>0.58333333333333337</v>
      </c>
      <c r="J571" t="s">
        <v>49</v>
      </c>
      <c r="K571">
        <v>0</v>
      </c>
      <c r="L571" s="17">
        <f t="shared" ca="1" si="16"/>
        <v>46202</v>
      </c>
      <c r="M571" s="6" t="str">
        <f t="shared" ca="1" si="17"/>
        <v>29/06/yyyy a 05/07/yyyy</v>
      </c>
    </row>
    <row r="572" spans="1:13" x14ac:dyDescent="0.3">
      <c r="A572" t="s">
        <v>17</v>
      </c>
      <c r="B572" t="s">
        <v>27</v>
      </c>
      <c r="C572">
        <v>45862</v>
      </c>
      <c r="D572">
        <v>45869</v>
      </c>
      <c r="E572">
        <v>3.5</v>
      </c>
      <c r="F572">
        <v>3.5</v>
      </c>
      <c r="G572">
        <v>20</v>
      </c>
      <c r="H572">
        <v>4</v>
      </c>
      <c r="I572">
        <v>0.58333333333333337</v>
      </c>
      <c r="J572" t="s">
        <v>50</v>
      </c>
      <c r="K572">
        <v>0</v>
      </c>
      <c r="L572" s="17">
        <f t="shared" ca="1" si="16"/>
        <v>46209</v>
      </c>
      <c r="M572" s="6" t="str">
        <f t="shared" ca="1" si="17"/>
        <v>06/07/yyyy a 12/07/yyyy</v>
      </c>
    </row>
    <row r="573" spans="1:13" x14ac:dyDescent="0.3">
      <c r="A573" t="s">
        <v>17</v>
      </c>
      <c r="B573" t="s">
        <v>27</v>
      </c>
      <c r="C573">
        <v>45862</v>
      </c>
      <c r="D573">
        <v>45869</v>
      </c>
      <c r="E573">
        <v>3.5</v>
      </c>
      <c r="F573">
        <v>3.5</v>
      </c>
      <c r="G573">
        <v>20</v>
      </c>
      <c r="H573">
        <v>4</v>
      </c>
      <c r="I573">
        <v>0.58333333333333337</v>
      </c>
      <c r="J573" t="s">
        <v>51</v>
      </c>
      <c r="K573">
        <v>0</v>
      </c>
      <c r="L573" s="17">
        <f t="shared" ca="1" si="16"/>
        <v>46216</v>
      </c>
      <c r="M573" s="6" t="str">
        <f t="shared" ca="1" si="17"/>
        <v>13/07/yyyy a 19/07/yyyy</v>
      </c>
    </row>
    <row r="574" spans="1:13" x14ac:dyDescent="0.3">
      <c r="A574" t="s">
        <v>17</v>
      </c>
      <c r="B574" t="s">
        <v>27</v>
      </c>
      <c r="C574">
        <v>45862</v>
      </c>
      <c r="D574">
        <v>45869</v>
      </c>
      <c r="E574">
        <v>3.5</v>
      </c>
      <c r="F574">
        <v>3.5</v>
      </c>
      <c r="G574">
        <v>20</v>
      </c>
      <c r="H574">
        <v>4</v>
      </c>
      <c r="I574">
        <v>0.58333333333333337</v>
      </c>
      <c r="J574" t="s">
        <v>52</v>
      </c>
      <c r="K574">
        <v>0</v>
      </c>
      <c r="L574" s="17">
        <f t="shared" ca="1" si="16"/>
        <v>46223</v>
      </c>
      <c r="M574" s="6" t="str">
        <f t="shared" ca="1" si="17"/>
        <v>20/07/yyyy a 26/07/yyyy</v>
      </c>
    </row>
    <row r="575" spans="1:13" x14ac:dyDescent="0.3">
      <c r="A575" t="s">
        <v>17</v>
      </c>
      <c r="B575" t="s">
        <v>27</v>
      </c>
      <c r="C575">
        <v>45862</v>
      </c>
      <c r="D575">
        <v>45869</v>
      </c>
      <c r="E575">
        <v>3.5</v>
      </c>
      <c r="F575">
        <v>3.5</v>
      </c>
      <c r="G575">
        <v>20</v>
      </c>
      <c r="H575">
        <v>4</v>
      </c>
      <c r="I575">
        <v>0.58333333333333337</v>
      </c>
      <c r="J575" t="s">
        <v>53</v>
      </c>
      <c r="K575">
        <v>0</v>
      </c>
      <c r="L575" s="17">
        <f t="shared" ca="1" si="16"/>
        <v>46167</v>
      </c>
      <c r="M575" s="6" t="str">
        <f t="shared" ca="1" si="17"/>
        <v>25/05/yyyy a 31/05/yyyy</v>
      </c>
    </row>
    <row r="576" spans="1:13" x14ac:dyDescent="0.3">
      <c r="A576" t="s">
        <v>17</v>
      </c>
      <c r="B576" t="s">
        <v>27</v>
      </c>
      <c r="C576">
        <v>45862</v>
      </c>
      <c r="D576">
        <v>45869</v>
      </c>
      <c r="E576">
        <v>3.5</v>
      </c>
      <c r="F576">
        <v>3.5</v>
      </c>
      <c r="G576">
        <v>20</v>
      </c>
      <c r="H576">
        <v>4</v>
      </c>
      <c r="I576">
        <v>0.58333333333333337</v>
      </c>
      <c r="J576" t="s">
        <v>54</v>
      </c>
      <c r="K576">
        <v>0</v>
      </c>
      <c r="L576" s="17">
        <f t="shared" ca="1" si="16"/>
        <v>46167</v>
      </c>
      <c r="M576" s="6" t="str">
        <f t="shared" ca="1" si="17"/>
        <v>25/05/yyyy a 31/05/yyyy</v>
      </c>
    </row>
    <row r="577" spans="1:13" x14ac:dyDescent="0.3">
      <c r="A577" t="s">
        <v>17</v>
      </c>
      <c r="B577" t="s">
        <v>27</v>
      </c>
      <c r="C577">
        <v>45862</v>
      </c>
      <c r="D577">
        <v>45869</v>
      </c>
      <c r="E577">
        <v>3.5</v>
      </c>
      <c r="F577">
        <v>3.5</v>
      </c>
      <c r="G577">
        <v>20</v>
      </c>
      <c r="H577">
        <v>4</v>
      </c>
      <c r="I577">
        <v>0.58333333333333337</v>
      </c>
      <c r="J577" t="s">
        <v>55</v>
      </c>
      <c r="K577">
        <v>0</v>
      </c>
      <c r="L577" s="17">
        <f t="shared" ca="1" si="16"/>
        <v>46167</v>
      </c>
      <c r="M577" s="6" t="str">
        <f t="shared" ca="1" si="17"/>
        <v>25/05/yyyy a 31/05/yyyy</v>
      </c>
    </row>
    <row r="578" spans="1:13" x14ac:dyDescent="0.3">
      <c r="A578" t="s">
        <v>17</v>
      </c>
      <c r="B578" t="s">
        <v>11</v>
      </c>
      <c r="C578">
        <v>45848</v>
      </c>
      <c r="D578">
        <v>45855</v>
      </c>
      <c r="E578">
        <v>6</v>
      </c>
      <c r="F578">
        <v>6</v>
      </c>
      <c r="G578">
        <v>10</v>
      </c>
      <c r="H578">
        <v>2</v>
      </c>
      <c r="I578">
        <v>1</v>
      </c>
      <c r="J578" t="s">
        <v>44</v>
      </c>
      <c r="K578">
        <v>0</v>
      </c>
      <c r="L578" s="17">
        <f t="shared" ref="L578:L641" ca="1" si="18">IFERROR(VLOOKUP(J578,$O$2:$P$13,2),"")</f>
        <v>46167</v>
      </c>
      <c r="M578" s="6" t="str">
        <f t="shared" ref="M578:M641" ca="1" si="19">IFERROR(TEXT(L578,"dd/mm/yyyy")&amp; " a " &amp; (TEXT(L578+6,"dd/mm/yyyy")),"")</f>
        <v>25/05/yyyy a 31/05/yyyy</v>
      </c>
    </row>
    <row r="579" spans="1:13" x14ac:dyDescent="0.3">
      <c r="A579" t="s">
        <v>17</v>
      </c>
      <c r="B579" t="s">
        <v>11</v>
      </c>
      <c r="C579">
        <v>45848</v>
      </c>
      <c r="D579">
        <v>45855</v>
      </c>
      <c r="E579">
        <v>6</v>
      </c>
      <c r="F579">
        <v>6</v>
      </c>
      <c r="G579">
        <v>10</v>
      </c>
      <c r="H579">
        <v>2</v>
      </c>
      <c r="I579">
        <v>1</v>
      </c>
      <c r="J579" t="s">
        <v>45</v>
      </c>
      <c r="K579">
        <v>2</v>
      </c>
      <c r="L579" s="17">
        <f t="shared" ca="1" si="18"/>
        <v>46174</v>
      </c>
      <c r="M579" s="6" t="str">
        <f t="shared" ca="1" si="19"/>
        <v>01/06/yyyy a 07/06/yyyy</v>
      </c>
    </row>
    <row r="580" spans="1:13" x14ac:dyDescent="0.3">
      <c r="A580" t="s">
        <v>17</v>
      </c>
      <c r="B580" t="s">
        <v>11</v>
      </c>
      <c r="C580">
        <v>45848</v>
      </c>
      <c r="D580">
        <v>45855</v>
      </c>
      <c r="E580">
        <v>6</v>
      </c>
      <c r="F580">
        <v>6</v>
      </c>
      <c r="G580">
        <v>10</v>
      </c>
      <c r="H580">
        <v>2</v>
      </c>
      <c r="I580">
        <v>1</v>
      </c>
      <c r="J580" t="s">
        <v>46</v>
      </c>
      <c r="K580">
        <v>4</v>
      </c>
      <c r="L580" s="17">
        <f t="shared" ca="1" si="18"/>
        <v>46181</v>
      </c>
      <c r="M580" s="6" t="str">
        <f t="shared" ca="1" si="19"/>
        <v>08/06/yyyy a 14/06/yyyy</v>
      </c>
    </row>
    <row r="581" spans="1:13" x14ac:dyDescent="0.3">
      <c r="A581" t="s">
        <v>17</v>
      </c>
      <c r="B581" t="s">
        <v>11</v>
      </c>
      <c r="C581">
        <v>45848</v>
      </c>
      <c r="D581">
        <v>45855</v>
      </c>
      <c r="E581">
        <v>6</v>
      </c>
      <c r="F581">
        <v>6</v>
      </c>
      <c r="G581">
        <v>10</v>
      </c>
      <c r="H581">
        <v>2</v>
      </c>
      <c r="I581">
        <v>1</v>
      </c>
      <c r="J581" t="s">
        <v>47</v>
      </c>
      <c r="K581">
        <v>0</v>
      </c>
      <c r="L581" s="17">
        <f t="shared" ca="1" si="18"/>
        <v>46188</v>
      </c>
      <c r="M581" s="6" t="str">
        <f t="shared" ca="1" si="19"/>
        <v>15/06/yyyy a 21/06/yyyy</v>
      </c>
    </row>
    <row r="582" spans="1:13" x14ac:dyDescent="0.3">
      <c r="A582" t="s">
        <v>17</v>
      </c>
      <c r="B582" t="s">
        <v>11</v>
      </c>
      <c r="C582">
        <v>45848</v>
      </c>
      <c r="D582">
        <v>45855</v>
      </c>
      <c r="E582">
        <v>6</v>
      </c>
      <c r="F582">
        <v>6</v>
      </c>
      <c r="G582">
        <v>10</v>
      </c>
      <c r="H582">
        <v>2</v>
      </c>
      <c r="I582">
        <v>1</v>
      </c>
      <c r="J582" t="s">
        <v>48</v>
      </c>
      <c r="K582">
        <v>0</v>
      </c>
      <c r="L582" s="17">
        <f t="shared" ca="1" si="18"/>
        <v>46195</v>
      </c>
      <c r="M582" s="6" t="str">
        <f t="shared" ca="1" si="19"/>
        <v>22/06/yyyy a 28/06/yyyy</v>
      </c>
    </row>
    <row r="583" spans="1:13" x14ac:dyDescent="0.3">
      <c r="A583" t="s">
        <v>17</v>
      </c>
      <c r="B583" t="s">
        <v>11</v>
      </c>
      <c r="C583">
        <v>45848</v>
      </c>
      <c r="D583">
        <v>45855</v>
      </c>
      <c r="E583">
        <v>6</v>
      </c>
      <c r="F583">
        <v>6</v>
      </c>
      <c r="G583">
        <v>10</v>
      </c>
      <c r="H583">
        <v>2</v>
      </c>
      <c r="I583">
        <v>1</v>
      </c>
      <c r="J583" t="s">
        <v>49</v>
      </c>
      <c r="K583">
        <v>0</v>
      </c>
      <c r="L583" s="17">
        <f t="shared" ca="1" si="18"/>
        <v>46202</v>
      </c>
      <c r="M583" s="6" t="str">
        <f t="shared" ca="1" si="19"/>
        <v>29/06/yyyy a 05/07/yyyy</v>
      </c>
    </row>
    <row r="584" spans="1:13" x14ac:dyDescent="0.3">
      <c r="A584" t="s">
        <v>17</v>
      </c>
      <c r="B584" t="s">
        <v>11</v>
      </c>
      <c r="C584">
        <v>45848</v>
      </c>
      <c r="D584">
        <v>45855</v>
      </c>
      <c r="E584">
        <v>6</v>
      </c>
      <c r="F584">
        <v>6</v>
      </c>
      <c r="G584">
        <v>10</v>
      </c>
      <c r="H584">
        <v>2</v>
      </c>
      <c r="I584">
        <v>1</v>
      </c>
      <c r="J584" t="s">
        <v>50</v>
      </c>
      <c r="K584">
        <v>0</v>
      </c>
      <c r="L584" s="17">
        <f t="shared" ca="1" si="18"/>
        <v>46209</v>
      </c>
      <c r="M584" s="6" t="str">
        <f t="shared" ca="1" si="19"/>
        <v>06/07/yyyy a 12/07/yyyy</v>
      </c>
    </row>
    <row r="585" spans="1:13" x14ac:dyDescent="0.3">
      <c r="A585" t="s">
        <v>17</v>
      </c>
      <c r="B585" t="s">
        <v>11</v>
      </c>
      <c r="C585">
        <v>45848</v>
      </c>
      <c r="D585">
        <v>45855</v>
      </c>
      <c r="E585">
        <v>6</v>
      </c>
      <c r="F585">
        <v>6</v>
      </c>
      <c r="G585">
        <v>10</v>
      </c>
      <c r="H585">
        <v>2</v>
      </c>
      <c r="I585">
        <v>1</v>
      </c>
      <c r="J585" t="s">
        <v>51</v>
      </c>
      <c r="K585">
        <v>0</v>
      </c>
      <c r="L585" s="17">
        <f t="shared" ca="1" si="18"/>
        <v>46216</v>
      </c>
      <c r="M585" s="6" t="str">
        <f t="shared" ca="1" si="19"/>
        <v>13/07/yyyy a 19/07/yyyy</v>
      </c>
    </row>
    <row r="586" spans="1:13" x14ac:dyDescent="0.3">
      <c r="A586" t="s">
        <v>17</v>
      </c>
      <c r="B586" t="s">
        <v>11</v>
      </c>
      <c r="C586">
        <v>45848</v>
      </c>
      <c r="D586">
        <v>45855</v>
      </c>
      <c r="E586">
        <v>6</v>
      </c>
      <c r="F586">
        <v>6</v>
      </c>
      <c r="G586">
        <v>10</v>
      </c>
      <c r="H586">
        <v>2</v>
      </c>
      <c r="I586">
        <v>1</v>
      </c>
      <c r="J586" t="s">
        <v>52</v>
      </c>
      <c r="K586">
        <v>0</v>
      </c>
      <c r="L586" s="17">
        <f t="shared" ca="1" si="18"/>
        <v>46223</v>
      </c>
      <c r="M586" s="6" t="str">
        <f t="shared" ca="1" si="19"/>
        <v>20/07/yyyy a 26/07/yyyy</v>
      </c>
    </row>
    <row r="587" spans="1:13" x14ac:dyDescent="0.3">
      <c r="A587" t="s">
        <v>17</v>
      </c>
      <c r="B587" t="s">
        <v>11</v>
      </c>
      <c r="C587">
        <v>45848</v>
      </c>
      <c r="D587">
        <v>45855</v>
      </c>
      <c r="E587">
        <v>6</v>
      </c>
      <c r="F587">
        <v>6</v>
      </c>
      <c r="G587">
        <v>10</v>
      </c>
      <c r="H587">
        <v>2</v>
      </c>
      <c r="I587">
        <v>1</v>
      </c>
      <c r="J587" t="s">
        <v>53</v>
      </c>
      <c r="K587">
        <v>0</v>
      </c>
      <c r="L587" s="17">
        <f t="shared" ca="1" si="18"/>
        <v>46167</v>
      </c>
      <c r="M587" s="6" t="str">
        <f t="shared" ca="1" si="19"/>
        <v>25/05/yyyy a 31/05/yyyy</v>
      </c>
    </row>
    <row r="588" spans="1:13" x14ac:dyDescent="0.3">
      <c r="A588" t="s">
        <v>17</v>
      </c>
      <c r="B588" t="s">
        <v>11</v>
      </c>
      <c r="C588">
        <v>45848</v>
      </c>
      <c r="D588">
        <v>45855</v>
      </c>
      <c r="E588">
        <v>6</v>
      </c>
      <c r="F588">
        <v>6</v>
      </c>
      <c r="G588">
        <v>10</v>
      </c>
      <c r="H588">
        <v>2</v>
      </c>
      <c r="I588">
        <v>1</v>
      </c>
      <c r="J588" t="s">
        <v>54</v>
      </c>
      <c r="K588">
        <v>0</v>
      </c>
      <c r="L588" s="17">
        <f t="shared" ca="1" si="18"/>
        <v>46167</v>
      </c>
      <c r="M588" s="6" t="str">
        <f t="shared" ca="1" si="19"/>
        <v>25/05/yyyy a 31/05/yyyy</v>
      </c>
    </row>
    <row r="589" spans="1:13" x14ac:dyDescent="0.3">
      <c r="A589" t="s">
        <v>17</v>
      </c>
      <c r="B589" t="s">
        <v>11</v>
      </c>
      <c r="C589">
        <v>45848</v>
      </c>
      <c r="D589">
        <v>45855</v>
      </c>
      <c r="E589">
        <v>6</v>
      </c>
      <c r="F589">
        <v>6</v>
      </c>
      <c r="G589">
        <v>10</v>
      </c>
      <c r="H589">
        <v>2</v>
      </c>
      <c r="I589">
        <v>1</v>
      </c>
      <c r="J589" t="s">
        <v>55</v>
      </c>
      <c r="K589">
        <v>0</v>
      </c>
      <c r="L589" s="17">
        <f t="shared" ca="1" si="18"/>
        <v>46167</v>
      </c>
      <c r="M589" s="6" t="str">
        <f t="shared" ca="1" si="19"/>
        <v>25/05/yyyy a 31/05/yyyy</v>
      </c>
    </row>
    <row r="590" spans="1:13" x14ac:dyDescent="0.3">
      <c r="A590" t="s">
        <v>17</v>
      </c>
      <c r="B590" t="s">
        <v>16</v>
      </c>
      <c r="C590">
        <v>45848</v>
      </c>
      <c r="D590">
        <v>45855</v>
      </c>
      <c r="E590">
        <v>2.5</v>
      </c>
      <c r="F590">
        <v>2.5</v>
      </c>
      <c r="G590">
        <v>10</v>
      </c>
      <c r="H590">
        <v>2</v>
      </c>
      <c r="I590">
        <v>0.41666666666666669</v>
      </c>
      <c r="J590" t="s">
        <v>44</v>
      </c>
      <c r="K590">
        <v>0</v>
      </c>
      <c r="L590" s="17">
        <f t="shared" ca="1" si="18"/>
        <v>46167</v>
      </c>
      <c r="M590" s="6" t="str">
        <f t="shared" ca="1" si="19"/>
        <v>25/05/yyyy a 31/05/yyyy</v>
      </c>
    </row>
    <row r="591" spans="1:13" x14ac:dyDescent="0.3">
      <c r="A591" t="s">
        <v>17</v>
      </c>
      <c r="B591" t="s">
        <v>16</v>
      </c>
      <c r="C591">
        <v>45848</v>
      </c>
      <c r="D591">
        <v>45855</v>
      </c>
      <c r="E591">
        <v>2.5</v>
      </c>
      <c r="F591">
        <v>2.5</v>
      </c>
      <c r="G591">
        <v>10</v>
      </c>
      <c r="H591">
        <v>2</v>
      </c>
      <c r="I591">
        <v>0.41666666666666669</v>
      </c>
      <c r="J591" t="s">
        <v>45</v>
      </c>
      <c r="K591">
        <v>0.83333333333333348</v>
      </c>
      <c r="L591" s="17">
        <f t="shared" ca="1" si="18"/>
        <v>46174</v>
      </c>
      <c r="M591" s="6" t="str">
        <f t="shared" ca="1" si="19"/>
        <v>01/06/yyyy a 07/06/yyyy</v>
      </c>
    </row>
    <row r="592" spans="1:13" x14ac:dyDescent="0.3">
      <c r="A592" t="s">
        <v>17</v>
      </c>
      <c r="B592" t="s">
        <v>16</v>
      </c>
      <c r="C592">
        <v>45848</v>
      </c>
      <c r="D592">
        <v>45855</v>
      </c>
      <c r="E592">
        <v>2.5</v>
      </c>
      <c r="F592">
        <v>2.5</v>
      </c>
      <c r="G592">
        <v>10</v>
      </c>
      <c r="H592">
        <v>2</v>
      </c>
      <c r="I592">
        <v>0.41666666666666669</v>
      </c>
      <c r="J592" t="s">
        <v>46</v>
      </c>
      <c r="K592">
        <v>1.6666666666666667</v>
      </c>
      <c r="L592" s="17">
        <f t="shared" ca="1" si="18"/>
        <v>46181</v>
      </c>
      <c r="M592" s="6" t="str">
        <f t="shared" ca="1" si="19"/>
        <v>08/06/yyyy a 14/06/yyyy</v>
      </c>
    </row>
    <row r="593" spans="1:13" x14ac:dyDescent="0.3">
      <c r="A593" t="s">
        <v>17</v>
      </c>
      <c r="B593" t="s">
        <v>16</v>
      </c>
      <c r="C593">
        <v>45848</v>
      </c>
      <c r="D593">
        <v>45855</v>
      </c>
      <c r="E593">
        <v>2.5</v>
      </c>
      <c r="F593">
        <v>2.5</v>
      </c>
      <c r="G593">
        <v>10</v>
      </c>
      <c r="H593">
        <v>2</v>
      </c>
      <c r="I593">
        <v>0.41666666666666669</v>
      </c>
      <c r="J593" t="s">
        <v>47</v>
      </c>
      <c r="K593">
        <v>0</v>
      </c>
      <c r="L593" s="17">
        <f t="shared" ca="1" si="18"/>
        <v>46188</v>
      </c>
      <c r="M593" s="6" t="str">
        <f t="shared" ca="1" si="19"/>
        <v>15/06/yyyy a 21/06/yyyy</v>
      </c>
    </row>
    <row r="594" spans="1:13" x14ac:dyDescent="0.3">
      <c r="A594" t="s">
        <v>17</v>
      </c>
      <c r="B594" t="s">
        <v>16</v>
      </c>
      <c r="C594">
        <v>45848</v>
      </c>
      <c r="D594">
        <v>45855</v>
      </c>
      <c r="E594">
        <v>2.5</v>
      </c>
      <c r="F594">
        <v>2.5</v>
      </c>
      <c r="G594">
        <v>10</v>
      </c>
      <c r="H594">
        <v>2</v>
      </c>
      <c r="I594">
        <v>0.41666666666666669</v>
      </c>
      <c r="J594" t="s">
        <v>48</v>
      </c>
      <c r="K594">
        <v>0</v>
      </c>
      <c r="L594" s="17">
        <f t="shared" ca="1" si="18"/>
        <v>46195</v>
      </c>
      <c r="M594" s="6" t="str">
        <f t="shared" ca="1" si="19"/>
        <v>22/06/yyyy a 28/06/yyyy</v>
      </c>
    </row>
    <row r="595" spans="1:13" x14ac:dyDescent="0.3">
      <c r="A595" t="s">
        <v>17</v>
      </c>
      <c r="B595" t="s">
        <v>16</v>
      </c>
      <c r="C595">
        <v>45848</v>
      </c>
      <c r="D595">
        <v>45855</v>
      </c>
      <c r="E595">
        <v>2.5</v>
      </c>
      <c r="F595">
        <v>2.5</v>
      </c>
      <c r="G595">
        <v>10</v>
      </c>
      <c r="H595">
        <v>2</v>
      </c>
      <c r="I595">
        <v>0.41666666666666669</v>
      </c>
      <c r="J595" t="s">
        <v>49</v>
      </c>
      <c r="K595">
        <v>0</v>
      </c>
      <c r="L595" s="17">
        <f t="shared" ca="1" si="18"/>
        <v>46202</v>
      </c>
      <c r="M595" s="6" t="str">
        <f t="shared" ca="1" si="19"/>
        <v>29/06/yyyy a 05/07/yyyy</v>
      </c>
    </row>
    <row r="596" spans="1:13" x14ac:dyDescent="0.3">
      <c r="A596" t="s">
        <v>17</v>
      </c>
      <c r="B596" t="s">
        <v>16</v>
      </c>
      <c r="C596">
        <v>45848</v>
      </c>
      <c r="D596">
        <v>45855</v>
      </c>
      <c r="E596">
        <v>2.5</v>
      </c>
      <c r="F596">
        <v>2.5</v>
      </c>
      <c r="G596">
        <v>10</v>
      </c>
      <c r="H596">
        <v>2</v>
      </c>
      <c r="I596">
        <v>0.41666666666666669</v>
      </c>
      <c r="J596" t="s">
        <v>50</v>
      </c>
      <c r="K596">
        <v>0</v>
      </c>
      <c r="L596" s="17">
        <f t="shared" ca="1" si="18"/>
        <v>46209</v>
      </c>
      <c r="M596" s="6" t="str">
        <f t="shared" ca="1" si="19"/>
        <v>06/07/yyyy a 12/07/yyyy</v>
      </c>
    </row>
    <row r="597" spans="1:13" x14ac:dyDescent="0.3">
      <c r="A597" t="s">
        <v>17</v>
      </c>
      <c r="B597" t="s">
        <v>16</v>
      </c>
      <c r="C597">
        <v>45848</v>
      </c>
      <c r="D597">
        <v>45855</v>
      </c>
      <c r="E597">
        <v>2.5</v>
      </c>
      <c r="F597">
        <v>2.5</v>
      </c>
      <c r="G597">
        <v>10</v>
      </c>
      <c r="H597">
        <v>2</v>
      </c>
      <c r="I597">
        <v>0.41666666666666669</v>
      </c>
      <c r="J597" t="s">
        <v>51</v>
      </c>
      <c r="K597">
        <v>0</v>
      </c>
      <c r="L597" s="17">
        <f t="shared" ca="1" si="18"/>
        <v>46216</v>
      </c>
      <c r="M597" s="6" t="str">
        <f t="shared" ca="1" si="19"/>
        <v>13/07/yyyy a 19/07/yyyy</v>
      </c>
    </row>
    <row r="598" spans="1:13" x14ac:dyDescent="0.3">
      <c r="A598" t="s">
        <v>17</v>
      </c>
      <c r="B598" t="s">
        <v>16</v>
      </c>
      <c r="C598">
        <v>45848</v>
      </c>
      <c r="D598">
        <v>45855</v>
      </c>
      <c r="E598">
        <v>2.5</v>
      </c>
      <c r="F598">
        <v>2.5</v>
      </c>
      <c r="G598">
        <v>10</v>
      </c>
      <c r="H598">
        <v>2</v>
      </c>
      <c r="I598">
        <v>0.41666666666666669</v>
      </c>
      <c r="J598" t="s">
        <v>52</v>
      </c>
      <c r="K598">
        <v>0</v>
      </c>
      <c r="L598" s="17">
        <f t="shared" ca="1" si="18"/>
        <v>46223</v>
      </c>
      <c r="M598" s="6" t="str">
        <f t="shared" ca="1" si="19"/>
        <v>20/07/yyyy a 26/07/yyyy</v>
      </c>
    </row>
    <row r="599" spans="1:13" x14ac:dyDescent="0.3">
      <c r="A599" t="s">
        <v>17</v>
      </c>
      <c r="B599" t="s">
        <v>16</v>
      </c>
      <c r="C599">
        <v>45848</v>
      </c>
      <c r="D599">
        <v>45855</v>
      </c>
      <c r="E599">
        <v>2.5</v>
      </c>
      <c r="F599">
        <v>2.5</v>
      </c>
      <c r="G599">
        <v>10</v>
      </c>
      <c r="H599">
        <v>2</v>
      </c>
      <c r="I599">
        <v>0.41666666666666669</v>
      </c>
      <c r="J599" t="s">
        <v>53</v>
      </c>
      <c r="K599">
        <v>0</v>
      </c>
      <c r="L599" s="17">
        <f t="shared" ca="1" si="18"/>
        <v>46167</v>
      </c>
      <c r="M599" s="6" t="str">
        <f t="shared" ca="1" si="19"/>
        <v>25/05/yyyy a 31/05/yyyy</v>
      </c>
    </row>
    <row r="600" spans="1:13" x14ac:dyDescent="0.3">
      <c r="A600" t="s">
        <v>17</v>
      </c>
      <c r="B600" t="s">
        <v>16</v>
      </c>
      <c r="C600">
        <v>45848</v>
      </c>
      <c r="D600">
        <v>45855</v>
      </c>
      <c r="E600">
        <v>2.5</v>
      </c>
      <c r="F600">
        <v>2.5</v>
      </c>
      <c r="G600">
        <v>10</v>
      </c>
      <c r="H600">
        <v>2</v>
      </c>
      <c r="I600">
        <v>0.41666666666666669</v>
      </c>
      <c r="J600" t="s">
        <v>54</v>
      </c>
      <c r="K600">
        <v>0</v>
      </c>
      <c r="L600" s="17">
        <f t="shared" ca="1" si="18"/>
        <v>46167</v>
      </c>
      <c r="M600" s="6" t="str">
        <f t="shared" ca="1" si="19"/>
        <v>25/05/yyyy a 31/05/yyyy</v>
      </c>
    </row>
    <row r="601" spans="1:13" x14ac:dyDescent="0.3">
      <c r="A601" t="s">
        <v>17</v>
      </c>
      <c r="B601" t="s">
        <v>16</v>
      </c>
      <c r="C601">
        <v>45848</v>
      </c>
      <c r="D601">
        <v>45855</v>
      </c>
      <c r="E601">
        <v>2.5</v>
      </c>
      <c r="F601">
        <v>2.5</v>
      </c>
      <c r="G601">
        <v>10</v>
      </c>
      <c r="H601">
        <v>2</v>
      </c>
      <c r="I601">
        <v>0.41666666666666669</v>
      </c>
      <c r="J601" t="s">
        <v>55</v>
      </c>
      <c r="K601">
        <v>0</v>
      </c>
      <c r="L601" s="17">
        <f t="shared" ca="1" si="18"/>
        <v>46167</v>
      </c>
      <c r="M601" s="6" t="str">
        <f t="shared" ca="1" si="19"/>
        <v>25/05/yyyy a 31/05/yyyy</v>
      </c>
    </row>
    <row r="602" spans="1:13" x14ac:dyDescent="0.3">
      <c r="A602" t="s">
        <v>17</v>
      </c>
      <c r="B602" t="s">
        <v>20</v>
      </c>
      <c r="C602">
        <v>45848</v>
      </c>
      <c r="D602">
        <v>45855</v>
      </c>
      <c r="E602">
        <v>9</v>
      </c>
      <c r="F602">
        <v>9</v>
      </c>
      <c r="G602">
        <v>10</v>
      </c>
      <c r="H602">
        <v>2</v>
      </c>
      <c r="I602">
        <v>1.5</v>
      </c>
      <c r="J602" t="s">
        <v>44</v>
      </c>
      <c r="K602">
        <v>0</v>
      </c>
      <c r="L602" s="17">
        <f t="shared" ca="1" si="18"/>
        <v>46167</v>
      </c>
      <c r="M602" s="6" t="str">
        <f t="shared" ca="1" si="19"/>
        <v>25/05/yyyy a 31/05/yyyy</v>
      </c>
    </row>
    <row r="603" spans="1:13" x14ac:dyDescent="0.3">
      <c r="A603" t="s">
        <v>17</v>
      </c>
      <c r="B603" t="s">
        <v>20</v>
      </c>
      <c r="C603">
        <v>45848</v>
      </c>
      <c r="D603">
        <v>45855</v>
      </c>
      <c r="E603">
        <v>9</v>
      </c>
      <c r="F603">
        <v>9</v>
      </c>
      <c r="G603">
        <v>10</v>
      </c>
      <c r="H603">
        <v>2</v>
      </c>
      <c r="I603">
        <v>1.5</v>
      </c>
      <c r="J603" t="s">
        <v>45</v>
      </c>
      <c r="K603">
        <v>3</v>
      </c>
      <c r="L603" s="17">
        <f t="shared" ca="1" si="18"/>
        <v>46174</v>
      </c>
      <c r="M603" s="6" t="str">
        <f t="shared" ca="1" si="19"/>
        <v>01/06/yyyy a 07/06/yyyy</v>
      </c>
    </row>
    <row r="604" spans="1:13" x14ac:dyDescent="0.3">
      <c r="A604" t="s">
        <v>17</v>
      </c>
      <c r="B604" t="s">
        <v>20</v>
      </c>
      <c r="C604">
        <v>45848</v>
      </c>
      <c r="D604">
        <v>45855</v>
      </c>
      <c r="E604">
        <v>9</v>
      </c>
      <c r="F604">
        <v>9</v>
      </c>
      <c r="G604">
        <v>10</v>
      </c>
      <c r="H604">
        <v>2</v>
      </c>
      <c r="I604">
        <v>1.5</v>
      </c>
      <c r="J604" t="s">
        <v>46</v>
      </c>
      <c r="K604">
        <v>6</v>
      </c>
      <c r="L604" s="17">
        <f t="shared" ca="1" si="18"/>
        <v>46181</v>
      </c>
      <c r="M604" s="6" t="str">
        <f t="shared" ca="1" si="19"/>
        <v>08/06/yyyy a 14/06/yyyy</v>
      </c>
    </row>
    <row r="605" spans="1:13" x14ac:dyDescent="0.3">
      <c r="A605" t="s">
        <v>17</v>
      </c>
      <c r="B605" t="s">
        <v>20</v>
      </c>
      <c r="C605">
        <v>45848</v>
      </c>
      <c r="D605">
        <v>45855</v>
      </c>
      <c r="E605">
        <v>9</v>
      </c>
      <c r="F605">
        <v>9</v>
      </c>
      <c r="G605">
        <v>10</v>
      </c>
      <c r="H605">
        <v>2</v>
      </c>
      <c r="I605">
        <v>1.5</v>
      </c>
      <c r="J605" t="s">
        <v>47</v>
      </c>
      <c r="K605">
        <v>0</v>
      </c>
      <c r="L605" s="17">
        <f t="shared" ca="1" si="18"/>
        <v>46188</v>
      </c>
      <c r="M605" s="6" t="str">
        <f t="shared" ca="1" si="19"/>
        <v>15/06/yyyy a 21/06/yyyy</v>
      </c>
    </row>
    <row r="606" spans="1:13" x14ac:dyDescent="0.3">
      <c r="A606" t="s">
        <v>17</v>
      </c>
      <c r="B606" t="s">
        <v>20</v>
      </c>
      <c r="C606">
        <v>45848</v>
      </c>
      <c r="D606">
        <v>45855</v>
      </c>
      <c r="E606">
        <v>9</v>
      </c>
      <c r="F606">
        <v>9</v>
      </c>
      <c r="G606">
        <v>10</v>
      </c>
      <c r="H606">
        <v>2</v>
      </c>
      <c r="I606">
        <v>1.5</v>
      </c>
      <c r="J606" t="s">
        <v>48</v>
      </c>
      <c r="K606">
        <v>0</v>
      </c>
      <c r="L606" s="17">
        <f t="shared" ca="1" si="18"/>
        <v>46195</v>
      </c>
      <c r="M606" s="6" t="str">
        <f t="shared" ca="1" si="19"/>
        <v>22/06/yyyy a 28/06/yyyy</v>
      </c>
    </row>
    <row r="607" spans="1:13" x14ac:dyDescent="0.3">
      <c r="A607" t="s">
        <v>17</v>
      </c>
      <c r="B607" t="s">
        <v>20</v>
      </c>
      <c r="C607">
        <v>45848</v>
      </c>
      <c r="D607">
        <v>45855</v>
      </c>
      <c r="E607">
        <v>9</v>
      </c>
      <c r="F607">
        <v>9</v>
      </c>
      <c r="G607">
        <v>10</v>
      </c>
      <c r="H607">
        <v>2</v>
      </c>
      <c r="I607">
        <v>1.5</v>
      </c>
      <c r="J607" t="s">
        <v>49</v>
      </c>
      <c r="K607">
        <v>0</v>
      </c>
      <c r="L607" s="17">
        <f t="shared" ca="1" si="18"/>
        <v>46202</v>
      </c>
      <c r="M607" s="6" t="str">
        <f t="shared" ca="1" si="19"/>
        <v>29/06/yyyy a 05/07/yyyy</v>
      </c>
    </row>
    <row r="608" spans="1:13" x14ac:dyDescent="0.3">
      <c r="A608" t="s">
        <v>17</v>
      </c>
      <c r="B608" t="s">
        <v>20</v>
      </c>
      <c r="C608">
        <v>45848</v>
      </c>
      <c r="D608">
        <v>45855</v>
      </c>
      <c r="E608">
        <v>9</v>
      </c>
      <c r="F608">
        <v>9</v>
      </c>
      <c r="G608">
        <v>10</v>
      </c>
      <c r="H608">
        <v>2</v>
      </c>
      <c r="I608">
        <v>1.5</v>
      </c>
      <c r="J608" t="s">
        <v>50</v>
      </c>
      <c r="K608">
        <v>0</v>
      </c>
      <c r="L608" s="17">
        <f t="shared" ca="1" si="18"/>
        <v>46209</v>
      </c>
      <c r="M608" s="6" t="str">
        <f t="shared" ca="1" si="19"/>
        <v>06/07/yyyy a 12/07/yyyy</v>
      </c>
    </row>
    <row r="609" spans="1:13" x14ac:dyDescent="0.3">
      <c r="A609" t="s">
        <v>17</v>
      </c>
      <c r="B609" t="s">
        <v>20</v>
      </c>
      <c r="C609">
        <v>45848</v>
      </c>
      <c r="D609">
        <v>45855</v>
      </c>
      <c r="E609">
        <v>9</v>
      </c>
      <c r="F609">
        <v>9</v>
      </c>
      <c r="G609">
        <v>10</v>
      </c>
      <c r="H609">
        <v>2</v>
      </c>
      <c r="I609">
        <v>1.5</v>
      </c>
      <c r="J609" t="s">
        <v>51</v>
      </c>
      <c r="K609">
        <v>0</v>
      </c>
      <c r="L609" s="17">
        <f t="shared" ca="1" si="18"/>
        <v>46216</v>
      </c>
      <c r="M609" s="6" t="str">
        <f t="shared" ca="1" si="19"/>
        <v>13/07/yyyy a 19/07/yyyy</v>
      </c>
    </row>
    <row r="610" spans="1:13" x14ac:dyDescent="0.3">
      <c r="A610" t="s">
        <v>17</v>
      </c>
      <c r="B610" t="s">
        <v>20</v>
      </c>
      <c r="C610">
        <v>45848</v>
      </c>
      <c r="D610">
        <v>45855</v>
      </c>
      <c r="E610">
        <v>9</v>
      </c>
      <c r="F610">
        <v>9</v>
      </c>
      <c r="G610">
        <v>10</v>
      </c>
      <c r="H610">
        <v>2</v>
      </c>
      <c r="I610">
        <v>1.5</v>
      </c>
      <c r="J610" t="s">
        <v>52</v>
      </c>
      <c r="K610">
        <v>0</v>
      </c>
      <c r="L610" s="17">
        <f t="shared" ca="1" si="18"/>
        <v>46223</v>
      </c>
      <c r="M610" s="6" t="str">
        <f t="shared" ca="1" si="19"/>
        <v>20/07/yyyy a 26/07/yyyy</v>
      </c>
    </row>
    <row r="611" spans="1:13" x14ac:dyDescent="0.3">
      <c r="A611" t="s">
        <v>17</v>
      </c>
      <c r="B611" t="s">
        <v>20</v>
      </c>
      <c r="C611">
        <v>45848</v>
      </c>
      <c r="D611">
        <v>45855</v>
      </c>
      <c r="E611">
        <v>9</v>
      </c>
      <c r="F611">
        <v>9</v>
      </c>
      <c r="G611">
        <v>10</v>
      </c>
      <c r="H611">
        <v>2</v>
      </c>
      <c r="I611">
        <v>1.5</v>
      </c>
      <c r="J611" t="s">
        <v>53</v>
      </c>
      <c r="K611">
        <v>0</v>
      </c>
      <c r="L611" s="17">
        <f t="shared" ca="1" si="18"/>
        <v>46167</v>
      </c>
      <c r="M611" s="6" t="str">
        <f t="shared" ca="1" si="19"/>
        <v>25/05/yyyy a 31/05/yyyy</v>
      </c>
    </row>
    <row r="612" spans="1:13" x14ac:dyDescent="0.3">
      <c r="A612" t="s">
        <v>17</v>
      </c>
      <c r="B612" t="s">
        <v>20</v>
      </c>
      <c r="C612">
        <v>45848</v>
      </c>
      <c r="D612">
        <v>45855</v>
      </c>
      <c r="E612">
        <v>9</v>
      </c>
      <c r="F612">
        <v>9</v>
      </c>
      <c r="G612">
        <v>10</v>
      </c>
      <c r="H612">
        <v>2</v>
      </c>
      <c r="I612">
        <v>1.5</v>
      </c>
      <c r="J612" t="s">
        <v>54</v>
      </c>
      <c r="K612">
        <v>0</v>
      </c>
      <c r="L612" s="17">
        <f t="shared" ca="1" si="18"/>
        <v>46167</v>
      </c>
      <c r="M612" s="6" t="str">
        <f t="shared" ca="1" si="19"/>
        <v>25/05/yyyy a 31/05/yyyy</v>
      </c>
    </row>
    <row r="613" spans="1:13" x14ac:dyDescent="0.3">
      <c r="A613" t="s">
        <v>17</v>
      </c>
      <c r="B613" t="s">
        <v>20</v>
      </c>
      <c r="C613">
        <v>45848</v>
      </c>
      <c r="D613">
        <v>45855</v>
      </c>
      <c r="E613">
        <v>9</v>
      </c>
      <c r="F613">
        <v>9</v>
      </c>
      <c r="G613">
        <v>10</v>
      </c>
      <c r="H613">
        <v>2</v>
      </c>
      <c r="I613">
        <v>1.5</v>
      </c>
      <c r="J613" t="s">
        <v>55</v>
      </c>
      <c r="K613">
        <v>0</v>
      </c>
      <c r="L613" s="17">
        <f t="shared" ca="1" si="18"/>
        <v>46167</v>
      </c>
      <c r="M613" s="6" t="str">
        <f t="shared" ca="1" si="19"/>
        <v>25/05/yyyy a 31/05/yyyy</v>
      </c>
    </row>
    <row r="614" spans="1:13" x14ac:dyDescent="0.3">
      <c r="A614" t="s">
        <v>17</v>
      </c>
      <c r="B614" t="s">
        <v>22</v>
      </c>
      <c r="C614">
        <v>45862</v>
      </c>
      <c r="D614">
        <v>45869</v>
      </c>
      <c r="E614">
        <v>3</v>
      </c>
      <c r="F614">
        <v>3</v>
      </c>
      <c r="G614">
        <v>20</v>
      </c>
      <c r="H614">
        <v>4</v>
      </c>
      <c r="I614">
        <v>0.5</v>
      </c>
      <c r="J614" t="s">
        <v>44</v>
      </c>
      <c r="K614">
        <v>0</v>
      </c>
      <c r="L614" s="17">
        <f t="shared" ca="1" si="18"/>
        <v>46167</v>
      </c>
      <c r="M614" s="6" t="str">
        <f t="shared" ca="1" si="19"/>
        <v>25/05/yyyy a 31/05/yyyy</v>
      </c>
    </row>
    <row r="615" spans="1:13" x14ac:dyDescent="0.3">
      <c r="A615" t="s">
        <v>17</v>
      </c>
      <c r="B615" t="s">
        <v>22</v>
      </c>
      <c r="C615">
        <v>45862</v>
      </c>
      <c r="D615">
        <v>45869</v>
      </c>
      <c r="E615">
        <v>3</v>
      </c>
      <c r="F615">
        <v>3</v>
      </c>
      <c r="G615">
        <v>20</v>
      </c>
      <c r="H615">
        <v>4</v>
      </c>
      <c r="I615">
        <v>0.5</v>
      </c>
      <c r="J615" t="s">
        <v>45</v>
      </c>
      <c r="K615">
        <v>0</v>
      </c>
      <c r="L615" s="17">
        <f t="shared" ca="1" si="18"/>
        <v>46174</v>
      </c>
      <c r="M615" s="6" t="str">
        <f t="shared" ca="1" si="19"/>
        <v>01/06/yyyy a 07/06/yyyy</v>
      </c>
    </row>
    <row r="616" spans="1:13" x14ac:dyDescent="0.3">
      <c r="A616" t="s">
        <v>17</v>
      </c>
      <c r="B616" t="s">
        <v>22</v>
      </c>
      <c r="C616">
        <v>45862</v>
      </c>
      <c r="D616">
        <v>45869</v>
      </c>
      <c r="E616">
        <v>3</v>
      </c>
      <c r="F616">
        <v>3</v>
      </c>
      <c r="G616">
        <v>20</v>
      </c>
      <c r="H616">
        <v>4</v>
      </c>
      <c r="I616">
        <v>0.5</v>
      </c>
      <c r="J616" t="s">
        <v>46</v>
      </c>
      <c r="K616">
        <v>0</v>
      </c>
      <c r="L616" s="17">
        <f t="shared" ca="1" si="18"/>
        <v>46181</v>
      </c>
      <c r="M616" s="6" t="str">
        <f t="shared" ca="1" si="19"/>
        <v>08/06/yyyy a 14/06/yyyy</v>
      </c>
    </row>
    <row r="617" spans="1:13" x14ac:dyDescent="0.3">
      <c r="A617" t="s">
        <v>17</v>
      </c>
      <c r="B617" t="s">
        <v>22</v>
      </c>
      <c r="C617">
        <v>45862</v>
      </c>
      <c r="D617">
        <v>45869</v>
      </c>
      <c r="E617">
        <v>3</v>
      </c>
      <c r="F617">
        <v>3</v>
      </c>
      <c r="G617">
        <v>20</v>
      </c>
      <c r="H617">
        <v>4</v>
      </c>
      <c r="I617">
        <v>0.5</v>
      </c>
      <c r="J617" t="s">
        <v>47</v>
      </c>
      <c r="K617">
        <v>1</v>
      </c>
      <c r="L617" s="17">
        <f t="shared" ca="1" si="18"/>
        <v>46188</v>
      </c>
      <c r="M617" s="6" t="str">
        <f t="shared" ca="1" si="19"/>
        <v>15/06/yyyy a 21/06/yyyy</v>
      </c>
    </row>
    <row r="618" spans="1:13" x14ac:dyDescent="0.3">
      <c r="A618" t="s">
        <v>17</v>
      </c>
      <c r="B618" t="s">
        <v>22</v>
      </c>
      <c r="C618">
        <v>45862</v>
      </c>
      <c r="D618">
        <v>45869</v>
      </c>
      <c r="E618">
        <v>3</v>
      </c>
      <c r="F618">
        <v>3</v>
      </c>
      <c r="G618">
        <v>20</v>
      </c>
      <c r="H618">
        <v>4</v>
      </c>
      <c r="I618">
        <v>0.5</v>
      </c>
      <c r="J618" t="s">
        <v>48</v>
      </c>
      <c r="K618">
        <v>2</v>
      </c>
      <c r="L618" s="17">
        <f t="shared" ca="1" si="18"/>
        <v>46195</v>
      </c>
      <c r="M618" s="6" t="str">
        <f t="shared" ca="1" si="19"/>
        <v>22/06/yyyy a 28/06/yyyy</v>
      </c>
    </row>
    <row r="619" spans="1:13" x14ac:dyDescent="0.3">
      <c r="A619" t="s">
        <v>17</v>
      </c>
      <c r="B619" t="s">
        <v>22</v>
      </c>
      <c r="C619">
        <v>45862</v>
      </c>
      <c r="D619">
        <v>45869</v>
      </c>
      <c r="E619">
        <v>3</v>
      </c>
      <c r="F619">
        <v>3</v>
      </c>
      <c r="G619">
        <v>20</v>
      </c>
      <c r="H619">
        <v>4</v>
      </c>
      <c r="I619">
        <v>0.5</v>
      </c>
      <c r="J619" t="s">
        <v>49</v>
      </c>
      <c r="K619">
        <v>0</v>
      </c>
      <c r="L619" s="17">
        <f t="shared" ca="1" si="18"/>
        <v>46202</v>
      </c>
      <c r="M619" s="6" t="str">
        <f t="shared" ca="1" si="19"/>
        <v>29/06/yyyy a 05/07/yyyy</v>
      </c>
    </row>
    <row r="620" spans="1:13" x14ac:dyDescent="0.3">
      <c r="A620" t="s">
        <v>17</v>
      </c>
      <c r="B620" t="s">
        <v>22</v>
      </c>
      <c r="C620">
        <v>45862</v>
      </c>
      <c r="D620">
        <v>45869</v>
      </c>
      <c r="E620">
        <v>3</v>
      </c>
      <c r="F620">
        <v>3</v>
      </c>
      <c r="G620">
        <v>20</v>
      </c>
      <c r="H620">
        <v>4</v>
      </c>
      <c r="I620">
        <v>0.5</v>
      </c>
      <c r="J620" t="s">
        <v>50</v>
      </c>
      <c r="K620">
        <v>0</v>
      </c>
      <c r="L620" s="17">
        <f t="shared" ca="1" si="18"/>
        <v>46209</v>
      </c>
      <c r="M620" s="6" t="str">
        <f t="shared" ca="1" si="19"/>
        <v>06/07/yyyy a 12/07/yyyy</v>
      </c>
    </row>
    <row r="621" spans="1:13" x14ac:dyDescent="0.3">
      <c r="A621" t="s">
        <v>17</v>
      </c>
      <c r="B621" t="s">
        <v>22</v>
      </c>
      <c r="C621">
        <v>45862</v>
      </c>
      <c r="D621">
        <v>45869</v>
      </c>
      <c r="E621">
        <v>3</v>
      </c>
      <c r="F621">
        <v>3</v>
      </c>
      <c r="G621">
        <v>20</v>
      </c>
      <c r="H621">
        <v>4</v>
      </c>
      <c r="I621">
        <v>0.5</v>
      </c>
      <c r="J621" t="s">
        <v>51</v>
      </c>
      <c r="K621">
        <v>0</v>
      </c>
      <c r="L621" s="17">
        <f t="shared" ca="1" si="18"/>
        <v>46216</v>
      </c>
      <c r="M621" s="6" t="str">
        <f t="shared" ca="1" si="19"/>
        <v>13/07/yyyy a 19/07/yyyy</v>
      </c>
    </row>
    <row r="622" spans="1:13" x14ac:dyDescent="0.3">
      <c r="A622" t="s">
        <v>17</v>
      </c>
      <c r="B622" t="s">
        <v>22</v>
      </c>
      <c r="C622">
        <v>45862</v>
      </c>
      <c r="D622">
        <v>45869</v>
      </c>
      <c r="E622">
        <v>3</v>
      </c>
      <c r="F622">
        <v>3</v>
      </c>
      <c r="G622">
        <v>20</v>
      </c>
      <c r="H622">
        <v>4</v>
      </c>
      <c r="I622">
        <v>0.5</v>
      </c>
      <c r="J622" t="s">
        <v>52</v>
      </c>
      <c r="K622">
        <v>0</v>
      </c>
      <c r="L622" s="17">
        <f t="shared" ca="1" si="18"/>
        <v>46223</v>
      </c>
      <c r="M622" s="6" t="str">
        <f t="shared" ca="1" si="19"/>
        <v>20/07/yyyy a 26/07/yyyy</v>
      </c>
    </row>
    <row r="623" spans="1:13" x14ac:dyDescent="0.3">
      <c r="A623" t="s">
        <v>17</v>
      </c>
      <c r="B623" t="s">
        <v>22</v>
      </c>
      <c r="C623">
        <v>45862</v>
      </c>
      <c r="D623">
        <v>45869</v>
      </c>
      <c r="E623">
        <v>3</v>
      </c>
      <c r="F623">
        <v>3</v>
      </c>
      <c r="G623">
        <v>20</v>
      </c>
      <c r="H623">
        <v>4</v>
      </c>
      <c r="I623">
        <v>0.5</v>
      </c>
      <c r="J623" t="s">
        <v>53</v>
      </c>
      <c r="K623">
        <v>0</v>
      </c>
      <c r="L623" s="17">
        <f t="shared" ca="1" si="18"/>
        <v>46167</v>
      </c>
      <c r="M623" s="6" t="str">
        <f t="shared" ca="1" si="19"/>
        <v>25/05/yyyy a 31/05/yyyy</v>
      </c>
    </row>
    <row r="624" spans="1:13" x14ac:dyDescent="0.3">
      <c r="A624" t="s">
        <v>17</v>
      </c>
      <c r="B624" t="s">
        <v>22</v>
      </c>
      <c r="C624">
        <v>45862</v>
      </c>
      <c r="D624">
        <v>45869</v>
      </c>
      <c r="E624">
        <v>3</v>
      </c>
      <c r="F624">
        <v>3</v>
      </c>
      <c r="G624">
        <v>20</v>
      </c>
      <c r="H624">
        <v>4</v>
      </c>
      <c r="I624">
        <v>0.5</v>
      </c>
      <c r="J624" t="s">
        <v>54</v>
      </c>
      <c r="K624">
        <v>0</v>
      </c>
      <c r="L624" s="17">
        <f t="shared" ca="1" si="18"/>
        <v>46167</v>
      </c>
      <c r="M624" s="6" t="str">
        <f t="shared" ca="1" si="19"/>
        <v>25/05/yyyy a 31/05/yyyy</v>
      </c>
    </row>
    <row r="625" spans="1:13" x14ac:dyDescent="0.3">
      <c r="A625" t="s">
        <v>17</v>
      </c>
      <c r="B625" t="s">
        <v>22</v>
      </c>
      <c r="C625">
        <v>45862</v>
      </c>
      <c r="D625">
        <v>45869</v>
      </c>
      <c r="E625">
        <v>3</v>
      </c>
      <c r="F625">
        <v>3</v>
      </c>
      <c r="G625">
        <v>20</v>
      </c>
      <c r="H625">
        <v>4</v>
      </c>
      <c r="I625">
        <v>0.5</v>
      </c>
      <c r="J625" t="s">
        <v>55</v>
      </c>
      <c r="K625">
        <v>0</v>
      </c>
      <c r="L625" s="17">
        <f t="shared" ca="1" si="18"/>
        <v>46167</v>
      </c>
      <c r="M625" s="6" t="str">
        <f t="shared" ca="1" si="19"/>
        <v>25/05/yyyy a 31/05/yyyy</v>
      </c>
    </row>
    <row r="626" spans="1:13" x14ac:dyDescent="0.3">
      <c r="A626" t="s">
        <v>26</v>
      </c>
      <c r="B626" t="s">
        <v>27</v>
      </c>
      <c r="C626">
        <v>45841</v>
      </c>
      <c r="D626">
        <v>45849</v>
      </c>
      <c r="E626">
        <v>3.5</v>
      </c>
      <c r="F626">
        <v>2</v>
      </c>
      <c r="G626">
        <v>6</v>
      </c>
      <c r="H626">
        <v>1.2</v>
      </c>
      <c r="I626">
        <v>0.5</v>
      </c>
      <c r="J626" t="s">
        <v>44</v>
      </c>
      <c r="K626">
        <v>0</v>
      </c>
      <c r="L626" s="17">
        <f t="shared" ca="1" si="18"/>
        <v>46167</v>
      </c>
      <c r="M626" s="6" t="str">
        <f t="shared" ca="1" si="19"/>
        <v>25/05/yyyy a 31/05/yyyy</v>
      </c>
    </row>
    <row r="627" spans="1:13" x14ac:dyDescent="0.3">
      <c r="A627" t="s">
        <v>26</v>
      </c>
      <c r="B627" t="s">
        <v>27</v>
      </c>
      <c r="C627">
        <v>45841</v>
      </c>
      <c r="D627">
        <v>45849</v>
      </c>
      <c r="E627">
        <v>3.5</v>
      </c>
      <c r="F627">
        <v>2</v>
      </c>
      <c r="G627">
        <v>6</v>
      </c>
      <c r="H627">
        <v>1.2</v>
      </c>
      <c r="I627">
        <v>0.5</v>
      </c>
      <c r="J627" t="s">
        <v>45</v>
      </c>
      <c r="K627">
        <v>2.5</v>
      </c>
      <c r="L627" s="17">
        <f t="shared" ca="1" si="18"/>
        <v>46174</v>
      </c>
      <c r="M627" s="6" t="str">
        <f t="shared" ca="1" si="19"/>
        <v>01/06/yyyy a 07/06/yyyy</v>
      </c>
    </row>
    <row r="628" spans="1:13" x14ac:dyDescent="0.3">
      <c r="A628" t="s">
        <v>26</v>
      </c>
      <c r="B628" t="s">
        <v>27</v>
      </c>
      <c r="C628">
        <v>45841</v>
      </c>
      <c r="D628">
        <v>45849</v>
      </c>
      <c r="E628">
        <v>3.5</v>
      </c>
      <c r="F628">
        <v>2</v>
      </c>
      <c r="G628">
        <v>6</v>
      </c>
      <c r="H628">
        <v>1.2</v>
      </c>
      <c r="I628">
        <v>0.5</v>
      </c>
      <c r="J628" t="s">
        <v>46</v>
      </c>
      <c r="K628">
        <v>0</v>
      </c>
      <c r="L628" s="17">
        <f t="shared" ca="1" si="18"/>
        <v>46181</v>
      </c>
      <c r="M628" s="6" t="str">
        <f t="shared" ca="1" si="19"/>
        <v>08/06/yyyy a 14/06/yyyy</v>
      </c>
    </row>
    <row r="629" spans="1:13" x14ac:dyDescent="0.3">
      <c r="A629" t="s">
        <v>26</v>
      </c>
      <c r="B629" t="s">
        <v>27</v>
      </c>
      <c r="C629">
        <v>45841</v>
      </c>
      <c r="D629">
        <v>45849</v>
      </c>
      <c r="E629">
        <v>3.5</v>
      </c>
      <c r="F629">
        <v>2</v>
      </c>
      <c r="G629">
        <v>6</v>
      </c>
      <c r="H629">
        <v>1.2</v>
      </c>
      <c r="I629">
        <v>0.5</v>
      </c>
      <c r="J629" t="s">
        <v>47</v>
      </c>
      <c r="K629">
        <v>0</v>
      </c>
      <c r="L629" s="17">
        <f t="shared" ca="1" si="18"/>
        <v>46188</v>
      </c>
      <c r="M629" s="6" t="str">
        <f t="shared" ca="1" si="19"/>
        <v>15/06/yyyy a 21/06/yyyy</v>
      </c>
    </row>
    <row r="630" spans="1:13" x14ac:dyDescent="0.3">
      <c r="A630" t="s">
        <v>26</v>
      </c>
      <c r="B630" t="s">
        <v>27</v>
      </c>
      <c r="C630">
        <v>45841</v>
      </c>
      <c r="D630">
        <v>45849</v>
      </c>
      <c r="E630">
        <v>3.5</v>
      </c>
      <c r="F630">
        <v>2</v>
      </c>
      <c r="G630">
        <v>6</v>
      </c>
      <c r="H630">
        <v>1.2</v>
      </c>
      <c r="I630">
        <v>0.5</v>
      </c>
      <c r="J630" t="s">
        <v>48</v>
      </c>
      <c r="K630">
        <v>0</v>
      </c>
      <c r="L630" s="17">
        <f t="shared" ca="1" si="18"/>
        <v>46195</v>
      </c>
      <c r="M630" s="6" t="str">
        <f t="shared" ca="1" si="19"/>
        <v>22/06/yyyy a 28/06/yyyy</v>
      </c>
    </row>
    <row r="631" spans="1:13" x14ac:dyDescent="0.3">
      <c r="A631" t="s">
        <v>26</v>
      </c>
      <c r="B631" t="s">
        <v>27</v>
      </c>
      <c r="C631">
        <v>45841</v>
      </c>
      <c r="D631">
        <v>45849</v>
      </c>
      <c r="E631">
        <v>3.5</v>
      </c>
      <c r="F631">
        <v>2</v>
      </c>
      <c r="G631">
        <v>6</v>
      </c>
      <c r="H631">
        <v>1.2</v>
      </c>
      <c r="I631">
        <v>0.5</v>
      </c>
      <c r="J631" t="s">
        <v>49</v>
      </c>
      <c r="K631">
        <v>0</v>
      </c>
      <c r="L631" s="17">
        <f t="shared" ca="1" si="18"/>
        <v>46202</v>
      </c>
      <c r="M631" s="6" t="str">
        <f t="shared" ca="1" si="19"/>
        <v>29/06/yyyy a 05/07/yyyy</v>
      </c>
    </row>
    <row r="632" spans="1:13" x14ac:dyDescent="0.3">
      <c r="A632" t="s">
        <v>26</v>
      </c>
      <c r="B632" t="s">
        <v>27</v>
      </c>
      <c r="C632">
        <v>45841</v>
      </c>
      <c r="D632">
        <v>45849</v>
      </c>
      <c r="E632">
        <v>3.5</v>
      </c>
      <c r="F632">
        <v>2</v>
      </c>
      <c r="G632">
        <v>6</v>
      </c>
      <c r="H632">
        <v>1.2</v>
      </c>
      <c r="I632">
        <v>0.5</v>
      </c>
      <c r="J632" t="s">
        <v>50</v>
      </c>
      <c r="K632">
        <v>0</v>
      </c>
      <c r="L632" s="17">
        <f t="shared" ca="1" si="18"/>
        <v>46209</v>
      </c>
      <c r="M632" s="6" t="str">
        <f t="shared" ca="1" si="19"/>
        <v>06/07/yyyy a 12/07/yyyy</v>
      </c>
    </row>
    <row r="633" spans="1:13" x14ac:dyDescent="0.3">
      <c r="A633" t="s">
        <v>26</v>
      </c>
      <c r="B633" t="s">
        <v>27</v>
      </c>
      <c r="C633">
        <v>45841</v>
      </c>
      <c r="D633">
        <v>45849</v>
      </c>
      <c r="E633">
        <v>3.5</v>
      </c>
      <c r="F633">
        <v>2</v>
      </c>
      <c r="G633">
        <v>6</v>
      </c>
      <c r="H633">
        <v>1.2</v>
      </c>
      <c r="I633">
        <v>0.5</v>
      </c>
      <c r="J633" t="s">
        <v>51</v>
      </c>
      <c r="K633">
        <v>0</v>
      </c>
      <c r="L633" s="17">
        <f t="shared" ca="1" si="18"/>
        <v>46216</v>
      </c>
      <c r="M633" s="6" t="str">
        <f t="shared" ca="1" si="19"/>
        <v>13/07/yyyy a 19/07/yyyy</v>
      </c>
    </row>
    <row r="634" spans="1:13" x14ac:dyDescent="0.3">
      <c r="A634" t="s">
        <v>26</v>
      </c>
      <c r="B634" t="s">
        <v>27</v>
      </c>
      <c r="C634">
        <v>45841</v>
      </c>
      <c r="D634">
        <v>45849</v>
      </c>
      <c r="E634">
        <v>3.5</v>
      </c>
      <c r="F634">
        <v>2</v>
      </c>
      <c r="G634">
        <v>6</v>
      </c>
      <c r="H634">
        <v>1.2</v>
      </c>
      <c r="I634">
        <v>0.5</v>
      </c>
      <c r="J634" t="s">
        <v>52</v>
      </c>
      <c r="K634">
        <v>0</v>
      </c>
      <c r="L634" s="17">
        <f t="shared" ca="1" si="18"/>
        <v>46223</v>
      </c>
      <c r="M634" s="6" t="str">
        <f t="shared" ca="1" si="19"/>
        <v>20/07/yyyy a 26/07/yyyy</v>
      </c>
    </row>
    <row r="635" spans="1:13" x14ac:dyDescent="0.3">
      <c r="A635" t="s">
        <v>26</v>
      </c>
      <c r="B635" t="s">
        <v>27</v>
      </c>
      <c r="C635">
        <v>45841</v>
      </c>
      <c r="D635">
        <v>45849</v>
      </c>
      <c r="E635">
        <v>3.5</v>
      </c>
      <c r="F635">
        <v>2</v>
      </c>
      <c r="G635">
        <v>6</v>
      </c>
      <c r="H635">
        <v>1.2</v>
      </c>
      <c r="I635">
        <v>0.5</v>
      </c>
      <c r="J635" t="s">
        <v>53</v>
      </c>
      <c r="K635">
        <v>0</v>
      </c>
      <c r="L635" s="17">
        <f t="shared" ca="1" si="18"/>
        <v>46167</v>
      </c>
      <c r="M635" s="6" t="str">
        <f t="shared" ca="1" si="19"/>
        <v>25/05/yyyy a 31/05/yyyy</v>
      </c>
    </row>
    <row r="636" spans="1:13" x14ac:dyDescent="0.3">
      <c r="A636" t="s">
        <v>26</v>
      </c>
      <c r="B636" t="s">
        <v>27</v>
      </c>
      <c r="C636">
        <v>45841</v>
      </c>
      <c r="D636">
        <v>45849</v>
      </c>
      <c r="E636">
        <v>3.5</v>
      </c>
      <c r="F636">
        <v>2</v>
      </c>
      <c r="G636">
        <v>6</v>
      </c>
      <c r="H636">
        <v>1.2</v>
      </c>
      <c r="I636">
        <v>0.5</v>
      </c>
      <c r="J636" t="s">
        <v>54</v>
      </c>
      <c r="K636">
        <v>0</v>
      </c>
      <c r="L636" s="17">
        <f t="shared" ca="1" si="18"/>
        <v>46167</v>
      </c>
      <c r="M636" s="6" t="str">
        <f t="shared" ca="1" si="19"/>
        <v>25/05/yyyy a 31/05/yyyy</v>
      </c>
    </row>
    <row r="637" spans="1:13" x14ac:dyDescent="0.3">
      <c r="A637" t="s">
        <v>26</v>
      </c>
      <c r="B637" t="s">
        <v>27</v>
      </c>
      <c r="C637">
        <v>45841</v>
      </c>
      <c r="D637">
        <v>45849</v>
      </c>
      <c r="E637">
        <v>3.5</v>
      </c>
      <c r="F637">
        <v>2</v>
      </c>
      <c r="G637">
        <v>6</v>
      </c>
      <c r="H637">
        <v>1.2</v>
      </c>
      <c r="I637">
        <v>0.5</v>
      </c>
      <c r="J637" t="s">
        <v>55</v>
      </c>
      <c r="K637">
        <v>0</v>
      </c>
      <c r="L637" s="17">
        <f t="shared" ca="1" si="18"/>
        <v>46167</v>
      </c>
      <c r="M637" s="6" t="str">
        <f t="shared" ca="1" si="19"/>
        <v>25/05/yyyy a 31/05/yyyy</v>
      </c>
    </row>
    <row r="638" spans="1:13" x14ac:dyDescent="0.3">
      <c r="A638" t="s">
        <v>26</v>
      </c>
      <c r="B638" t="s">
        <v>18</v>
      </c>
      <c r="C638">
        <v>45841</v>
      </c>
      <c r="D638">
        <v>45849</v>
      </c>
      <c r="E638">
        <v>3</v>
      </c>
      <c r="F638">
        <v>1.7142857142857144</v>
      </c>
      <c r="G638">
        <v>6</v>
      </c>
      <c r="H638">
        <v>1.2</v>
      </c>
      <c r="I638">
        <v>0.42857142857142855</v>
      </c>
      <c r="J638" t="s">
        <v>44</v>
      </c>
      <c r="K638">
        <v>1.1102230246251565E-16</v>
      </c>
      <c r="L638" s="17">
        <f t="shared" ca="1" si="18"/>
        <v>46167</v>
      </c>
      <c r="M638" s="6" t="str">
        <f t="shared" ca="1" si="19"/>
        <v>25/05/yyyy a 31/05/yyyy</v>
      </c>
    </row>
    <row r="639" spans="1:13" x14ac:dyDescent="0.3">
      <c r="A639" t="s">
        <v>26</v>
      </c>
      <c r="B639" t="s">
        <v>18</v>
      </c>
      <c r="C639">
        <v>45841</v>
      </c>
      <c r="D639">
        <v>45849</v>
      </c>
      <c r="E639">
        <v>3</v>
      </c>
      <c r="F639">
        <v>1.7142857142857144</v>
      </c>
      <c r="G639">
        <v>6</v>
      </c>
      <c r="H639">
        <v>1.2</v>
      </c>
      <c r="I639">
        <v>0.42857142857142855</v>
      </c>
      <c r="J639" t="s">
        <v>45</v>
      </c>
      <c r="K639">
        <v>2.1428571428571428</v>
      </c>
      <c r="L639" s="17">
        <f t="shared" ca="1" si="18"/>
        <v>46174</v>
      </c>
      <c r="M639" s="6" t="str">
        <f t="shared" ca="1" si="19"/>
        <v>01/06/yyyy a 07/06/yyyy</v>
      </c>
    </row>
    <row r="640" spans="1:13" x14ac:dyDescent="0.3">
      <c r="A640" t="s">
        <v>26</v>
      </c>
      <c r="B640" t="s">
        <v>18</v>
      </c>
      <c r="C640">
        <v>45841</v>
      </c>
      <c r="D640">
        <v>45849</v>
      </c>
      <c r="E640">
        <v>3</v>
      </c>
      <c r="F640">
        <v>1.7142857142857144</v>
      </c>
      <c r="G640">
        <v>6</v>
      </c>
      <c r="H640">
        <v>1.2</v>
      </c>
      <c r="I640">
        <v>0.42857142857142855</v>
      </c>
      <c r="J640" t="s">
        <v>46</v>
      </c>
      <c r="K640">
        <v>0</v>
      </c>
      <c r="L640" s="17">
        <f t="shared" ca="1" si="18"/>
        <v>46181</v>
      </c>
      <c r="M640" s="6" t="str">
        <f t="shared" ca="1" si="19"/>
        <v>08/06/yyyy a 14/06/yyyy</v>
      </c>
    </row>
    <row r="641" spans="1:13" x14ac:dyDescent="0.3">
      <c r="A641" t="s">
        <v>26</v>
      </c>
      <c r="B641" t="s">
        <v>18</v>
      </c>
      <c r="C641">
        <v>45841</v>
      </c>
      <c r="D641">
        <v>45849</v>
      </c>
      <c r="E641">
        <v>3</v>
      </c>
      <c r="F641">
        <v>1.7142857142857144</v>
      </c>
      <c r="G641">
        <v>6</v>
      </c>
      <c r="H641">
        <v>1.2</v>
      </c>
      <c r="I641">
        <v>0.42857142857142855</v>
      </c>
      <c r="J641" t="s">
        <v>47</v>
      </c>
      <c r="K641">
        <v>0</v>
      </c>
      <c r="L641" s="17">
        <f t="shared" ca="1" si="18"/>
        <v>46188</v>
      </c>
      <c r="M641" s="6" t="str">
        <f t="shared" ca="1" si="19"/>
        <v>15/06/yyyy a 21/06/yyyy</v>
      </c>
    </row>
    <row r="642" spans="1:13" x14ac:dyDescent="0.3">
      <c r="A642" t="s">
        <v>26</v>
      </c>
      <c r="B642" t="s">
        <v>18</v>
      </c>
      <c r="C642">
        <v>45841</v>
      </c>
      <c r="D642">
        <v>45849</v>
      </c>
      <c r="E642">
        <v>3</v>
      </c>
      <c r="F642">
        <v>1.7142857142857144</v>
      </c>
      <c r="G642">
        <v>6</v>
      </c>
      <c r="H642">
        <v>1.2</v>
      </c>
      <c r="I642">
        <v>0.42857142857142855</v>
      </c>
      <c r="J642" t="s">
        <v>48</v>
      </c>
      <c r="K642">
        <v>0</v>
      </c>
      <c r="L642" s="17">
        <f t="shared" ref="L642:L705" ca="1" si="20">IFERROR(VLOOKUP(J642,$O$2:$P$13,2),"")</f>
        <v>46195</v>
      </c>
      <c r="M642" s="6" t="str">
        <f t="shared" ref="M642:M705" ca="1" si="21">IFERROR(TEXT(L642,"dd/mm/yyyy")&amp; " a " &amp; (TEXT(L642+6,"dd/mm/yyyy")),"")</f>
        <v>22/06/yyyy a 28/06/yyyy</v>
      </c>
    </row>
    <row r="643" spans="1:13" x14ac:dyDescent="0.3">
      <c r="A643" t="s">
        <v>26</v>
      </c>
      <c r="B643" t="s">
        <v>18</v>
      </c>
      <c r="C643">
        <v>45841</v>
      </c>
      <c r="D643">
        <v>45849</v>
      </c>
      <c r="E643">
        <v>3</v>
      </c>
      <c r="F643">
        <v>1.7142857142857144</v>
      </c>
      <c r="G643">
        <v>6</v>
      </c>
      <c r="H643">
        <v>1.2</v>
      </c>
      <c r="I643">
        <v>0.42857142857142855</v>
      </c>
      <c r="J643" t="s">
        <v>49</v>
      </c>
      <c r="K643">
        <v>0</v>
      </c>
      <c r="L643" s="17">
        <f t="shared" ca="1" si="20"/>
        <v>46202</v>
      </c>
      <c r="M643" s="6" t="str">
        <f t="shared" ca="1" si="21"/>
        <v>29/06/yyyy a 05/07/yyyy</v>
      </c>
    </row>
    <row r="644" spans="1:13" x14ac:dyDescent="0.3">
      <c r="A644" t="s">
        <v>26</v>
      </c>
      <c r="B644" t="s">
        <v>18</v>
      </c>
      <c r="C644">
        <v>45841</v>
      </c>
      <c r="D644">
        <v>45849</v>
      </c>
      <c r="E644">
        <v>3</v>
      </c>
      <c r="F644">
        <v>1.7142857142857144</v>
      </c>
      <c r="G644">
        <v>6</v>
      </c>
      <c r="H644">
        <v>1.2</v>
      </c>
      <c r="I644">
        <v>0.42857142857142855</v>
      </c>
      <c r="J644" t="s">
        <v>50</v>
      </c>
      <c r="K644">
        <v>0</v>
      </c>
      <c r="L644" s="17">
        <f t="shared" ca="1" si="20"/>
        <v>46209</v>
      </c>
      <c r="M644" s="6" t="str">
        <f t="shared" ca="1" si="21"/>
        <v>06/07/yyyy a 12/07/yyyy</v>
      </c>
    </row>
    <row r="645" spans="1:13" x14ac:dyDescent="0.3">
      <c r="A645" t="s">
        <v>26</v>
      </c>
      <c r="B645" t="s">
        <v>18</v>
      </c>
      <c r="C645">
        <v>45841</v>
      </c>
      <c r="D645">
        <v>45849</v>
      </c>
      <c r="E645">
        <v>3</v>
      </c>
      <c r="F645">
        <v>1.7142857142857144</v>
      </c>
      <c r="G645">
        <v>6</v>
      </c>
      <c r="H645">
        <v>1.2</v>
      </c>
      <c r="I645">
        <v>0.42857142857142855</v>
      </c>
      <c r="J645" t="s">
        <v>51</v>
      </c>
      <c r="K645">
        <v>0</v>
      </c>
      <c r="L645" s="17">
        <f t="shared" ca="1" si="20"/>
        <v>46216</v>
      </c>
      <c r="M645" s="6" t="str">
        <f t="shared" ca="1" si="21"/>
        <v>13/07/yyyy a 19/07/yyyy</v>
      </c>
    </row>
    <row r="646" spans="1:13" x14ac:dyDescent="0.3">
      <c r="A646" t="s">
        <v>26</v>
      </c>
      <c r="B646" t="s">
        <v>18</v>
      </c>
      <c r="C646">
        <v>45841</v>
      </c>
      <c r="D646">
        <v>45849</v>
      </c>
      <c r="E646">
        <v>3</v>
      </c>
      <c r="F646">
        <v>1.7142857142857144</v>
      </c>
      <c r="G646">
        <v>6</v>
      </c>
      <c r="H646">
        <v>1.2</v>
      </c>
      <c r="I646">
        <v>0.42857142857142855</v>
      </c>
      <c r="J646" t="s">
        <v>52</v>
      </c>
      <c r="K646">
        <v>0</v>
      </c>
      <c r="L646" s="17">
        <f t="shared" ca="1" si="20"/>
        <v>46223</v>
      </c>
      <c r="M646" s="6" t="str">
        <f t="shared" ca="1" si="21"/>
        <v>20/07/yyyy a 26/07/yyyy</v>
      </c>
    </row>
    <row r="647" spans="1:13" x14ac:dyDescent="0.3">
      <c r="A647" t="s">
        <v>26</v>
      </c>
      <c r="B647" t="s">
        <v>18</v>
      </c>
      <c r="C647">
        <v>45841</v>
      </c>
      <c r="D647">
        <v>45849</v>
      </c>
      <c r="E647">
        <v>3</v>
      </c>
      <c r="F647">
        <v>1.7142857142857144</v>
      </c>
      <c r="G647">
        <v>6</v>
      </c>
      <c r="H647">
        <v>1.2</v>
      </c>
      <c r="I647">
        <v>0.42857142857142855</v>
      </c>
      <c r="J647" t="s">
        <v>53</v>
      </c>
      <c r="K647">
        <v>0</v>
      </c>
      <c r="L647" s="17">
        <f t="shared" ca="1" si="20"/>
        <v>46167</v>
      </c>
      <c r="M647" s="6" t="str">
        <f t="shared" ca="1" si="21"/>
        <v>25/05/yyyy a 31/05/yyyy</v>
      </c>
    </row>
    <row r="648" spans="1:13" x14ac:dyDescent="0.3">
      <c r="A648" t="s">
        <v>26</v>
      </c>
      <c r="B648" t="s">
        <v>18</v>
      </c>
      <c r="C648">
        <v>45841</v>
      </c>
      <c r="D648">
        <v>45849</v>
      </c>
      <c r="E648">
        <v>3</v>
      </c>
      <c r="F648">
        <v>1.7142857142857144</v>
      </c>
      <c r="G648">
        <v>6</v>
      </c>
      <c r="H648">
        <v>1.2</v>
      </c>
      <c r="I648">
        <v>0.42857142857142855</v>
      </c>
      <c r="J648" t="s">
        <v>54</v>
      </c>
      <c r="K648">
        <v>0</v>
      </c>
      <c r="L648" s="17">
        <f t="shared" ca="1" si="20"/>
        <v>46167</v>
      </c>
      <c r="M648" s="6" t="str">
        <f t="shared" ca="1" si="21"/>
        <v>25/05/yyyy a 31/05/yyyy</v>
      </c>
    </row>
    <row r="649" spans="1:13" x14ac:dyDescent="0.3">
      <c r="A649" t="s">
        <v>26</v>
      </c>
      <c r="B649" t="s">
        <v>18</v>
      </c>
      <c r="C649">
        <v>45841</v>
      </c>
      <c r="D649">
        <v>45849</v>
      </c>
      <c r="E649">
        <v>3</v>
      </c>
      <c r="F649">
        <v>1.7142857142857144</v>
      </c>
      <c r="G649">
        <v>6</v>
      </c>
      <c r="H649">
        <v>1.2</v>
      </c>
      <c r="I649">
        <v>0.42857142857142855</v>
      </c>
      <c r="J649" t="s">
        <v>55</v>
      </c>
      <c r="K649">
        <v>0</v>
      </c>
      <c r="L649" s="17">
        <f t="shared" ca="1" si="20"/>
        <v>46167</v>
      </c>
      <c r="M649" s="6" t="str">
        <f t="shared" ca="1" si="21"/>
        <v>25/05/yyyy a 31/05/yyyy</v>
      </c>
    </row>
    <row r="650" spans="1:13" x14ac:dyDescent="0.3">
      <c r="A650" t="s">
        <v>26</v>
      </c>
      <c r="B650" t="s">
        <v>27</v>
      </c>
      <c r="C650">
        <v>45855</v>
      </c>
      <c r="D650">
        <v>45863</v>
      </c>
      <c r="E650">
        <v>3.5</v>
      </c>
      <c r="F650">
        <v>3.5</v>
      </c>
      <c r="G650">
        <v>16</v>
      </c>
      <c r="H650">
        <v>3.2</v>
      </c>
      <c r="I650">
        <v>0.5</v>
      </c>
      <c r="J650" t="s">
        <v>44</v>
      </c>
      <c r="K650">
        <v>0</v>
      </c>
      <c r="L650" s="17">
        <f t="shared" ca="1" si="20"/>
        <v>46167</v>
      </c>
      <c r="M650" s="6" t="str">
        <f t="shared" ca="1" si="21"/>
        <v>25/05/yyyy a 31/05/yyyy</v>
      </c>
    </row>
    <row r="651" spans="1:13" x14ac:dyDescent="0.3">
      <c r="A651" t="s">
        <v>26</v>
      </c>
      <c r="B651" t="s">
        <v>27</v>
      </c>
      <c r="C651">
        <v>45855</v>
      </c>
      <c r="D651">
        <v>45863</v>
      </c>
      <c r="E651">
        <v>3.5</v>
      </c>
      <c r="F651">
        <v>3.5</v>
      </c>
      <c r="G651">
        <v>16</v>
      </c>
      <c r="H651">
        <v>3.2</v>
      </c>
      <c r="I651">
        <v>0.5</v>
      </c>
      <c r="J651" t="s">
        <v>45</v>
      </c>
      <c r="K651">
        <v>0</v>
      </c>
      <c r="L651" s="17">
        <f t="shared" ca="1" si="20"/>
        <v>46174</v>
      </c>
      <c r="M651" s="6" t="str">
        <f t="shared" ca="1" si="21"/>
        <v>01/06/yyyy a 07/06/yyyy</v>
      </c>
    </row>
    <row r="652" spans="1:13" x14ac:dyDescent="0.3">
      <c r="A652" t="s">
        <v>26</v>
      </c>
      <c r="B652" t="s">
        <v>27</v>
      </c>
      <c r="C652">
        <v>45855</v>
      </c>
      <c r="D652">
        <v>45863</v>
      </c>
      <c r="E652">
        <v>3.5</v>
      </c>
      <c r="F652">
        <v>3.5</v>
      </c>
      <c r="G652">
        <v>16</v>
      </c>
      <c r="H652">
        <v>3.2</v>
      </c>
      <c r="I652">
        <v>0.5</v>
      </c>
      <c r="J652" t="s">
        <v>46</v>
      </c>
      <c r="K652">
        <v>1</v>
      </c>
      <c r="L652" s="17">
        <f t="shared" ca="1" si="20"/>
        <v>46181</v>
      </c>
      <c r="M652" s="6" t="str">
        <f t="shared" ca="1" si="21"/>
        <v>08/06/yyyy a 14/06/yyyy</v>
      </c>
    </row>
    <row r="653" spans="1:13" x14ac:dyDescent="0.3">
      <c r="A653" t="s">
        <v>26</v>
      </c>
      <c r="B653" t="s">
        <v>27</v>
      </c>
      <c r="C653">
        <v>45855</v>
      </c>
      <c r="D653">
        <v>45863</v>
      </c>
      <c r="E653">
        <v>3.5</v>
      </c>
      <c r="F653">
        <v>3.5</v>
      </c>
      <c r="G653">
        <v>16</v>
      </c>
      <c r="H653">
        <v>3.2</v>
      </c>
      <c r="I653">
        <v>0.5</v>
      </c>
      <c r="J653" t="s">
        <v>47</v>
      </c>
      <c r="K653">
        <v>2.5</v>
      </c>
      <c r="L653" s="17">
        <f t="shared" ca="1" si="20"/>
        <v>46188</v>
      </c>
      <c r="M653" s="6" t="str">
        <f t="shared" ca="1" si="21"/>
        <v>15/06/yyyy a 21/06/yyyy</v>
      </c>
    </row>
    <row r="654" spans="1:13" x14ac:dyDescent="0.3">
      <c r="A654" t="s">
        <v>26</v>
      </c>
      <c r="B654" t="s">
        <v>27</v>
      </c>
      <c r="C654">
        <v>45855</v>
      </c>
      <c r="D654">
        <v>45863</v>
      </c>
      <c r="E654">
        <v>3.5</v>
      </c>
      <c r="F654">
        <v>3.5</v>
      </c>
      <c r="G654">
        <v>16</v>
      </c>
      <c r="H654">
        <v>3.2</v>
      </c>
      <c r="I654">
        <v>0.5</v>
      </c>
      <c r="J654" t="s">
        <v>48</v>
      </c>
      <c r="K654">
        <v>0</v>
      </c>
      <c r="L654" s="17">
        <f t="shared" ca="1" si="20"/>
        <v>46195</v>
      </c>
      <c r="M654" s="6" t="str">
        <f t="shared" ca="1" si="21"/>
        <v>22/06/yyyy a 28/06/yyyy</v>
      </c>
    </row>
    <row r="655" spans="1:13" x14ac:dyDescent="0.3">
      <c r="A655" t="s">
        <v>26</v>
      </c>
      <c r="B655" t="s">
        <v>27</v>
      </c>
      <c r="C655">
        <v>45855</v>
      </c>
      <c r="D655">
        <v>45863</v>
      </c>
      <c r="E655">
        <v>3.5</v>
      </c>
      <c r="F655">
        <v>3.5</v>
      </c>
      <c r="G655">
        <v>16</v>
      </c>
      <c r="H655">
        <v>3.2</v>
      </c>
      <c r="I655">
        <v>0.5</v>
      </c>
      <c r="J655" t="s">
        <v>49</v>
      </c>
      <c r="K655">
        <v>0</v>
      </c>
      <c r="L655" s="17">
        <f t="shared" ca="1" si="20"/>
        <v>46202</v>
      </c>
      <c r="M655" s="6" t="str">
        <f t="shared" ca="1" si="21"/>
        <v>29/06/yyyy a 05/07/yyyy</v>
      </c>
    </row>
    <row r="656" spans="1:13" x14ac:dyDescent="0.3">
      <c r="A656" t="s">
        <v>26</v>
      </c>
      <c r="B656" t="s">
        <v>27</v>
      </c>
      <c r="C656">
        <v>45855</v>
      </c>
      <c r="D656">
        <v>45863</v>
      </c>
      <c r="E656">
        <v>3.5</v>
      </c>
      <c r="F656">
        <v>3.5</v>
      </c>
      <c r="G656">
        <v>16</v>
      </c>
      <c r="H656">
        <v>3.2</v>
      </c>
      <c r="I656">
        <v>0.5</v>
      </c>
      <c r="J656" t="s">
        <v>50</v>
      </c>
      <c r="K656">
        <v>0</v>
      </c>
      <c r="L656" s="17">
        <f t="shared" ca="1" si="20"/>
        <v>46209</v>
      </c>
      <c r="M656" s="6" t="str">
        <f t="shared" ca="1" si="21"/>
        <v>06/07/yyyy a 12/07/yyyy</v>
      </c>
    </row>
    <row r="657" spans="1:13" x14ac:dyDescent="0.3">
      <c r="A657" t="s">
        <v>26</v>
      </c>
      <c r="B657" t="s">
        <v>27</v>
      </c>
      <c r="C657">
        <v>45855</v>
      </c>
      <c r="D657">
        <v>45863</v>
      </c>
      <c r="E657">
        <v>3.5</v>
      </c>
      <c r="F657">
        <v>3.5</v>
      </c>
      <c r="G657">
        <v>16</v>
      </c>
      <c r="H657">
        <v>3.2</v>
      </c>
      <c r="I657">
        <v>0.5</v>
      </c>
      <c r="J657" t="s">
        <v>51</v>
      </c>
      <c r="K657">
        <v>0</v>
      </c>
      <c r="L657" s="17">
        <f t="shared" ca="1" si="20"/>
        <v>46216</v>
      </c>
      <c r="M657" s="6" t="str">
        <f t="shared" ca="1" si="21"/>
        <v>13/07/yyyy a 19/07/yyyy</v>
      </c>
    </row>
    <row r="658" spans="1:13" x14ac:dyDescent="0.3">
      <c r="A658" t="s">
        <v>26</v>
      </c>
      <c r="B658" t="s">
        <v>27</v>
      </c>
      <c r="C658">
        <v>45855</v>
      </c>
      <c r="D658">
        <v>45863</v>
      </c>
      <c r="E658">
        <v>3.5</v>
      </c>
      <c r="F658">
        <v>3.5</v>
      </c>
      <c r="G658">
        <v>16</v>
      </c>
      <c r="H658">
        <v>3.2</v>
      </c>
      <c r="I658">
        <v>0.5</v>
      </c>
      <c r="J658" t="s">
        <v>52</v>
      </c>
      <c r="K658">
        <v>0</v>
      </c>
      <c r="L658" s="17">
        <f t="shared" ca="1" si="20"/>
        <v>46223</v>
      </c>
      <c r="M658" s="6" t="str">
        <f t="shared" ca="1" si="21"/>
        <v>20/07/yyyy a 26/07/yyyy</v>
      </c>
    </row>
    <row r="659" spans="1:13" x14ac:dyDescent="0.3">
      <c r="A659" t="s">
        <v>26</v>
      </c>
      <c r="B659" t="s">
        <v>27</v>
      </c>
      <c r="C659">
        <v>45855</v>
      </c>
      <c r="D659">
        <v>45863</v>
      </c>
      <c r="E659">
        <v>3.5</v>
      </c>
      <c r="F659">
        <v>3.5</v>
      </c>
      <c r="G659">
        <v>16</v>
      </c>
      <c r="H659">
        <v>3.2</v>
      </c>
      <c r="I659">
        <v>0.5</v>
      </c>
      <c r="J659" t="s">
        <v>53</v>
      </c>
      <c r="K659">
        <v>0</v>
      </c>
      <c r="L659" s="17">
        <f t="shared" ca="1" si="20"/>
        <v>46167</v>
      </c>
      <c r="M659" s="6" t="str">
        <f t="shared" ca="1" si="21"/>
        <v>25/05/yyyy a 31/05/yyyy</v>
      </c>
    </row>
    <row r="660" spans="1:13" x14ac:dyDescent="0.3">
      <c r="A660" t="s">
        <v>26</v>
      </c>
      <c r="B660" t="s">
        <v>27</v>
      </c>
      <c r="C660">
        <v>45855</v>
      </c>
      <c r="D660">
        <v>45863</v>
      </c>
      <c r="E660">
        <v>3.5</v>
      </c>
      <c r="F660">
        <v>3.5</v>
      </c>
      <c r="G660">
        <v>16</v>
      </c>
      <c r="H660">
        <v>3.2</v>
      </c>
      <c r="I660">
        <v>0.5</v>
      </c>
      <c r="J660" t="s">
        <v>54</v>
      </c>
      <c r="K660">
        <v>0</v>
      </c>
      <c r="L660" s="17">
        <f t="shared" ca="1" si="20"/>
        <v>46167</v>
      </c>
      <c r="M660" s="6" t="str">
        <f t="shared" ca="1" si="21"/>
        <v>25/05/yyyy a 31/05/yyyy</v>
      </c>
    </row>
    <row r="661" spans="1:13" x14ac:dyDescent="0.3">
      <c r="A661" t="s">
        <v>26</v>
      </c>
      <c r="B661" t="s">
        <v>27</v>
      </c>
      <c r="C661">
        <v>45855</v>
      </c>
      <c r="D661">
        <v>45863</v>
      </c>
      <c r="E661">
        <v>3.5</v>
      </c>
      <c r="F661">
        <v>3.5</v>
      </c>
      <c r="G661">
        <v>16</v>
      </c>
      <c r="H661">
        <v>3.2</v>
      </c>
      <c r="I661">
        <v>0.5</v>
      </c>
      <c r="J661" t="s">
        <v>55</v>
      </c>
      <c r="K661">
        <v>0</v>
      </c>
      <c r="L661" s="17">
        <f t="shared" ca="1" si="20"/>
        <v>46167</v>
      </c>
      <c r="M661" s="6" t="str">
        <f t="shared" ca="1" si="21"/>
        <v>25/05/yyyy a 31/05/yyyy</v>
      </c>
    </row>
    <row r="662" spans="1:13" x14ac:dyDescent="0.3">
      <c r="A662" t="s">
        <v>26</v>
      </c>
      <c r="B662" t="s">
        <v>18</v>
      </c>
      <c r="C662">
        <v>45855</v>
      </c>
      <c r="D662">
        <v>45863</v>
      </c>
      <c r="E662">
        <v>3</v>
      </c>
      <c r="F662">
        <v>3</v>
      </c>
      <c r="G662">
        <v>16</v>
      </c>
      <c r="H662">
        <v>3.2</v>
      </c>
      <c r="I662">
        <v>0.42857142857142855</v>
      </c>
      <c r="J662" t="s">
        <v>44</v>
      </c>
      <c r="K662">
        <v>0</v>
      </c>
      <c r="L662" s="17">
        <f t="shared" ca="1" si="20"/>
        <v>46167</v>
      </c>
      <c r="M662" s="6" t="str">
        <f t="shared" ca="1" si="21"/>
        <v>25/05/yyyy a 31/05/yyyy</v>
      </c>
    </row>
    <row r="663" spans="1:13" x14ac:dyDescent="0.3">
      <c r="A663" t="s">
        <v>26</v>
      </c>
      <c r="B663" t="s">
        <v>18</v>
      </c>
      <c r="C663">
        <v>45855</v>
      </c>
      <c r="D663">
        <v>45863</v>
      </c>
      <c r="E663">
        <v>3</v>
      </c>
      <c r="F663">
        <v>3</v>
      </c>
      <c r="G663">
        <v>16</v>
      </c>
      <c r="H663">
        <v>3.2</v>
      </c>
      <c r="I663">
        <v>0.42857142857142855</v>
      </c>
      <c r="J663" t="s">
        <v>45</v>
      </c>
      <c r="K663">
        <v>0</v>
      </c>
      <c r="L663" s="17">
        <f t="shared" ca="1" si="20"/>
        <v>46174</v>
      </c>
      <c r="M663" s="6" t="str">
        <f t="shared" ca="1" si="21"/>
        <v>01/06/yyyy a 07/06/yyyy</v>
      </c>
    </row>
    <row r="664" spans="1:13" x14ac:dyDescent="0.3">
      <c r="A664" t="s">
        <v>26</v>
      </c>
      <c r="B664" t="s">
        <v>18</v>
      </c>
      <c r="C664">
        <v>45855</v>
      </c>
      <c r="D664">
        <v>45863</v>
      </c>
      <c r="E664">
        <v>3</v>
      </c>
      <c r="F664">
        <v>3</v>
      </c>
      <c r="G664">
        <v>16</v>
      </c>
      <c r="H664">
        <v>3.2</v>
      </c>
      <c r="I664">
        <v>0.42857142857142855</v>
      </c>
      <c r="J664" t="s">
        <v>46</v>
      </c>
      <c r="K664">
        <v>0.85714285714285721</v>
      </c>
      <c r="L664" s="17">
        <f t="shared" ca="1" si="20"/>
        <v>46181</v>
      </c>
      <c r="M664" s="6" t="str">
        <f t="shared" ca="1" si="21"/>
        <v>08/06/yyyy a 14/06/yyyy</v>
      </c>
    </row>
    <row r="665" spans="1:13" x14ac:dyDescent="0.3">
      <c r="A665" t="s">
        <v>26</v>
      </c>
      <c r="B665" t="s">
        <v>18</v>
      </c>
      <c r="C665">
        <v>45855</v>
      </c>
      <c r="D665">
        <v>45863</v>
      </c>
      <c r="E665">
        <v>3</v>
      </c>
      <c r="F665">
        <v>3</v>
      </c>
      <c r="G665">
        <v>16</v>
      </c>
      <c r="H665">
        <v>3.2</v>
      </c>
      <c r="I665">
        <v>0.42857142857142855</v>
      </c>
      <c r="J665" t="s">
        <v>47</v>
      </c>
      <c r="K665">
        <v>2.1428571428571428</v>
      </c>
      <c r="L665" s="17">
        <f t="shared" ca="1" si="20"/>
        <v>46188</v>
      </c>
      <c r="M665" s="6" t="str">
        <f t="shared" ca="1" si="21"/>
        <v>15/06/yyyy a 21/06/yyyy</v>
      </c>
    </row>
    <row r="666" spans="1:13" x14ac:dyDescent="0.3">
      <c r="A666" t="s">
        <v>26</v>
      </c>
      <c r="B666" t="s">
        <v>18</v>
      </c>
      <c r="C666">
        <v>45855</v>
      </c>
      <c r="D666">
        <v>45863</v>
      </c>
      <c r="E666">
        <v>3</v>
      </c>
      <c r="F666">
        <v>3</v>
      </c>
      <c r="G666">
        <v>16</v>
      </c>
      <c r="H666">
        <v>3.2</v>
      </c>
      <c r="I666">
        <v>0.42857142857142855</v>
      </c>
      <c r="J666" t="s">
        <v>48</v>
      </c>
      <c r="K666">
        <v>0</v>
      </c>
      <c r="L666" s="17">
        <f t="shared" ca="1" si="20"/>
        <v>46195</v>
      </c>
      <c r="M666" s="6" t="str">
        <f t="shared" ca="1" si="21"/>
        <v>22/06/yyyy a 28/06/yyyy</v>
      </c>
    </row>
    <row r="667" spans="1:13" x14ac:dyDescent="0.3">
      <c r="A667" t="s">
        <v>26</v>
      </c>
      <c r="B667" t="s">
        <v>18</v>
      </c>
      <c r="C667">
        <v>45855</v>
      </c>
      <c r="D667">
        <v>45863</v>
      </c>
      <c r="E667">
        <v>3</v>
      </c>
      <c r="F667">
        <v>3</v>
      </c>
      <c r="G667">
        <v>16</v>
      </c>
      <c r="H667">
        <v>3.2</v>
      </c>
      <c r="I667">
        <v>0.42857142857142855</v>
      </c>
      <c r="J667" t="s">
        <v>49</v>
      </c>
      <c r="K667">
        <v>0</v>
      </c>
      <c r="L667" s="17">
        <f t="shared" ca="1" si="20"/>
        <v>46202</v>
      </c>
      <c r="M667" s="6" t="str">
        <f t="shared" ca="1" si="21"/>
        <v>29/06/yyyy a 05/07/yyyy</v>
      </c>
    </row>
    <row r="668" spans="1:13" x14ac:dyDescent="0.3">
      <c r="A668" t="s">
        <v>26</v>
      </c>
      <c r="B668" t="s">
        <v>18</v>
      </c>
      <c r="C668">
        <v>45855</v>
      </c>
      <c r="D668">
        <v>45863</v>
      </c>
      <c r="E668">
        <v>3</v>
      </c>
      <c r="F668">
        <v>3</v>
      </c>
      <c r="G668">
        <v>16</v>
      </c>
      <c r="H668">
        <v>3.2</v>
      </c>
      <c r="I668">
        <v>0.42857142857142855</v>
      </c>
      <c r="J668" t="s">
        <v>50</v>
      </c>
      <c r="K668">
        <v>0</v>
      </c>
      <c r="L668" s="17">
        <f t="shared" ca="1" si="20"/>
        <v>46209</v>
      </c>
      <c r="M668" s="6" t="str">
        <f t="shared" ca="1" si="21"/>
        <v>06/07/yyyy a 12/07/yyyy</v>
      </c>
    </row>
    <row r="669" spans="1:13" x14ac:dyDescent="0.3">
      <c r="A669" t="s">
        <v>26</v>
      </c>
      <c r="B669" t="s">
        <v>18</v>
      </c>
      <c r="C669">
        <v>45855</v>
      </c>
      <c r="D669">
        <v>45863</v>
      </c>
      <c r="E669">
        <v>3</v>
      </c>
      <c r="F669">
        <v>3</v>
      </c>
      <c r="G669">
        <v>16</v>
      </c>
      <c r="H669">
        <v>3.2</v>
      </c>
      <c r="I669">
        <v>0.42857142857142855</v>
      </c>
      <c r="J669" t="s">
        <v>51</v>
      </c>
      <c r="K669">
        <v>0</v>
      </c>
      <c r="L669" s="17">
        <f t="shared" ca="1" si="20"/>
        <v>46216</v>
      </c>
      <c r="M669" s="6" t="str">
        <f t="shared" ca="1" si="21"/>
        <v>13/07/yyyy a 19/07/yyyy</v>
      </c>
    </row>
    <row r="670" spans="1:13" x14ac:dyDescent="0.3">
      <c r="A670" t="s">
        <v>26</v>
      </c>
      <c r="B670" t="s">
        <v>18</v>
      </c>
      <c r="C670">
        <v>45855</v>
      </c>
      <c r="D670">
        <v>45863</v>
      </c>
      <c r="E670">
        <v>3</v>
      </c>
      <c r="F670">
        <v>3</v>
      </c>
      <c r="G670">
        <v>16</v>
      </c>
      <c r="H670">
        <v>3.2</v>
      </c>
      <c r="I670">
        <v>0.42857142857142855</v>
      </c>
      <c r="J670" t="s">
        <v>52</v>
      </c>
      <c r="K670">
        <v>0</v>
      </c>
      <c r="L670" s="17">
        <f t="shared" ca="1" si="20"/>
        <v>46223</v>
      </c>
      <c r="M670" s="6" t="str">
        <f t="shared" ca="1" si="21"/>
        <v>20/07/yyyy a 26/07/yyyy</v>
      </c>
    </row>
    <row r="671" spans="1:13" x14ac:dyDescent="0.3">
      <c r="A671" t="s">
        <v>26</v>
      </c>
      <c r="B671" t="s">
        <v>18</v>
      </c>
      <c r="C671">
        <v>45855</v>
      </c>
      <c r="D671">
        <v>45863</v>
      </c>
      <c r="E671">
        <v>3</v>
      </c>
      <c r="F671">
        <v>3</v>
      </c>
      <c r="G671">
        <v>16</v>
      </c>
      <c r="H671">
        <v>3.2</v>
      </c>
      <c r="I671">
        <v>0.42857142857142855</v>
      </c>
      <c r="J671" t="s">
        <v>53</v>
      </c>
      <c r="K671">
        <v>0</v>
      </c>
      <c r="L671" s="17">
        <f t="shared" ca="1" si="20"/>
        <v>46167</v>
      </c>
      <c r="M671" s="6" t="str">
        <f t="shared" ca="1" si="21"/>
        <v>25/05/yyyy a 31/05/yyyy</v>
      </c>
    </row>
    <row r="672" spans="1:13" x14ac:dyDescent="0.3">
      <c r="A672" t="s">
        <v>26</v>
      </c>
      <c r="B672" t="s">
        <v>18</v>
      </c>
      <c r="C672">
        <v>45855</v>
      </c>
      <c r="D672">
        <v>45863</v>
      </c>
      <c r="E672">
        <v>3</v>
      </c>
      <c r="F672">
        <v>3</v>
      </c>
      <c r="G672">
        <v>16</v>
      </c>
      <c r="H672">
        <v>3.2</v>
      </c>
      <c r="I672">
        <v>0.42857142857142855</v>
      </c>
      <c r="J672" t="s">
        <v>54</v>
      </c>
      <c r="K672">
        <v>0</v>
      </c>
      <c r="L672" s="17">
        <f t="shared" ca="1" si="20"/>
        <v>46167</v>
      </c>
      <c r="M672" s="6" t="str">
        <f t="shared" ca="1" si="21"/>
        <v>25/05/yyyy a 31/05/yyyy</v>
      </c>
    </row>
    <row r="673" spans="1:13" x14ac:dyDescent="0.3">
      <c r="A673" t="s">
        <v>26</v>
      </c>
      <c r="B673" t="s">
        <v>18</v>
      </c>
      <c r="C673">
        <v>45855</v>
      </c>
      <c r="D673">
        <v>45863</v>
      </c>
      <c r="E673">
        <v>3</v>
      </c>
      <c r="F673">
        <v>3</v>
      </c>
      <c r="G673">
        <v>16</v>
      </c>
      <c r="H673">
        <v>3.2</v>
      </c>
      <c r="I673">
        <v>0.42857142857142855</v>
      </c>
      <c r="J673" t="s">
        <v>55</v>
      </c>
      <c r="K673">
        <v>0</v>
      </c>
      <c r="L673" s="17">
        <f t="shared" ca="1" si="20"/>
        <v>46167</v>
      </c>
      <c r="M673" s="6" t="str">
        <f t="shared" ca="1" si="21"/>
        <v>25/05/yyyy a 31/05/yyyy</v>
      </c>
    </row>
    <row r="674" spans="1:13" x14ac:dyDescent="0.3">
      <c r="A674" t="s">
        <v>26</v>
      </c>
      <c r="B674" t="s">
        <v>22</v>
      </c>
      <c r="C674">
        <v>45848</v>
      </c>
      <c r="D674">
        <v>45855</v>
      </c>
      <c r="E674">
        <v>3</v>
      </c>
      <c r="F674">
        <v>3</v>
      </c>
      <c r="G674">
        <v>10</v>
      </c>
      <c r="H674">
        <v>2</v>
      </c>
      <c r="I674">
        <v>0.5</v>
      </c>
      <c r="J674" t="s">
        <v>44</v>
      </c>
      <c r="K674">
        <v>0</v>
      </c>
      <c r="L674" s="17">
        <f t="shared" ca="1" si="20"/>
        <v>46167</v>
      </c>
      <c r="M674" s="6" t="str">
        <f t="shared" ca="1" si="21"/>
        <v>25/05/yyyy a 31/05/yyyy</v>
      </c>
    </row>
    <row r="675" spans="1:13" x14ac:dyDescent="0.3">
      <c r="A675" t="s">
        <v>26</v>
      </c>
      <c r="B675" t="s">
        <v>22</v>
      </c>
      <c r="C675">
        <v>45848</v>
      </c>
      <c r="D675">
        <v>45855</v>
      </c>
      <c r="E675">
        <v>3</v>
      </c>
      <c r="F675">
        <v>3</v>
      </c>
      <c r="G675">
        <v>10</v>
      </c>
      <c r="H675">
        <v>2</v>
      </c>
      <c r="I675">
        <v>0.5</v>
      </c>
      <c r="J675" t="s">
        <v>45</v>
      </c>
      <c r="K675">
        <v>1</v>
      </c>
      <c r="L675" s="17">
        <f t="shared" ca="1" si="20"/>
        <v>46174</v>
      </c>
      <c r="M675" s="6" t="str">
        <f t="shared" ca="1" si="21"/>
        <v>01/06/yyyy a 07/06/yyyy</v>
      </c>
    </row>
    <row r="676" spans="1:13" x14ac:dyDescent="0.3">
      <c r="A676" t="s">
        <v>26</v>
      </c>
      <c r="B676" t="s">
        <v>22</v>
      </c>
      <c r="C676">
        <v>45848</v>
      </c>
      <c r="D676">
        <v>45855</v>
      </c>
      <c r="E676">
        <v>3</v>
      </c>
      <c r="F676">
        <v>3</v>
      </c>
      <c r="G676">
        <v>10</v>
      </c>
      <c r="H676">
        <v>2</v>
      </c>
      <c r="I676">
        <v>0.5</v>
      </c>
      <c r="J676" t="s">
        <v>46</v>
      </c>
      <c r="K676">
        <v>2</v>
      </c>
      <c r="L676" s="17">
        <f t="shared" ca="1" si="20"/>
        <v>46181</v>
      </c>
      <c r="M676" s="6" t="str">
        <f t="shared" ca="1" si="21"/>
        <v>08/06/yyyy a 14/06/yyyy</v>
      </c>
    </row>
    <row r="677" spans="1:13" x14ac:dyDescent="0.3">
      <c r="A677" t="s">
        <v>26</v>
      </c>
      <c r="B677" t="s">
        <v>22</v>
      </c>
      <c r="C677">
        <v>45848</v>
      </c>
      <c r="D677">
        <v>45855</v>
      </c>
      <c r="E677">
        <v>3</v>
      </c>
      <c r="F677">
        <v>3</v>
      </c>
      <c r="G677">
        <v>10</v>
      </c>
      <c r="H677">
        <v>2</v>
      </c>
      <c r="I677">
        <v>0.5</v>
      </c>
      <c r="J677" t="s">
        <v>47</v>
      </c>
      <c r="K677">
        <v>0</v>
      </c>
      <c r="L677" s="17">
        <f t="shared" ca="1" si="20"/>
        <v>46188</v>
      </c>
      <c r="M677" s="6" t="str">
        <f t="shared" ca="1" si="21"/>
        <v>15/06/yyyy a 21/06/yyyy</v>
      </c>
    </row>
    <row r="678" spans="1:13" x14ac:dyDescent="0.3">
      <c r="A678" t="s">
        <v>26</v>
      </c>
      <c r="B678" t="s">
        <v>22</v>
      </c>
      <c r="C678">
        <v>45848</v>
      </c>
      <c r="D678">
        <v>45855</v>
      </c>
      <c r="E678">
        <v>3</v>
      </c>
      <c r="F678">
        <v>3</v>
      </c>
      <c r="G678">
        <v>10</v>
      </c>
      <c r="H678">
        <v>2</v>
      </c>
      <c r="I678">
        <v>0.5</v>
      </c>
      <c r="J678" t="s">
        <v>48</v>
      </c>
      <c r="K678">
        <v>0</v>
      </c>
      <c r="L678" s="17">
        <f t="shared" ca="1" si="20"/>
        <v>46195</v>
      </c>
      <c r="M678" s="6" t="str">
        <f t="shared" ca="1" si="21"/>
        <v>22/06/yyyy a 28/06/yyyy</v>
      </c>
    </row>
    <row r="679" spans="1:13" x14ac:dyDescent="0.3">
      <c r="A679" t="s">
        <v>26</v>
      </c>
      <c r="B679" t="s">
        <v>22</v>
      </c>
      <c r="C679">
        <v>45848</v>
      </c>
      <c r="D679">
        <v>45855</v>
      </c>
      <c r="E679">
        <v>3</v>
      </c>
      <c r="F679">
        <v>3</v>
      </c>
      <c r="G679">
        <v>10</v>
      </c>
      <c r="H679">
        <v>2</v>
      </c>
      <c r="I679">
        <v>0.5</v>
      </c>
      <c r="J679" t="s">
        <v>49</v>
      </c>
      <c r="K679">
        <v>0</v>
      </c>
      <c r="L679" s="17">
        <f t="shared" ca="1" si="20"/>
        <v>46202</v>
      </c>
      <c r="M679" s="6" t="str">
        <f t="shared" ca="1" si="21"/>
        <v>29/06/yyyy a 05/07/yyyy</v>
      </c>
    </row>
    <row r="680" spans="1:13" x14ac:dyDescent="0.3">
      <c r="A680" t="s">
        <v>26</v>
      </c>
      <c r="B680" t="s">
        <v>22</v>
      </c>
      <c r="C680">
        <v>45848</v>
      </c>
      <c r="D680">
        <v>45855</v>
      </c>
      <c r="E680">
        <v>3</v>
      </c>
      <c r="F680">
        <v>3</v>
      </c>
      <c r="G680">
        <v>10</v>
      </c>
      <c r="H680">
        <v>2</v>
      </c>
      <c r="I680">
        <v>0.5</v>
      </c>
      <c r="J680" t="s">
        <v>50</v>
      </c>
      <c r="K680">
        <v>0</v>
      </c>
      <c r="L680" s="17">
        <f t="shared" ca="1" si="20"/>
        <v>46209</v>
      </c>
      <c r="M680" s="6" t="str">
        <f t="shared" ca="1" si="21"/>
        <v>06/07/yyyy a 12/07/yyyy</v>
      </c>
    </row>
    <row r="681" spans="1:13" x14ac:dyDescent="0.3">
      <c r="A681" t="s">
        <v>26</v>
      </c>
      <c r="B681" t="s">
        <v>22</v>
      </c>
      <c r="C681">
        <v>45848</v>
      </c>
      <c r="D681">
        <v>45855</v>
      </c>
      <c r="E681">
        <v>3</v>
      </c>
      <c r="F681">
        <v>3</v>
      </c>
      <c r="G681">
        <v>10</v>
      </c>
      <c r="H681">
        <v>2</v>
      </c>
      <c r="I681">
        <v>0.5</v>
      </c>
      <c r="J681" t="s">
        <v>51</v>
      </c>
      <c r="K681">
        <v>0</v>
      </c>
      <c r="L681" s="17">
        <f t="shared" ca="1" si="20"/>
        <v>46216</v>
      </c>
      <c r="M681" s="6" t="str">
        <f t="shared" ca="1" si="21"/>
        <v>13/07/yyyy a 19/07/yyyy</v>
      </c>
    </row>
    <row r="682" spans="1:13" x14ac:dyDescent="0.3">
      <c r="A682" t="s">
        <v>26</v>
      </c>
      <c r="B682" t="s">
        <v>22</v>
      </c>
      <c r="C682">
        <v>45848</v>
      </c>
      <c r="D682">
        <v>45855</v>
      </c>
      <c r="E682">
        <v>3</v>
      </c>
      <c r="F682">
        <v>3</v>
      </c>
      <c r="G682">
        <v>10</v>
      </c>
      <c r="H682">
        <v>2</v>
      </c>
      <c r="I682">
        <v>0.5</v>
      </c>
      <c r="J682" t="s">
        <v>52</v>
      </c>
      <c r="K682">
        <v>0</v>
      </c>
      <c r="L682" s="17">
        <f t="shared" ca="1" si="20"/>
        <v>46223</v>
      </c>
      <c r="M682" s="6" t="str">
        <f t="shared" ca="1" si="21"/>
        <v>20/07/yyyy a 26/07/yyyy</v>
      </c>
    </row>
    <row r="683" spans="1:13" x14ac:dyDescent="0.3">
      <c r="A683" t="s">
        <v>26</v>
      </c>
      <c r="B683" t="s">
        <v>22</v>
      </c>
      <c r="C683">
        <v>45848</v>
      </c>
      <c r="D683">
        <v>45855</v>
      </c>
      <c r="E683">
        <v>3</v>
      </c>
      <c r="F683">
        <v>3</v>
      </c>
      <c r="G683">
        <v>10</v>
      </c>
      <c r="H683">
        <v>2</v>
      </c>
      <c r="I683">
        <v>0.5</v>
      </c>
      <c r="J683" t="s">
        <v>53</v>
      </c>
      <c r="K683">
        <v>0</v>
      </c>
      <c r="L683" s="17">
        <f t="shared" ca="1" si="20"/>
        <v>46167</v>
      </c>
      <c r="M683" s="6" t="str">
        <f t="shared" ca="1" si="21"/>
        <v>25/05/yyyy a 31/05/yyyy</v>
      </c>
    </row>
    <row r="684" spans="1:13" x14ac:dyDescent="0.3">
      <c r="A684" t="s">
        <v>26</v>
      </c>
      <c r="B684" t="s">
        <v>22</v>
      </c>
      <c r="C684">
        <v>45848</v>
      </c>
      <c r="D684">
        <v>45855</v>
      </c>
      <c r="E684">
        <v>3</v>
      </c>
      <c r="F684">
        <v>3</v>
      </c>
      <c r="G684">
        <v>10</v>
      </c>
      <c r="H684">
        <v>2</v>
      </c>
      <c r="I684">
        <v>0.5</v>
      </c>
      <c r="J684" t="s">
        <v>54</v>
      </c>
      <c r="K684">
        <v>0</v>
      </c>
      <c r="L684" s="17">
        <f t="shared" ca="1" si="20"/>
        <v>46167</v>
      </c>
      <c r="M684" s="6" t="str">
        <f t="shared" ca="1" si="21"/>
        <v>25/05/yyyy a 31/05/yyyy</v>
      </c>
    </row>
    <row r="685" spans="1:13" x14ac:dyDescent="0.3">
      <c r="A685" t="s">
        <v>26</v>
      </c>
      <c r="B685" t="s">
        <v>22</v>
      </c>
      <c r="C685">
        <v>45848</v>
      </c>
      <c r="D685">
        <v>45855</v>
      </c>
      <c r="E685">
        <v>3</v>
      </c>
      <c r="F685">
        <v>3</v>
      </c>
      <c r="G685">
        <v>10</v>
      </c>
      <c r="H685">
        <v>2</v>
      </c>
      <c r="I685">
        <v>0.5</v>
      </c>
      <c r="J685" t="s">
        <v>55</v>
      </c>
      <c r="K685">
        <v>0</v>
      </c>
      <c r="L685" s="17">
        <f t="shared" ca="1" si="20"/>
        <v>46167</v>
      </c>
      <c r="M685" s="6" t="str">
        <f t="shared" ca="1" si="21"/>
        <v>25/05/yyyy a 31/05/yyyy</v>
      </c>
    </row>
    <row r="686" spans="1:13" x14ac:dyDescent="0.3">
      <c r="A686" t="s">
        <v>26</v>
      </c>
      <c r="B686" t="s">
        <v>25</v>
      </c>
      <c r="C686">
        <v>45848</v>
      </c>
      <c r="D686">
        <v>45855</v>
      </c>
      <c r="E686">
        <v>10</v>
      </c>
      <c r="F686">
        <v>10</v>
      </c>
      <c r="G686">
        <v>10</v>
      </c>
      <c r="H686">
        <v>2</v>
      </c>
      <c r="I686">
        <v>1.6666666666666667</v>
      </c>
      <c r="J686" t="s">
        <v>44</v>
      </c>
      <c r="K686">
        <v>0</v>
      </c>
      <c r="L686" s="17">
        <f t="shared" ca="1" si="20"/>
        <v>46167</v>
      </c>
      <c r="M686" s="6" t="str">
        <f t="shared" ca="1" si="21"/>
        <v>25/05/yyyy a 31/05/yyyy</v>
      </c>
    </row>
    <row r="687" spans="1:13" x14ac:dyDescent="0.3">
      <c r="A687" t="s">
        <v>26</v>
      </c>
      <c r="B687" t="s">
        <v>25</v>
      </c>
      <c r="C687">
        <v>45848</v>
      </c>
      <c r="D687">
        <v>45855</v>
      </c>
      <c r="E687">
        <v>10</v>
      </c>
      <c r="F687">
        <v>10</v>
      </c>
      <c r="G687">
        <v>10</v>
      </c>
      <c r="H687">
        <v>2</v>
      </c>
      <c r="I687">
        <v>1.6666666666666667</v>
      </c>
      <c r="J687" t="s">
        <v>45</v>
      </c>
      <c r="K687">
        <v>3.3333333333333339</v>
      </c>
      <c r="L687" s="17">
        <f t="shared" ca="1" si="20"/>
        <v>46174</v>
      </c>
      <c r="M687" s="6" t="str">
        <f t="shared" ca="1" si="21"/>
        <v>01/06/yyyy a 07/06/yyyy</v>
      </c>
    </row>
    <row r="688" spans="1:13" x14ac:dyDescent="0.3">
      <c r="A688" t="s">
        <v>26</v>
      </c>
      <c r="B688" t="s">
        <v>25</v>
      </c>
      <c r="C688">
        <v>45848</v>
      </c>
      <c r="D688">
        <v>45855</v>
      </c>
      <c r="E688">
        <v>10</v>
      </c>
      <c r="F688">
        <v>10</v>
      </c>
      <c r="G688">
        <v>10</v>
      </c>
      <c r="H688">
        <v>2</v>
      </c>
      <c r="I688">
        <v>1.6666666666666667</v>
      </c>
      <c r="J688" t="s">
        <v>46</v>
      </c>
      <c r="K688">
        <v>6.666666666666667</v>
      </c>
      <c r="L688" s="17">
        <f t="shared" ca="1" si="20"/>
        <v>46181</v>
      </c>
      <c r="M688" s="6" t="str">
        <f t="shared" ca="1" si="21"/>
        <v>08/06/yyyy a 14/06/yyyy</v>
      </c>
    </row>
    <row r="689" spans="1:13" x14ac:dyDescent="0.3">
      <c r="A689" t="s">
        <v>26</v>
      </c>
      <c r="B689" t="s">
        <v>25</v>
      </c>
      <c r="C689">
        <v>45848</v>
      </c>
      <c r="D689">
        <v>45855</v>
      </c>
      <c r="E689">
        <v>10</v>
      </c>
      <c r="F689">
        <v>10</v>
      </c>
      <c r="G689">
        <v>10</v>
      </c>
      <c r="H689">
        <v>2</v>
      </c>
      <c r="I689">
        <v>1.6666666666666667</v>
      </c>
      <c r="J689" t="s">
        <v>47</v>
      </c>
      <c r="K689">
        <v>0</v>
      </c>
      <c r="L689" s="17">
        <f t="shared" ca="1" si="20"/>
        <v>46188</v>
      </c>
      <c r="M689" s="6" t="str">
        <f t="shared" ca="1" si="21"/>
        <v>15/06/yyyy a 21/06/yyyy</v>
      </c>
    </row>
    <row r="690" spans="1:13" x14ac:dyDescent="0.3">
      <c r="A690" t="s">
        <v>26</v>
      </c>
      <c r="B690" t="s">
        <v>25</v>
      </c>
      <c r="C690">
        <v>45848</v>
      </c>
      <c r="D690">
        <v>45855</v>
      </c>
      <c r="E690">
        <v>10</v>
      </c>
      <c r="F690">
        <v>10</v>
      </c>
      <c r="G690">
        <v>10</v>
      </c>
      <c r="H690">
        <v>2</v>
      </c>
      <c r="I690">
        <v>1.6666666666666667</v>
      </c>
      <c r="J690" t="s">
        <v>48</v>
      </c>
      <c r="K690">
        <v>0</v>
      </c>
      <c r="L690" s="17">
        <f t="shared" ca="1" si="20"/>
        <v>46195</v>
      </c>
      <c r="M690" s="6" t="str">
        <f t="shared" ca="1" si="21"/>
        <v>22/06/yyyy a 28/06/yyyy</v>
      </c>
    </row>
    <row r="691" spans="1:13" x14ac:dyDescent="0.3">
      <c r="A691" t="s">
        <v>26</v>
      </c>
      <c r="B691" t="s">
        <v>25</v>
      </c>
      <c r="C691">
        <v>45848</v>
      </c>
      <c r="D691">
        <v>45855</v>
      </c>
      <c r="E691">
        <v>10</v>
      </c>
      <c r="F691">
        <v>10</v>
      </c>
      <c r="G691">
        <v>10</v>
      </c>
      <c r="H691">
        <v>2</v>
      </c>
      <c r="I691">
        <v>1.6666666666666667</v>
      </c>
      <c r="J691" t="s">
        <v>49</v>
      </c>
      <c r="K691">
        <v>0</v>
      </c>
      <c r="L691" s="17">
        <f t="shared" ca="1" si="20"/>
        <v>46202</v>
      </c>
      <c r="M691" s="6" t="str">
        <f t="shared" ca="1" si="21"/>
        <v>29/06/yyyy a 05/07/yyyy</v>
      </c>
    </row>
    <row r="692" spans="1:13" x14ac:dyDescent="0.3">
      <c r="A692" t="s">
        <v>26</v>
      </c>
      <c r="B692" t="s">
        <v>25</v>
      </c>
      <c r="C692">
        <v>45848</v>
      </c>
      <c r="D692">
        <v>45855</v>
      </c>
      <c r="E692">
        <v>10</v>
      </c>
      <c r="F692">
        <v>10</v>
      </c>
      <c r="G692">
        <v>10</v>
      </c>
      <c r="H692">
        <v>2</v>
      </c>
      <c r="I692">
        <v>1.6666666666666667</v>
      </c>
      <c r="J692" t="s">
        <v>50</v>
      </c>
      <c r="K692">
        <v>0</v>
      </c>
      <c r="L692" s="17">
        <f t="shared" ca="1" si="20"/>
        <v>46209</v>
      </c>
      <c r="M692" s="6" t="str">
        <f t="shared" ca="1" si="21"/>
        <v>06/07/yyyy a 12/07/yyyy</v>
      </c>
    </row>
    <row r="693" spans="1:13" x14ac:dyDescent="0.3">
      <c r="A693" t="s">
        <v>26</v>
      </c>
      <c r="B693" t="s">
        <v>25</v>
      </c>
      <c r="C693">
        <v>45848</v>
      </c>
      <c r="D693">
        <v>45855</v>
      </c>
      <c r="E693">
        <v>10</v>
      </c>
      <c r="F693">
        <v>10</v>
      </c>
      <c r="G693">
        <v>10</v>
      </c>
      <c r="H693">
        <v>2</v>
      </c>
      <c r="I693">
        <v>1.6666666666666667</v>
      </c>
      <c r="J693" t="s">
        <v>51</v>
      </c>
      <c r="K693">
        <v>0</v>
      </c>
      <c r="L693" s="17">
        <f t="shared" ca="1" si="20"/>
        <v>46216</v>
      </c>
      <c r="M693" s="6" t="str">
        <f t="shared" ca="1" si="21"/>
        <v>13/07/yyyy a 19/07/yyyy</v>
      </c>
    </row>
    <row r="694" spans="1:13" x14ac:dyDescent="0.3">
      <c r="A694" t="s">
        <v>26</v>
      </c>
      <c r="B694" t="s">
        <v>25</v>
      </c>
      <c r="C694">
        <v>45848</v>
      </c>
      <c r="D694">
        <v>45855</v>
      </c>
      <c r="E694">
        <v>10</v>
      </c>
      <c r="F694">
        <v>10</v>
      </c>
      <c r="G694">
        <v>10</v>
      </c>
      <c r="H694">
        <v>2</v>
      </c>
      <c r="I694">
        <v>1.6666666666666667</v>
      </c>
      <c r="J694" t="s">
        <v>52</v>
      </c>
      <c r="K694">
        <v>0</v>
      </c>
      <c r="L694" s="17">
        <f t="shared" ca="1" si="20"/>
        <v>46223</v>
      </c>
      <c r="M694" s="6" t="str">
        <f t="shared" ca="1" si="21"/>
        <v>20/07/yyyy a 26/07/yyyy</v>
      </c>
    </row>
    <row r="695" spans="1:13" x14ac:dyDescent="0.3">
      <c r="A695" t="s">
        <v>26</v>
      </c>
      <c r="B695" t="s">
        <v>25</v>
      </c>
      <c r="C695">
        <v>45848</v>
      </c>
      <c r="D695">
        <v>45855</v>
      </c>
      <c r="E695">
        <v>10</v>
      </c>
      <c r="F695">
        <v>10</v>
      </c>
      <c r="G695">
        <v>10</v>
      </c>
      <c r="H695">
        <v>2</v>
      </c>
      <c r="I695">
        <v>1.6666666666666667</v>
      </c>
      <c r="J695" t="s">
        <v>53</v>
      </c>
      <c r="K695">
        <v>0</v>
      </c>
      <c r="L695" s="17">
        <f t="shared" ca="1" si="20"/>
        <v>46167</v>
      </c>
      <c r="M695" s="6" t="str">
        <f t="shared" ca="1" si="21"/>
        <v>25/05/yyyy a 31/05/yyyy</v>
      </c>
    </row>
    <row r="696" spans="1:13" x14ac:dyDescent="0.3">
      <c r="A696" t="s">
        <v>26</v>
      </c>
      <c r="B696" t="s">
        <v>25</v>
      </c>
      <c r="C696">
        <v>45848</v>
      </c>
      <c r="D696">
        <v>45855</v>
      </c>
      <c r="E696">
        <v>10</v>
      </c>
      <c r="F696">
        <v>10</v>
      </c>
      <c r="G696">
        <v>10</v>
      </c>
      <c r="H696">
        <v>2</v>
      </c>
      <c r="I696">
        <v>1.6666666666666667</v>
      </c>
      <c r="J696" t="s">
        <v>54</v>
      </c>
      <c r="K696">
        <v>0</v>
      </c>
      <c r="L696" s="17">
        <f t="shared" ca="1" si="20"/>
        <v>46167</v>
      </c>
      <c r="M696" s="6" t="str">
        <f t="shared" ca="1" si="21"/>
        <v>25/05/yyyy a 31/05/yyyy</v>
      </c>
    </row>
    <row r="697" spans="1:13" x14ac:dyDescent="0.3">
      <c r="A697" t="s">
        <v>26</v>
      </c>
      <c r="B697" t="s">
        <v>25</v>
      </c>
      <c r="C697">
        <v>45848</v>
      </c>
      <c r="D697">
        <v>45855</v>
      </c>
      <c r="E697">
        <v>10</v>
      </c>
      <c r="F697">
        <v>10</v>
      </c>
      <c r="G697">
        <v>10</v>
      </c>
      <c r="H697">
        <v>2</v>
      </c>
      <c r="I697">
        <v>1.6666666666666667</v>
      </c>
      <c r="J697" t="s">
        <v>55</v>
      </c>
      <c r="K697">
        <v>0</v>
      </c>
      <c r="L697" s="17">
        <f t="shared" ca="1" si="20"/>
        <v>46167</v>
      </c>
      <c r="M697" s="6" t="str">
        <f t="shared" ca="1" si="21"/>
        <v>25/05/yyyy a 31/05/yyyy</v>
      </c>
    </row>
    <row r="698" spans="1:13" x14ac:dyDescent="0.3">
      <c r="A698" t="s">
        <v>26</v>
      </c>
      <c r="B698" t="s">
        <v>11</v>
      </c>
      <c r="C698">
        <v>45862</v>
      </c>
      <c r="D698">
        <v>45869</v>
      </c>
      <c r="E698">
        <v>6</v>
      </c>
      <c r="F698">
        <v>6</v>
      </c>
      <c r="G698">
        <v>20</v>
      </c>
      <c r="H698">
        <v>4</v>
      </c>
      <c r="I698">
        <v>1</v>
      </c>
      <c r="J698" t="s">
        <v>44</v>
      </c>
      <c r="K698">
        <v>0</v>
      </c>
      <c r="L698" s="17">
        <f t="shared" ca="1" si="20"/>
        <v>46167</v>
      </c>
      <c r="M698" s="6" t="str">
        <f t="shared" ca="1" si="21"/>
        <v>25/05/yyyy a 31/05/yyyy</v>
      </c>
    </row>
    <row r="699" spans="1:13" x14ac:dyDescent="0.3">
      <c r="A699" t="s">
        <v>26</v>
      </c>
      <c r="B699" t="s">
        <v>11</v>
      </c>
      <c r="C699">
        <v>45862</v>
      </c>
      <c r="D699">
        <v>45869</v>
      </c>
      <c r="E699">
        <v>6</v>
      </c>
      <c r="F699">
        <v>6</v>
      </c>
      <c r="G699">
        <v>20</v>
      </c>
      <c r="H699">
        <v>4</v>
      </c>
      <c r="I699">
        <v>1</v>
      </c>
      <c r="J699" t="s">
        <v>45</v>
      </c>
      <c r="K699">
        <v>0</v>
      </c>
      <c r="L699" s="17">
        <f t="shared" ca="1" si="20"/>
        <v>46174</v>
      </c>
      <c r="M699" s="6" t="str">
        <f t="shared" ca="1" si="21"/>
        <v>01/06/yyyy a 07/06/yyyy</v>
      </c>
    </row>
    <row r="700" spans="1:13" x14ac:dyDescent="0.3">
      <c r="A700" t="s">
        <v>26</v>
      </c>
      <c r="B700" t="s">
        <v>11</v>
      </c>
      <c r="C700">
        <v>45862</v>
      </c>
      <c r="D700">
        <v>45869</v>
      </c>
      <c r="E700">
        <v>6</v>
      </c>
      <c r="F700">
        <v>6</v>
      </c>
      <c r="G700">
        <v>20</v>
      </c>
      <c r="H700">
        <v>4</v>
      </c>
      <c r="I700">
        <v>1</v>
      </c>
      <c r="J700" t="s">
        <v>46</v>
      </c>
      <c r="K700">
        <v>0</v>
      </c>
      <c r="L700" s="17">
        <f t="shared" ca="1" si="20"/>
        <v>46181</v>
      </c>
      <c r="M700" s="6" t="str">
        <f t="shared" ca="1" si="21"/>
        <v>08/06/yyyy a 14/06/yyyy</v>
      </c>
    </row>
    <row r="701" spans="1:13" x14ac:dyDescent="0.3">
      <c r="A701" t="s">
        <v>26</v>
      </c>
      <c r="B701" t="s">
        <v>11</v>
      </c>
      <c r="C701">
        <v>45862</v>
      </c>
      <c r="D701">
        <v>45869</v>
      </c>
      <c r="E701">
        <v>6</v>
      </c>
      <c r="F701">
        <v>6</v>
      </c>
      <c r="G701">
        <v>20</v>
      </c>
      <c r="H701">
        <v>4</v>
      </c>
      <c r="I701">
        <v>1</v>
      </c>
      <c r="J701" t="s">
        <v>47</v>
      </c>
      <c r="K701">
        <v>2</v>
      </c>
      <c r="L701" s="17">
        <f t="shared" ca="1" si="20"/>
        <v>46188</v>
      </c>
      <c r="M701" s="6" t="str">
        <f t="shared" ca="1" si="21"/>
        <v>15/06/yyyy a 21/06/yyyy</v>
      </c>
    </row>
    <row r="702" spans="1:13" x14ac:dyDescent="0.3">
      <c r="A702" t="s">
        <v>26</v>
      </c>
      <c r="B702" t="s">
        <v>11</v>
      </c>
      <c r="C702">
        <v>45862</v>
      </c>
      <c r="D702">
        <v>45869</v>
      </c>
      <c r="E702">
        <v>6</v>
      </c>
      <c r="F702">
        <v>6</v>
      </c>
      <c r="G702">
        <v>20</v>
      </c>
      <c r="H702">
        <v>4</v>
      </c>
      <c r="I702">
        <v>1</v>
      </c>
      <c r="J702" t="s">
        <v>48</v>
      </c>
      <c r="K702">
        <v>4</v>
      </c>
      <c r="L702" s="17">
        <f t="shared" ca="1" si="20"/>
        <v>46195</v>
      </c>
      <c r="M702" s="6" t="str">
        <f t="shared" ca="1" si="21"/>
        <v>22/06/yyyy a 28/06/yyyy</v>
      </c>
    </row>
    <row r="703" spans="1:13" x14ac:dyDescent="0.3">
      <c r="A703" t="s">
        <v>26</v>
      </c>
      <c r="B703" t="s">
        <v>11</v>
      </c>
      <c r="C703">
        <v>45862</v>
      </c>
      <c r="D703">
        <v>45869</v>
      </c>
      <c r="E703">
        <v>6</v>
      </c>
      <c r="F703">
        <v>6</v>
      </c>
      <c r="G703">
        <v>20</v>
      </c>
      <c r="H703">
        <v>4</v>
      </c>
      <c r="I703">
        <v>1</v>
      </c>
      <c r="J703" t="s">
        <v>49</v>
      </c>
      <c r="K703">
        <v>0</v>
      </c>
      <c r="L703" s="17">
        <f t="shared" ca="1" si="20"/>
        <v>46202</v>
      </c>
      <c r="M703" s="6" t="str">
        <f t="shared" ca="1" si="21"/>
        <v>29/06/yyyy a 05/07/yyyy</v>
      </c>
    </row>
    <row r="704" spans="1:13" x14ac:dyDescent="0.3">
      <c r="A704" t="s">
        <v>26</v>
      </c>
      <c r="B704" t="s">
        <v>11</v>
      </c>
      <c r="C704">
        <v>45862</v>
      </c>
      <c r="D704">
        <v>45869</v>
      </c>
      <c r="E704">
        <v>6</v>
      </c>
      <c r="F704">
        <v>6</v>
      </c>
      <c r="G704">
        <v>20</v>
      </c>
      <c r="H704">
        <v>4</v>
      </c>
      <c r="I704">
        <v>1</v>
      </c>
      <c r="J704" t="s">
        <v>50</v>
      </c>
      <c r="K704">
        <v>0</v>
      </c>
      <c r="L704" s="17">
        <f t="shared" ca="1" si="20"/>
        <v>46209</v>
      </c>
      <c r="M704" s="6" t="str">
        <f t="shared" ca="1" si="21"/>
        <v>06/07/yyyy a 12/07/yyyy</v>
      </c>
    </row>
    <row r="705" spans="1:13" x14ac:dyDescent="0.3">
      <c r="A705" t="s">
        <v>26</v>
      </c>
      <c r="B705" t="s">
        <v>11</v>
      </c>
      <c r="C705">
        <v>45862</v>
      </c>
      <c r="D705">
        <v>45869</v>
      </c>
      <c r="E705">
        <v>6</v>
      </c>
      <c r="F705">
        <v>6</v>
      </c>
      <c r="G705">
        <v>20</v>
      </c>
      <c r="H705">
        <v>4</v>
      </c>
      <c r="I705">
        <v>1</v>
      </c>
      <c r="J705" t="s">
        <v>51</v>
      </c>
      <c r="K705">
        <v>0</v>
      </c>
      <c r="L705" s="17">
        <f t="shared" ca="1" si="20"/>
        <v>46216</v>
      </c>
      <c r="M705" s="6" t="str">
        <f t="shared" ca="1" si="21"/>
        <v>13/07/yyyy a 19/07/yyyy</v>
      </c>
    </row>
    <row r="706" spans="1:13" x14ac:dyDescent="0.3">
      <c r="A706" t="s">
        <v>26</v>
      </c>
      <c r="B706" t="s">
        <v>11</v>
      </c>
      <c r="C706">
        <v>45862</v>
      </c>
      <c r="D706">
        <v>45869</v>
      </c>
      <c r="E706">
        <v>6</v>
      </c>
      <c r="F706">
        <v>6</v>
      </c>
      <c r="G706">
        <v>20</v>
      </c>
      <c r="H706">
        <v>4</v>
      </c>
      <c r="I706">
        <v>1</v>
      </c>
      <c r="J706" t="s">
        <v>52</v>
      </c>
      <c r="K706">
        <v>0</v>
      </c>
      <c r="L706" s="17">
        <f t="shared" ref="L706:L769" ca="1" si="22">IFERROR(VLOOKUP(J706,$O$2:$P$13,2),"")</f>
        <v>46223</v>
      </c>
      <c r="M706" s="6" t="str">
        <f t="shared" ref="M706:M769" ca="1" si="23">IFERROR(TEXT(L706,"dd/mm/yyyy")&amp; " a " &amp; (TEXT(L706+6,"dd/mm/yyyy")),"")</f>
        <v>20/07/yyyy a 26/07/yyyy</v>
      </c>
    </row>
    <row r="707" spans="1:13" x14ac:dyDescent="0.3">
      <c r="A707" t="s">
        <v>26</v>
      </c>
      <c r="B707" t="s">
        <v>11</v>
      </c>
      <c r="C707">
        <v>45862</v>
      </c>
      <c r="D707">
        <v>45869</v>
      </c>
      <c r="E707">
        <v>6</v>
      </c>
      <c r="F707">
        <v>6</v>
      </c>
      <c r="G707">
        <v>20</v>
      </c>
      <c r="H707">
        <v>4</v>
      </c>
      <c r="I707">
        <v>1</v>
      </c>
      <c r="J707" t="s">
        <v>53</v>
      </c>
      <c r="K707">
        <v>0</v>
      </c>
      <c r="L707" s="17">
        <f t="shared" ca="1" si="22"/>
        <v>46167</v>
      </c>
      <c r="M707" s="6" t="str">
        <f t="shared" ca="1" si="23"/>
        <v>25/05/yyyy a 31/05/yyyy</v>
      </c>
    </row>
    <row r="708" spans="1:13" x14ac:dyDescent="0.3">
      <c r="A708" t="s">
        <v>26</v>
      </c>
      <c r="B708" t="s">
        <v>11</v>
      </c>
      <c r="C708">
        <v>45862</v>
      </c>
      <c r="D708">
        <v>45869</v>
      </c>
      <c r="E708">
        <v>6</v>
      </c>
      <c r="F708">
        <v>6</v>
      </c>
      <c r="G708">
        <v>20</v>
      </c>
      <c r="H708">
        <v>4</v>
      </c>
      <c r="I708">
        <v>1</v>
      </c>
      <c r="J708" t="s">
        <v>54</v>
      </c>
      <c r="K708">
        <v>0</v>
      </c>
      <c r="L708" s="17">
        <f t="shared" ca="1" si="22"/>
        <v>46167</v>
      </c>
      <c r="M708" s="6" t="str">
        <f t="shared" ca="1" si="23"/>
        <v>25/05/yyyy a 31/05/yyyy</v>
      </c>
    </row>
    <row r="709" spans="1:13" x14ac:dyDescent="0.3">
      <c r="A709" t="s">
        <v>26</v>
      </c>
      <c r="B709" t="s">
        <v>11</v>
      </c>
      <c r="C709">
        <v>45862</v>
      </c>
      <c r="D709">
        <v>45869</v>
      </c>
      <c r="E709">
        <v>6</v>
      </c>
      <c r="F709">
        <v>6</v>
      </c>
      <c r="G709">
        <v>20</v>
      </c>
      <c r="H709">
        <v>4</v>
      </c>
      <c r="I709">
        <v>1</v>
      </c>
      <c r="J709" t="s">
        <v>55</v>
      </c>
      <c r="K709">
        <v>0</v>
      </c>
      <c r="L709" s="17">
        <f t="shared" ca="1" si="22"/>
        <v>46167</v>
      </c>
      <c r="M709" s="6" t="str">
        <f t="shared" ca="1" si="23"/>
        <v>25/05/yyyy a 31/05/yyyy</v>
      </c>
    </row>
    <row r="710" spans="1:13" x14ac:dyDescent="0.3">
      <c r="A710" t="s">
        <v>26</v>
      </c>
      <c r="B710" t="s">
        <v>16</v>
      </c>
      <c r="C710">
        <v>45862</v>
      </c>
      <c r="D710">
        <v>45869</v>
      </c>
      <c r="E710">
        <v>2.5</v>
      </c>
      <c r="F710">
        <v>2.5</v>
      </c>
      <c r="G710">
        <v>20</v>
      </c>
      <c r="H710">
        <v>4</v>
      </c>
      <c r="I710">
        <v>0.41666666666666669</v>
      </c>
      <c r="J710" t="s">
        <v>44</v>
      </c>
      <c r="K710">
        <v>0</v>
      </c>
      <c r="L710" s="17">
        <f t="shared" ca="1" si="22"/>
        <v>46167</v>
      </c>
      <c r="M710" s="6" t="str">
        <f t="shared" ca="1" si="23"/>
        <v>25/05/yyyy a 31/05/yyyy</v>
      </c>
    </row>
    <row r="711" spans="1:13" x14ac:dyDescent="0.3">
      <c r="A711" t="s">
        <v>26</v>
      </c>
      <c r="B711" t="s">
        <v>16</v>
      </c>
      <c r="C711">
        <v>45862</v>
      </c>
      <c r="D711">
        <v>45869</v>
      </c>
      <c r="E711">
        <v>2.5</v>
      </c>
      <c r="F711">
        <v>2.5</v>
      </c>
      <c r="G711">
        <v>20</v>
      </c>
      <c r="H711">
        <v>4</v>
      </c>
      <c r="I711">
        <v>0.41666666666666669</v>
      </c>
      <c r="J711" t="s">
        <v>45</v>
      </c>
      <c r="K711">
        <v>0</v>
      </c>
      <c r="L711" s="17">
        <f t="shared" ca="1" si="22"/>
        <v>46174</v>
      </c>
      <c r="M711" s="6" t="str">
        <f t="shared" ca="1" si="23"/>
        <v>01/06/yyyy a 07/06/yyyy</v>
      </c>
    </row>
    <row r="712" spans="1:13" x14ac:dyDescent="0.3">
      <c r="A712" t="s">
        <v>26</v>
      </c>
      <c r="B712" t="s">
        <v>16</v>
      </c>
      <c r="C712">
        <v>45862</v>
      </c>
      <c r="D712">
        <v>45869</v>
      </c>
      <c r="E712">
        <v>2.5</v>
      </c>
      <c r="F712">
        <v>2.5</v>
      </c>
      <c r="G712">
        <v>20</v>
      </c>
      <c r="H712">
        <v>4</v>
      </c>
      <c r="I712">
        <v>0.41666666666666669</v>
      </c>
      <c r="J712" t="s">
        <v>46</v>
      </c>
      <c r="K712">
        <v>0</v>
      </c>
      <c r="L712" s="17">
        <f t="shared" ca="1" si="22"/>
        <v>46181</v>
      </c>
      <c r="M712" s="6" t="str">
        <f t="shared" ca="1" si="23"/>
        <v>08/06/yyyy a 14/06/yyyy</v>
      </c>
    </row>
    <row r="713" spans="1:13" x14ac:dyDescent="0.3">
      <c r="A713" t="s">
        <v>26</v>
      </c>
      <c r="B713" t="s">
        <v>16</v>
      </c>
      <c r="C713">
        <v>45862</v>
      </c>
      <c r="D713">
        <v>45869</v>
      </c>
      <c r="E713">
        <v>2.5</v>
      </c>
      <c r="F713">
        <v>2.5</v>
      </c>
      <c r="G713">
        <v>20</v>
      </c>
      <c r="H713">
        <v>4</v>
      </c>
      <c r="I713">
        <v>0.41666666666666669</v>
      </c>
      <c r="J713" t="s">
        <v>47</v>
      </c>
      <c r="K713">
        <v>0.83333333333333348</v>
      </c>
      <c r="L713" s="17">
        <f t="shared" ca="1" si="22"/>
        <v>46188</v>
      </c>
      <c r="M713" s="6" t="str">
        <f t="shared" ca="1" si="23"/>
        <v>15/06/yyyy a 21/06/yyyy</v>
      </c>
    </row>
    <row r="714" spans="1:13" x14ac:dyDescent="0.3">
      <c r="A714" t="s">
        <v>26</v>
      </c>
      <c r="B714" t="s">
        <v>16</v>
      </c>
      <c r="C714">
        <v>45862</v>
      </c>
      <c r="D714">
        <v>45869</v>
      </c>
      <c r="E714">
        <v>2.5</v>
      </c>
      <c r="F714">
        <v>2.5</v>
      </c>
      <c r="G714">
        <v>20</v>
      </c>
      <c r="H714">
        <v>4</v>
      </c>
      <c r="I714">
        <v>0.41666666666666669</v>
      </c>
      <c r="J714" t="s">
        <v>48</v>
      </c>
      <c r="K714">
        <v>1.6666666666666667</v>
      </c>
      <c r="L714" s="17">
        <f t="shared" ca="1" si="22"/>
        <v>46195</v>
      </c>
      <c r="M714" s="6" t="str">
        <f t="shared" ca="1" si="23"/>
        <v>22/06/yyyy a 28/06/yyyy</v>
      </c>
    </row>
    <row r="715" spans="1:13" x14ac:dyDescent="0.3">
      <c r="A715" t="s">
        <v>26</v>
      </c>
      <c r="B715" t="s">
        <v>16</v>
      </c>
      <c r="C715">
        <v>45862</v>
      </c>
      <c r="D715">
        <v>45869</v>
      </c>
      <c r="E715">
        <v>2.5</v>
      </c>
      <c r="F715">
        <v>2.5</v>
      </c>
      <c r="G715">
        <v>20</v>
      </c>
      <c r="H715">
        <v>4</v>
      </c>
      <c r="I715">
        <v>0.41666666666666669</v>
      </c>
      <c r="J715" t="s">
        <v>49</v>
      </c>
      <c r="K715">
        <v>0</v>
      </c>
      <c r="L715" s="17">
        <f t="shared" ca="1" si="22"/>
        <v>46202</v>
      </c>
      <c r="M715" s="6" t="str">
        <f t="shared" ca="1" si="23"/>
        <v>29/06/yyyy a 05/07/yyyy</v>
      </c>
    </row>
    <row r="716" spans="1:13" x14ac:dyDescent="0.3">
      <c r="A716" t="s">
        <v>26</v>
      </c>
      <c r="B716" t="s">
        <v>16</v>
      </c>
      <c r="C716">
        <v>45862</v>
      </c>
      <c r="D716">
        <v>45869</v>
      </c>
      <c r="E716">
        <v>2.5</v>
      </c>
      <c r="F716">
        <v>2.5</v>
      </c>
      <c r="G716">
        <v>20</v>
      </c>
      <c r="H716">
        <v>4</v>
      </c>
      <c r="I716">
        <v>0.41666666666666669</v>
      </c>
      <c r="J716" t="s">
        <v>50</v>
      </c>
      <c r="K716">
        <v>0</v>
      </c>
      <c r="L716" s="17">
        <f t="shared" ca="1" si="22"/>
        <v>46209</v>
      </c>
      <c r="M716" s="6" t="str">
        <f t="shared" ca="1" si="23"/>
        <v>06/07/yyyy a 12/07/yyyy</v>
      </c>
    </row>
    <row r="717" spans="1:13" x14ac:dyDescent="0.3">
      <c r="A717" t="s">
        <v>26</v>
      </c>
      <c r="B717" t="s">
        <v>16</v>
      </c>
      <c r="C717">
        <v>45862</v>
      </c>
      <c r="D717">
        <v>45869</v>
      </c>
      <c r="E717">
        <v>2.5</v>
      </c>
      <c r="F717">
        <v>2.5</v>
      </c>
      <c r="G717">
        <v>20</v>
      </c>
      <c r="H717">
        <v>4</v>
      </c>
      <c r="I717">
        <v>0.41666666666666669</v>
      </c>
      <c r="J717" t="s">
        <v>51</v>
      </c>
      <c r="K717">
        <v>0</v>
      </c>
      <c r="L717" s="17">
        <f t="shared" ca="1" si="22"/>
        <v>46216</v>
      </c>
      <c r="M717" s="6" t="str">
        <f t="shared" ca="1" si="23"/>
        <v>13/07/yyyy a 19/07/yyyy</v>
      </c>
    </row>
    <row r="718" spans="1:13" x14ac:dyDescent="0.3">
      <c r="A718" t="s">
        <v>26</v>
      </c>
      <c r="B718" t="s">
        <v>16</v>
      </c>
      <c r="C718">
        <v>45862</v>
      </c>
      <c r="D718">
        <v>45869</v>
      </c>
      <c r="E718">
        <v>2.5</v>
      </c>
      <c r="F718">
        <v>2.5</v>
      </c>
      <c r="G718">
        <v>20</v>
      </c>
      <c r="H718">
        <v>4</v>
      </c>
      <c r="I718">
        <v>0.41666666666666669</v>
      </c>
      <c r="J718" t="s">
        <v>52</v>
      </c>
      <c r="K718">
        <v>0</v>
      </c>
      <c r="L718" s="17">
        <f t="shared" ca="1" si="22"/>
        <v>46223</v>
      </c>
      <c r="M718" s="6" t="str">
        <f t="shared" ca="1" si="23"/>
        <v>20/07/yyyy a 26/07/yyyy</v>
      </c>
    </row>
    <row r="719" spans="1:13" x14ac:dyDescent="0.3">
      <c r="A719" t="s">
        <v>26</v>
      </c>
      <c r="B719" t="s">
        <v>16</v>
      </c>
      <c r="C719">
        <v>45862</v>
      </c>
      <c r="D719">
        <v>45869</v>
      </c>
      <c r="E719">
        <v>2.5</v>
      </c>
      <c r="F719">
        <v>2.5</v>
      </c>
      <c r="G719">
        <v>20</v>
      </c>
      <c r="H719">
        <v>4</v>
      </c>
      <c r="I719">
        <v>0.41666666666666669</v>
      </c>
      <c r="J719" t="s">
        <v>53</v>
      </c>
      <c r="K719">
        <v>0</v>
      </c>
      <c r="L719" s="17">
        <f t="shared" ca="1" si="22"/>
        <v>46167</v>
      </c>
      <c r="M719" s="6" t="str">
        <f t="shared" ca="1" si="23"/>
        <v>25/05/yyyy a 31/05/yyyy</v>
      </c>
    </row>
    <row r="720" spans="1:13" x14ac:dyDescent="0.3">
      <c r="A720" t="s">
        <v>26</v>
      </c>
      <c r="B720" t="s">
        <v>16</v>
      </c>
      <c r="C720">
        <v>45862</v>
      </c>
      <c r="D720">
        <v>45869</v>
      </c>
      <c r="E720">
        <v>2.5</v>
      </c>
      <c r="F720">
        <v>2.5</v>
      </c>
      <c r="G720">
        <v>20</v>
      </c>
      <c r="H720">
        <v>4</v>
      </c>
      <c r="I720">
        <v>0.41666666666666669</v>
      </c>
      <c r="J720" t="s">
        <v>54</v>
      </c>
      <c r="K720">
        <v>0</v>
      </c>
      <c r="L720" s="17">
        <f t="shared" ca="1" si="22"/>
        <v>46167</v>
      </c>
      <c r="M720" s="6" t="str">
        <f t="shared" ca="1" si="23"/>
        <v>25/05/yyyy a 31/05/yyyy</v>
      </c>
    </row>
    <row r="721" spans="1:13" x14ac:dyDescent="0.3">
      <c r="A721" t="s">
        <v>26</v>
      </c>
      <c r="B721" t="s">
        <v>16</v>
      </c>
      <c r="C721">
        <v>45862</v>
      </c>
      <c r="D721">
        <v>45869</v>
      </c>
      <c r="E721">
        <v>2.5</v>
      </c>
      <c r="F721">
        <v>2.5</v>
      </c>
      <c r="G721">
        <v>20</v>
      </c>
      <c r="H721">
        <v>4</v>
      </c>
      <c r="I721">
        <v>0.41666666666666669</v>
      </c>
      <c r="J721" t="s">
        <v>55</v>
      </c>
      <c r="K721">
        <v>0</v>
      </c>
      <c r="L721" s="17">
        <f t="shared" ca="1" si="22"/>
        <v>46167</v>
      </c>
      <c r="M721" s="6" t="str">
        <f t="shared" ca="1" si="23"/>
        <v>25/05/yyyy a 31/05/yyyy</v>
      </c>
    </row>
    <row r="722" spans="1:13" x14ac:dyDescent="0.3">
      <c r="A722" t="s">
        <v>26</v>
      </c>
      <c r="B722" t="s">
        <v>27</v>
      </c>
      <c r="C722">
        <v>45848</v>
      </c>
      <c r="D722">
        <v>45855</v>
      </c>
      <c r="E722">
        <v>3.5</v>
      </c>
      <c r="F722">
        <v>3.5</v>
      </c>
      <c r="G722">
        <v>10</v>
      </c>
      <c r="H722">
        <v>2</v>
      </c>
      <c r="I722">
        <v>0.58333333333333337</v>
      </c>
      <c r="J722" t="s">
        <v>44</v>
      </c>
      <c r="K722">
        <v>0</v>
      </c>
      <c r="L722" s="17">
        <f t="shared" ca="1" si="22"/>
        <v>46167</v>
      </c>
      <c r="M722" s="6" t="str">
        <f t="shared" ca="1" si="23"/>
        <v>25/05/yyyy a 31/05/yyyy</v>
      </c>
    </row>
    <row r="723" spans="1:13" x14ac:dyDescent="0.3">
      <c r="A723" t="s">
        <v>26</v>
      </c>
      <c r="B723" t="s">
        <v>27</v>
      </c>
      <c r="C723">
        <v>45848</v>
      </c>
      <c r="D723">
        <v>45855</v>
      </c>
      <c r="E723">
        <v>3.5</v>
      </c>
      <c r="F723">
        <v>3.5</v>
      </c>
      <c r="G723">
        <v>10</v>
      </c>
      <c r="H723">
        <v>2</v>
      </c>
      <c r="I723">
        <v>0.58333333333333337</v>
      </c>
      <c r="J723" t="s">
        <v>45</v>
      </c>
      <c r="K723">
        <v>1.166666666666667</v>
      </c>
      <c r="L723" s="17">
        <f t="shared" ca="1" si="22"/>
        <v>46174</v>
      </c>
      <c r="M723" s="6" t="str">
        <f t="shared" ca="1" si="23"/>
        <v>01/06/yyyy a 07/06/yyyy</v>
      </c>
    </row>
    <row r="724" spans="1:13" x14ac:dyDescent="0.3">
      <c r="A724" t="s">
        <v>26</v>
      </c>
      <c r="B724" t="s">
        <v>27</v>
      </c>
      <c r="C724">
        <v>45848</v>
      </c>
      <c r="D724">
        <v>45855</v>
      </c>
      <c r="E724">
        <v>3.5</v>
      </c>
      <c r="F724">
        <v>3.5</v>
      </c>
      <c r="G724">
        <v>10</v>
      </c>
      <c r="H724">
        <v>2</v>
      </c>
      <c r="I724">
        <v>0.58333333333333337</v>
      </c>
      <c r="J724" t="s">
        <v>46</v>
      </c>
      <c r="K724">
        <v>2.3333333333333335</v>
      </c>
      <c r="L724" s="17">
        <f t="shared" ca="1" si="22"/>
        <v>46181</v>
      </c>
      <c r="M724" s="6" t="str">
        <f t="shared" ca="1" si="23"/>
        <v>08/06/yyyy a 14/06/yyyy</v>
      </c>
    </row>
    <row r="725" spans="1:13" x14ac:dyDescent="0.3">
      <c r="A725" t="s">
        <v>26</v>
      </c>
      <c r="B725" t="s">
        <v>27</v>
      </c>
      <c r="C725">
        <v>45848</v>
      </c>
      <c r="D725">
        <v>45855</v>
      </c>
      <c r="E725">
        <v>3.5</v>
      </c>
      <c r="F725">
        <v>3.5</v>
      </c>
      <c r="G725">
        <v>10</v>
      </c>
      <c r="H725">
        <v>2</v>
      </c>
      <c r="I725">
        <v>0.58333333333333337</v>
      </c>
      <c r="J725" t="s">
        <v>47</v>
      </c>
      <c r="K725">
        <v>0</v>
      </c>
      <c r="L725" s="17">
        <f t="shared" ca="1" si="22"/>
        <v>46188</v>
      </c>
      <c r="M725" s="6" t="str">
        <f t="shared" ca="1" si="23"/>
        <v>15/06/yyyy a 21/06/yyyy</v>
      </c>
    </row>
    <row r="726" spans="1:13" x14ac:dyDescent="0.3">
      <c r="A726" t="s">
        <v>26</v>
      </c>
      <c r="B726" t="s">
        <v>27</v>
      </c>
      <c r="C726">
        <v>45848</v>
      </c>
      <c r="D726">
        <v>45855</v>
      </c>
      <c r="E726">
        <v>3.5</v>
      </c>
      <c r="F726">
        <v>3.5</v>
      </c>
      <c r="G726">
        <v>10</v>
      </c>
      <c r="H726">
        <v>2</v>
      </c>
      <c r="I726">
        <v>0.58333333333333337</v>
      </c>
      <c r="J726" t="s">
        <v>48</v>
      </c>
      <c r="K726">
        <v>0</v>
      </c>
      <c r="L726" s="17">
        <f t="shared" ca="1" si="22"/>
        <v>46195</v>
      </c>
      <c r="M726" s="6" t="str">
        <f t="shared" ca="1" si="23"/>
        <v>22/06/yyyy a 28/06/yyyy</v>
      </c>
    </row>
    <row r="727" spans="1:13" x14ac:dyDescent="0.3">
      <c r="A727" t="s">
        <v>26</v>
      </c>
      <c r="B727" t="s">
        <v>27</v>
      </c>
      <c r="C727">
        <v>45848</v>
      </c>
      <c r="D727">
        <v>45855</v>
      </c>
      <c r="E727">
        <v>3.5</v>
      </c>
      <c r="F727">
        <v>3.5</v>
      </c>
      <c r="G727">
        <v>10</v>
      </c>
      <c r="H727">
        <v>2</v>
      </c>
      <c r="I727">
        <v>0.58333333333333337</v>
      </c>
      <c r="J727" t="s">
        <v>49</v>
      </c>
      <c r="K727">
        <v>0</v>
      </c>
      <c r="L727" s="17">
        <f t="shared" ca="1" si="22"/>
        <v>46202</v>
      </c>
      <c r="M727" s="6" t="str">
        <f t="shared" ca="1" si="23"/>
        <v>29/06/yyyy a 05/07/yyyy</v>
      </c>
    </row>
    <row r="728" spans="1:13" x14ac:dyDescent="0.3">
      <c r="A728" t="s">
        <v>26</v>
      </c>
      <c r="B728" t="s">
        <v>27</v>
      </c>
      <c r="C728">
        <v>45848</v>
      </c>
      <c r="D728">
        <v>45855</v>
      </c>
      <c r="E728">
        <v>3.5</v>
      </c>
      <c r="F728">
        <v>3.5</v>
      </c>
      <c r="G728">
        <v>10</v>
      </c>
      <c r="H728">
        <v>2</v>
      </c>
      <c r="I728">
        <v>0.58333333333333337</v>
      </c>
      <c r="J728" t="s">
        <v>50</v>
      </c>
      <c r="K728">
        <v>0</v>
      </c>
      <c r="L728" s="17">
        <f t="shared" ca="1" si="22"/>
        <v>46209</v>
      </c>
      <c r="M728" s="6" t="str">
        <f t="shared" ca="1" si="23"/>
        <v>06/07/yyyy a 12/07/yyyy</v>
      </c>
    </row>
    <row r="729" spans="1:13" x14ac:dyDescent="0.3">
      <c r="A729" t="s">
        <v>26</v>
      </c>
      <c r="B729" t="s">
        <v>27</v>
      </c>
      <c r="C729">
        <v>45848</v>
      </c>
      <c r="D729">
        <v>45855</v>
      </c>
      <c r="E729">
        <v>3.5</v>
      </c>
      <c r="F729">
        <v>3.5</v>
      </c>
      <c r="G729">
        <v>10</v>
      </c>
      <c r="H729">
        <v>2</v>
      </c>
      <c r="I729">
        <v>0.58333333333333337</v>
      </c>
      <c r="J729" t="s">
        <v>51</v>
      </c>
      <c r="K729">
        <v>0</v>
      </c>
      <c r="L729" s="17">
        <f t="shared" ca="1" si="22"/>
        <v>46216</v>
      </c>
      <c r="M729" s="6" t="str">
        <f t="shared" ca="1" si="23"/>
        <v>13/07/yyyy a 19/07/yyyy</v>
      </c>
    </row>
    <row r="730" spans="1:13" x14ac:dyDescent="0.3">
      <c r="A730" t="s">
        <v>26</v>
      </c>
      <c r="B730" t="s">
        <v>27</v>
      </c>
      <c r="C730">
        <v>45848</v>
      </c>
      <c r="D730">
        <v>45855</v>
      </c>
      <c r="E730">
        <v>3.5</v>
      </c>
      <c r="F730">
        <v>3.5</v>
      </c>
      <c r="G730">
        <v>10</v>
      </c>
      <c r="H730">
        <v>2</v>
      </c>
      <c r="I730">
        <v>0.58333333333333337</v>
      </c>
      <c r="J730" t="s">
        <v>52</v>
      </c>
      <c r="K730">
        <v>0</v>
      </c>
      <c r="L730" s="17">
        <f t="shared" ca="1" si="22"/>
        <v>46223</v>
      </c>
      <c r="M730" s="6" t="str">
        <f t="shared" ca="1" si="23"/>
        <v>20/07/yyyy a 26/07/yyyy</v>
      </c>
    </row>
    <row r="731" spans="1:13" x14ac:dyDescent="0.3">
      <c r="A731" t="s">
        <v>26</v>
      </c>
      <c r="B731" t="s">
        <v>27</v>
      </c>
      <c r="C731">
        <v>45848</v>
      </c>
      <c r="D731">
        <v>45855</v>
      </c>
      <c r="E731">
        <v>3.5</v>
      </c>
      <c r="F731">
        <v>3.5</v>
      </c>
      <c r="G731">
        <v>10</v>
      </c>
      <c r="H731">
        <v>2</v>
      </c>
      <c r="I731">
        <v>0.58333333333333337</v>
      </c>
      <c r="J731" t="s">
        <v>53</v>
      </c>
      <c r="K731">
        <v>0</v>
      </c>
      <c r="L731" s="17">
        <f t="shared" ca="1" si="22"/>
        <v>46167</v>
      </c>
      <c r="M731" s="6" t="str">
        <f t="shared" ca="1" si="23"/>
        <v>25/05/yyyy a 31/05/yyyy</v>
      </c>
    </row>
    <row r="732" spans="1:13" x14ac:dyDescent="0.3">
      <c r="A732" t="s">
        <v>26</v>
      </c>
      <c r="B732" t="s">
        <v>27</v>
      </c>
      <c r="C732">
        <v>45848</v>
      </c>
      <c r="D732">
        <v>45855</v>
      </c>
      <c r="E732">
        <v>3.5</v>
      </c>
      <c r="F732">
        <v>3.5</v>
      </c>
      <c r="G732">
        <v>10</v>
      </c>
      <c r="H732">
        <v>2</v>
      </c>
      <c r="I732">
        <v>0.58333333333333337</v>
      </c>
      <c r="J732" t="s">
        <v>54</v>
      </c>
      <c r="K732">
        <v>0</v>
      </c>
      <c r="L732" s="17">
        <f t="shared" ca="1" si="22"/>
        <v>46167</v>
      </c>
      <c r="M732" s="6" t="str">
        <f t="shared" ca="1" si="23"/>
        <v>25/05/yyyy a 31/05/yyyy</v>
      </c>
    </row>
    <row r="733" spans="1:13" x14ac:dyDescent="0.3">
      <c r="A733" t="s">
        <v>26</v>
      </c>
      <c r="B733" t="s">
        <v>27</v>
      </c>
      <c r="C733">
        <v>45848</v>
      </c>
      <c r="D733">
        <v>45855</v>
      </c>
      <c r="E733">
        <v>3.5</v>
      </c>
      <c r="F733">
        <v>3.5</v>
      </c>
      <c r="G733">
        <v>10</v>
      </c>
      <c r="H733">
        <v>2</v>
      </c>
      <c r="I733">
        <v>0.58333333333333337</v>
      </c>
      <c r="J733" t="s">
        <v>55</v>
      </c>
      <c r="K733">
        <v>0</v>
      </c>
      <c r="L733" s="17">
        <f t="shared" ca="1" si="22"/>
        <v>46167</v>
      </c>
      <c r="M733" s="6" t="str">
        <f t="shared" ca="1" si="23"/>
        <v>25/05/yyyy a 31/05/yyyy</v>
      </c>
    </row>
    <row r="734" spans="1:13" x14ac:dyDescent="0.3">
      <c r="A734" t="s">
        <v>26</v>
      </c>
      <c r="B734" t="s">
        <v>29</v>
      </c>
      <c r="C734">
        <v>45848</v>
      </c>
      <c r="D734">
        <v>45855</v>
      </c>
      <c r="E734">
        <v>2.5</v>
      </c>
      <c r="F734">
        <v>2.5</v>
      </c>
      <c r="G734">
        <v>10</v>
      </c>
      <c r="H734">
        <v>2</v>
      </c>
      <c r="I734">
        <v>0.41666666666666669</v>
      </c>
      <c r="J734" t="s">
        <v>44</v>
      </c>
      <c r="K734">
        <v>0</v>
      </c>
      <c r="L734" s="17">
        <f t="shared" ca="1" si="22"/>
        <v>46167</v>
      </c>
      <c r="M734" s="6" t="str">
        <f t="shared" ca="1" si="23"/>
        <v>25/05/yyyy a 31/05/yyyy</v>
      </c>
    </row>
    <row r="735" spans="1:13" x14ac:dyDescent="0.3">
      <c r="A735" t="s">
        <v>26</v>
      </c>
      <c r="B735" t="s">
        <v>29</v>
      </c>
      <c r="C735">
        <v>45848</v>
      </c>
      <c r="D735">
        <v>45855</v>
      </c>
      <c r="E735">
        <v>2.5</v>
      </c>
      <c r="F735">
        <v>2.5</v>
      </c>
      <c r="G735">
        <v>10</v>
      </c>
      <c r="H735">
        <v>2</v>
      </c>
      <c r="I735">
        <v>0.41666666666666669</v>
      </c>
      <c r="J735" t="s">
        <v>45</v>
      </c>
      <c r="K735">
        <v>0.83333333333333348</v>
      </c>
      <c r="L735" s="17">
        <f t="shared" ca="1" si="22"/>
        <v>46174</v>
      </c>
      <c r="M735" s="6" t="str">
        <f t="shared" ca="1" si="23"/>
        <v>01/06/yyyy a 07/06/yyyy</v>
      </c>
    </row>
    <row r="736" spans="1:13" x14ac:dyDescent="0.3">
      <c r="A736" t="s">
        <v>26</v>
      </c>
      <c r="B736" t="s">
        <v>29</v>
      </c>
      <c r="C736">
        <v>45848</v>
      </c>
      <c r="D736">
        <v>45855</v>
      </c>
      <c r="E736">
        <v>2.5</v>
      </c>
      <c r="F736">
        <v>2.5</v>
      </c>
      <c r="G736">
        <v>10</v>
      </c>
      <c r="H736">
        <v>2</v>
      </c>
      <c r="I736">
        <v>0.41666666666666669</v>
      </c>
      <c r="J736" t="s">
        <v>46</v>
      </c>
      <c r="K736">
        <v>1.6666666666666667</v>
      </c>
      <c r="L736" s="17">
        <f t="shared" ca="1" si="22"/>
        <v>46181</v>
      </c>
      <c r="M736" s="6" t="str">
        <f t="shared" ca="1" si="23"/>
        <v>08/06/yyyy a 14/06/yyyy</v>
      </c>
    </row>
    <row r="737" spans="1:13" x14ac:dyDescent="0.3">
      <c r="A737" t="s">
        <v>26</v>
      </c>
      <c r="B737" t="s">
        <v>29</v>
      </c>
      <c r="C737">
        <v>45848</v>
      </c>
      <c r="D737">
        <v>45855</v>
      </c>
      <c r="E737">
        <v>2.5</v>
      </c>
      <c r="F737">
        <v>2.5</v>
      </c>
      <c r="G737">
        <v>10</v>
      </c>
      <c r="H737">
        <v>2</v>
      </c>
      <c r="I737">
        <v>0.41666666666666669</v>
      </c>
      <c r="J737" t="s">
        <v>47</v>
      </c>
      <c r="K737">
        <v>0</v>
      </c>
      <c r="L737" s="17">
        <f t="shared" ca="1" si="22"/>
        <v>46188</v>
      </c>
      <c r="M737" s="6" t="str">
        <f t="shared" ca="1" si="23"/>
        <v>15/06/yyyy a 21/06/yyyy</v>
      </c>
    </row>
    <row r="738" spans="1:13" x14ac:dyDescent="0.3">
      <c r="A738" t="s">
        <v>26</v>
      </c>
      <c r="B738" t="s">
        <v>29</v>
      </c>
      <c r="C738">
        <v>45848</v>
      </c>
      <c r="D738">
        <v>45855</v>
      </c>
      <c r="E738">
        <v>2.5</v>
      </c>
      <c r="F738">
        <v>2.5</v>
      </c>
      <c r="G738">
        <v>10</v>
      </c>
      <c r="H738">
        <v>2</v>
      </c>
      <c r="I738">
        <v>0.41666666666666669</v>
      </c>
      <c r="J738" t="s">
        <v>48</v>
      </c>
      <c r="K738">
        <v>0</v>
      </c>
      <c r="L738" s="17">
        <f t="shared" ca="1" si="22"/>
        <v>46195</v>
      </c>
      <c r="M738" s="6" t="str">
        <f t="shared" ca="1" si="23"/>
        <v>22/06/yyyy a 28/06/yyyy</v>
      </c>
    </row>
    <row r="739" spans="1:13" x14ac:dyDescent="0.3">
      <c r="A739" t="s">
        <v>26</v>
      </c>
      <c r="B739" t="s">
        <v>29</v>
      </c>
      <c r="C739">
        <v>45848</v>
      </c>
      <c r="D739">
        <v>45855</v>
      </c>
      <c r="E739">
        <v>2.5</v>
      </c>
      <c r="F739">
        <v>2.5</v>
      </c>
      <c r="G739">
        <v>10</v>
      </c>
      <c r="H739">
        <v>2</v>
      </c>
      <c r="I739">
        <v>0.41666666666666669</v>
      </c>
      <c r="J739" t="s">
        <v>49</v>
      </c>
      <c r="K739">
        <v>0</v>
      </c>
      <c r="L739" s="17">
        <f t="shared" ca="1" si="22"/>
        <v>46202</v>
      </c>
      <c r="M739" s="6" t="str">
        <f t="shared" ca="1" si="23"/>
        <v>29/06/yyyy a 05/07/yyyy</v>
      </c>
    </row>
    <row r="740" spans="1:13" x14ac:dyDescent="0.3">
      <c r="A740" t="s">
        <v>26</v>
      </c>
      <c r="B740" t="s">
        <v>29</v>
      </c>
      <c r="C740">
        <v>45848</v>
      </c>
      <c r="D740">
        <v>45855</v>
      </c>
      <c r="E740">
        <v>2.5</v>
      </c>
      <c r="F740">
        <v>2.5</v>
      </c>
      <c r="G740">
        <v>10</v>
      </c>
      <c r="H740">
        <v>2</v>
      </c>
      <c r="I740">
        <v>0.41666666666666669</v>
      </c>
      <c r="J740" t="s">
        <v>50</v>
      </c>
      <c r="K740">
        <v>0</v>
      </c>
      <c r="L740" s="17">
        <f t="shared" ca="1" si="22"/>
        <v>46209</v>
      </c>
      <c r="M740" s="6" t="str">
        <f t="shared" ca="1" si="23"/>
        <v>06/07/yyyy a 12/07/yyyy</v>
      </c>
    </row>
    <row r="741" spans="1:13" x14ac:dyDescent="0.3">
      <c r="A741" t="s">
        <v>26</v>
      </c>
      <c r="B741" t="s">
        <v>29</v>
      </c>
      <c r="C741">
        <v>45848</v>
      </c>
      <c r="D741">
        <v>45855</v>
      </c>
      <c r="E741">
        <v>2.5</v>
      </c>
      <c r="F741">
        <v>2.5</v>
      </c>
      <c r="G741">
        <v>10</v>
      </c>
      <c r="H741">
        <v>2</v>
      </c>
      <c r="I741">
        <v>0.41666666666666669</v>
      </c>
      <c r="J741" t="s">
        <v>51</v>
      </c>
      <c r="K741">
        <v>0</v>
      </c>
      <c r="L741" s="17">
        <f t="shared" ca="1" si="22"/>
        <v>46216</v>
      </c>
      <c r="M741" s="6" t="str">
        <f t="shared" ca="1" si="23"/>
        <v>13/07/yyyy a 19/07/yyyy</v>
      </c>
    </row>
    <row r="742" spans="1:13" x14ac:dyDescent="0.3">
      <c r="A742" t="s">
        <v>26</v>
      </c>
      <c r="B742" t="s">
        <v>29</v>
      </c>
      <c r="C742">
        <v>45848</v>
      </c>
      <c r="D742">
        <v>45855</v>
      </c>
      <c r="E742">
        <v>2.5</v>
      </c>
      <c r="F742">
        <v>2.5</v>
      </c>
      <c r="G742">
        <v>10</v>
      </c>
      <c r="H742">
        <v>2</v>
      </c>
      <c r="I742">
        <v>0.41666666666666669</v>
      </c>
      <c r="J742" t="s">
        <v>52</v>
      </c>
      <c r="K742">
        <v>0</v>
      </c>
      <c r="L742" s="17">
        <f t="shared" ca="1" si="22"/>
        <v>46223</v>
      </c>
      <c r="M742" s="6" t="str">
        <f t="shared" ca="1" si="23"/>
        <v>20/07/yyyy a 26/07/yyyy</v>
      </c>
    </row>
    <row r="743" spans="1:13" x14ac:dyDescent="0.3">
      <c r="A743" t="s">
        <v>26</v>
      </c>
      <c r="B743" t="s">
        <v>29</v>
      </c>
      <c r="C743">
        <v>45848</v>
      </c>
      <c r="D743">
        <v>45855</v>
      </c>
      <c r="E743">
        <v>2.5</v>
      </c>
      <c r="F743">
        <v>2.5</v>
      </c>
      <c r="G743">
        <v>10</v>
      </c>
      <c r="H743">
        <v>2</v>
      </c>
      <c r="I743">
        <v>0.41666666666666669</v>
      </c>
      <c r="J743" t="s">
        <v>53</v>
      </c>
      <c r="K743">
        <v>0</v>
      </c>
      <c r="L743" s="17">
        <f t="shared" ca="1" si="22"/>
        <v>46167</v>
      </c>
      <c r="M743" s="6" t="str">
        <f t="shared" ca="1" si="23"/>
        <v>25/05/yyyy a 31/05/yyyy</v>
      </c>
    </row>
    <row r="744" spans="1:13" x14ac:dyDescent="0.3">
      <c r="A744" t="s">
        <v>26</v>
      </c>
      <c r="B744" t="s">
        <v>29</v>
      </c>
      <c r="C744">
        <v>45848</v>
      </c>
      <c r="D744">
        <v>45855</v>
      </c>
      <c r="E744">
        <v>2.5</v>
      </c>
      <c r="F744">
        <v>2.5</v>
      </c>
      <c r="G744">
        <v>10</v>
      </c>
      <c r="H744">
        <v>2</v>
      </c>
      <c r="I744">
        <v>0.41666666666666669</v>
      </c>
      <c r="J744" t="s">
        <v>54</v>
      </c>
      <c r="K744">
        <v>0</v>
      </c>
      <c r="L744" s="17">
        <f t="shared" ca="1" si="22"/>
        <v>46167</v>
      </c>
      <c r="M744" s="6" t="str">
        <f t="shared" ca="1" si="23"/>
        <v>25/05/yyyy a 31/05/yyyy</v>
      </c>
    </row>
    <row r="745" spans="1:13" x14ac:dyDescent="0.3">
      <c r="A745" t="s">
        <v>26</v>
      </c>
      <c r="B745" t="s">
        <v>29</v>
      </c>
      <c r="C745">
        <v>45848</v>
      </c>
      <c r="D745">
        <v>45855</v>
      </c>
      <c r="E745">
        <v>2.5</v>
      </c>
      <c r="F745">
        <v>2.5</v>
      </c>
      <c r="G745">
        <v>10</v>
      </c>
      <c r="H745">
        <v>2</v>
      </c>
      <c r="I745">
        <v>0.41666666666666669</v>
      </c>
      <c r="J745" t="s">
        <v>55</v>
      </c>
      <c r="K745">
        <v>0</v>
      </c>
      <c r="L745" s="17">
        <f t="shared" ca="1" si="22"/>
        <v>46167</v>
      </c>
      <c r="M745" s="6" t="str">
        <f t="shared" ca="1" si="23"/>
        <v>25/05/yyyy a 31/05/yyyy</v>
      </c>
    </row>
    <row r="746" spans="1:13" x14ac:dyDescent="0.3">
      <c r="A746" t="s">
        <v>26</v>
      </c>
      <c r="B746" t="s">
        <v>30</v>
      </c>
      <c r="C746">
        <v>45862</v>
      </c>
      <c r="D746">
        <v>45869</v>
      </c>
      <c r="E746">
        <v>3</v>
      </c>
      <c r="F746">
        <v>3</v>
      </c>
      <c r="G746">
        <v>20</v>
      </c>
      <c r="H746">
        <v>4</v>
      </c>
      <c r="I746">
        <v>0.5</v>
      </c>
      <c r="J746" t="s">
        <v>44</v>
      </c>
      <c r="K746">
        <v>0</v>
      </c>
      <c r="L746" s="17">
        <f t="shared" ca="1" si="22"/>
        <v>46167</v>
      </c>
      <c r="M746" s="6" t="str">
        <f t="shared" ca="1" si="23"/>
        <v>25/05/yyyy a 31/05/yyyy</v>
      </c>
    </row>
    <row r="747" spans="1:13" x14ac:dyDescent="0.3">
      <c r="A747" t="s">
        <v>26</v>
      </c>
      <c r="B747" t="s">
        <v>30</v>
      </c>
      <c r="C747">
        <v>45862</v>
      </c>
      <c r="D747">
        <v>45869</v>
      </c>
      <c r="E747">
        <v>3</v>
      </c>
      <c r="F747">
        <v>3</v>
      </c>
      <c r="G747">
        <v>20</v>
      </c>
      <c r="H747">
        <v>4</v>
      </c>
      <c r="I747">
        <v>0.5</v>
      </c>
      <c r="J747" t="s">
        <v>45</v>
      </c>
      <c r="K747">
        <v>0</v>
      </c>
      <c r="L747" s="17">
        <f t="shared" ca="1" si="22"/>
        <v>46174</v>
      </c>
      <c r="M747" s="6" t="str">
        <f t="shared" ca="1" si="23"/>
        <v>01/06/yyyy a 07/06/yyyy</v>
      </c>
    </row>
    <row r="748" spans="1:13" x14ac:dyDescent="0.3">
      <c r="A748" t="s">
        <v>26</v>
      </c>
      <c r="B748" t="s">
        <v>30</v>
      </c>
      <c r="C748">
        <v>45862</v>
      </c>
      <c r="D748">
        <v>45869</v>
      </c>
      <c r="E748">
        <v>3</v>
      </c>
      <c r="F748">
        <v>3</v>
      </c>
      <c r="G748">
        <v>20</v>
      </c>
      <c r="H748">
        <v>4</v>
      </c>
      <c r="I748">
        <v>0.5</v>
      </c>
      <c r="J748" t="s">
        <v>46</v>
      </c>
      <c r="K748">
        <v>0</v>
      </c>
      <c r="L748" s="17">
        <f t="shared" ca="1" si="22"/>
        <v>46181</v>
      </c>
      <c r="M748" s="6" t="str">
        <f t="shared" ca="1" si="23"/>
        <v>08/06/yyyy a 14/06/yyyy</v>
      </c>
    </row>
    <row r="749" spans="1:13" x14ac:dyDescent="0.3">
      <c r="A749" t="s">
        <v>26</v>
      </c>
      <c r="B749" t="s">
        <v>30</v>
      </c>
      <c r="C749">
        <v>45862</v>
      </c>
      <c r="D749">
        <v>45869</v>
      </c>
      <c r="E749">
        <v>3</v>
      </c>
      <c r="F749">
        <v>3</v>
      </c>
      <c r="G749">
        <v>20</v>
      </c>
      <c r="H749">
        <v>4</v>
      </c>
      <c r="I749">
        <v>0.5</v>
      </c>
      <c r="J749" t="s">
        <v>47</v>
      </c>
      <c r="K749">
        <v>1</v>
      </c>
      <c r="L749" s="17">
        <f t="shared" ca="1" si="22"/>
        <v>46188</v>
      </c>
      <c r="M749" s="6" t="str">
        <f t="shared" ca="1" si="23"/>
        <v>15/06/yyyy a 21/06/yyyy</v>
      </c>
    </row>
    <row r="750" spans="1:13" x14ac:dyDescent="0.3">
      <c r="A750" t="s">
        <v>26</v>
      </c>
      <c r="B750" t="s">
        <v>30</v>
      </c>
      <c r="C750">
        <v>45862</v>
      </c>
      <c r="D750">
        <v>45869</v>
      </c>
      <c r="E750">
        <v>3</v>
      </c>
      <c r="F750">
        <v>3</v>
      </c>
      <c r="G750">
        <v>20</v>
      </c>
      <c r="H750">
        <v>4</v>
      </c>
      <c r="I750">
        <v>0.5</v>
      </c>
      <c r="J750" t="s">
        <v>48</v>
      </c>
      <c r="K750">
        <v>2</v>
      </c>
      <c r="L750" s="17">
        <f t="shared" ca="1" si="22"/>
        <v>46195</v>
      </c>
      <c r="M750" s="6" t="str">
        <f t="shared" ca="1" si="23"/>
        <v>22/06/yyyy a 28/06/yyyy</v>
      </c>
    </row>
    <row r="751" spans="1:13" x14ac:dyDescent="0.3">
      <c r="A751" t="s">
        <v>26</v>
      </c>
      <c r="B751" t="s">
        <v>30</v>
      </c>
      <c r="C751">
        <v>45862</v>
      </c>
      <c r="D751">
        <v>45869</v>
      </c>
      <c r="E751">
        <v>3</v>
      </c>
      <c r="F751">
        <v>3</v>
      </c>
      <c r="G751">
        <v>20</v>
      </c>
      <c r="H751">
        <v>4</v>
      </c>
      <c r="I751">
        <v>0.5</v>
      </c>
      <c r="J751" t="s">
        <v>49</v>
      </c>
      <c r="K751">
        <v>0</v>
      </c>
      <c r="L751" s="17">
        <f t="shared" ca="1" si="22"/>
        <v>46202</v>
      </c>
      <c r="M751" s="6" t="str">
        <f t="shared" ca="1" si="23"/>
        <v>29/06/yyyy a 05/07/yyyy</v>
      </c>
    </row>
    <row r="752" spans="1:13" x14ac:dyDescent="0.3">
      <c r="A752" t="s">
        <v>26</v>
      </c>
      <c r="B752" t="s">
        <v>30</v>
      </c>
      <c r="C752">
        <v>45862</v>
      </c>
      <c r="D752">
        <v>45869</v>
      </c>
      <c r="E752">
        <v>3</v>
      </c>
      <c r="F752">
        <v>3</v>
      </c>
      <c r="G752">
        <v>20</v>
      </c>
      <c r="H752">
        <v>4</v>
      </c>
      <c r="I752">
        <v>0.5</v>
      </c>
      <c r="J752" t="s">
        <v>50</v>
      </c>
      <c r="K752">
        <v>0</v>
      </c>
      <c r="L752" s="17">
        <f t="shared" ca="1" si="22"/>
        <v>46209</v>
      </c>
      <c r="M752" s="6" t="str">
        <f t="shared" ca="1" si="23"/>
        <v>06/07/yyyy a 12/07/yyyy</v>
      </c>
    </row>
    <row r="753" spans="1:13" x14ac:dyDescent="0.3">
      <c r="A753" t="s">
        <v>26</v>
      </c>
      <c r="B753" t="s">
        <v>30</v>
      </c>
      <c r="C753">
        <v>45862</v>
      </c>
      <c r="D753">
        <v>45869</v>
      </c>
      <c r="E753">
        <v>3</v>
      </c>
      <c r="F753">
        <v>3</v>
      </c>
      <c r="G753">
        <v>20</v>
      </c>
      <c r="H753">
        <v>4</v>
      </c>
      <c r="I753">
        <v>0.5</v>
      </c>
      <c r="J753" t="s">
        <v>51</v>
      </c>
      <c r="K753">
        <v>0</v>
      </c>
      <c r="L753" s="17">
        <f t="shared" ca="1" si="22"/>
        <v>46216</v>
      </c>
      <c r="M753" s="6" t="str">
        <f t="shared" ca="1" si="23"/>
        <v>13/07/yyyy a 19/07/yyyy</v>
      </c>
    </row>
    <row r="754" spans="1:13" x14ac:dyDescent="0.3">
      <c r="A754" t="s">
        <v>26</v>
      </c>
      <c r="B754" t="s">
        <v>30</v>
      </c>
      <c r="C754">
        <v>45862</v>
      </c>
      <c r="D754">
        <v>45869</v>
      </c>
      <c r="E754">
        <v>3</v>
      </c>
      <c r="F754">
        <v>3</v>
      </c>
      <c r="G754">
        <v>20</v>
      </c>
      <c r="H754">
        <v>4</v>
      </c>
      <c r="I754">
        <v>0.5</v>
      </c>
      <c r="J754" t="s">
        <v>52</v>
      </c>
      <c r="K754">
        <v>0</v>
      </c>
      <c r="L754" s="17">
        <f t="shared" ca="1" si="22"/>
        <v>46223</v>
      </c>
      <c r="M754" s="6" t="str">
        <f t="shared" ca="1" si="23"/>
        <v>20/07/yyyy a 26/07/yyyy</v>
      </c>
    </row>
    <row r="755" spans="1:13" x14ac:dyDescent="0.3">
      <c r="A755" t="s">
        <v>26</v>
      </c>
      <c r="B755" t="s">
        <v>30</v>
      </c>
      <c r="C755">
        <v>45862</v>
      </c>
      <c r="D755">
        <v>45869</v>
      </c>
      <c r="E755">
        <v>3</v>
      </c>
      <c r="F755">
        <v>3</v>
      </c>
      <c r="G755">
        <v>20</v>
      </c>
      <c r="H755">
        <v>4</v>
      </c>
      <c r="I755">
        <v>0.5</v>
      </c>
      <c r="J755" t="s">
        <v>53</v>
      </c>
      <c r="K755">
        <v>0</v>
      </c>
      <c r="L755" s="17">
        <f t="shared" ca="1" si="22"/>
        <v>46167</v>
      </c>
      <c r="M755" s="6" t="str">
        <f t="shared" ca="1" si="23"/>
        <v>25/05/yyyy a 31/05/yyyy</v>
      </c>
    </row>
    <row r="756" spans="1:13" x14ac:dyDescent="0.3">
      <c r="A756" t="s">
        <v>26</v>
      </c>
      <c r="B756" t="s">
        <v>30</v>
      </c>
      <c r="C756">
        <v>45862</v>
      </c>
      <c r="D756">
        <v>45869</v>
      </c>
      <c r="E756">
        <v>3</v>
      </c>
      <c r="F756">
        <v>3</v>
      </c>
      <c r="G756">
        <v>20</v>
      </c>
      <c r="H756">
        <v>4</v>
      </c>
      <c r="I756">
        <v>0.5</v>
      </c>
      <c r="J756" t="s">
        <v>54</v>
      </c>
      <c r="K756">
        <v>0</v>
      </c>
      <c r="L756" s="17">
        <f t="shared" ca="1" si="22"/>
        <v>46167</v>
      </c>
      <c r="M756" s="6" t="str">
        <f t="shared" ca="1" si="23"/>
        <v>25/05/yyyy a 31/05/yyyy</v>
      </c>
    </row>
    <row r="757" spans="1:13" x14ac:dyDescent="0.3">
      <c r="A757" t="s">
        <v>26</v>
      </c>
      <c r="B757" t="s">
        <v>30</v>
      </c>
      <c r="C757">
        <v>45862</v>
      </c>
      <c r="D757">
        <v>45869</v>
      </c>
      <c r="E757">
        <v>3</v>
      </c>
      <c r="F757">
        <v>3</v>
      </c>
      <c r="G757">
        <v>20</v>
      </c>
      <c r="H757">
        <v>4</v>
      </c>
      <c r="I757">
        <v>0.5</v>
      </c>
      <c r="J757" t="s">
        <v>55</v>
      </c>
      <c r="K757">
        <v>0</v>
      </c>
      <c r="L757" s="17">
        <f t="shared" ca="1" si="22"/>
        <v>46167</v>
      </c>
      <c r="M757" s="6" t="str">
        <f t="shared" ca="1" si="23"/>
        <v>25/05/yyyy a 31/05/yyyy</v>
      </c>
    </row>
    <row r="758" spans="1:13" x14ac:dyDescent="0.3">
      <c r="A758" t="s">
        <v>26</v>
      </c>
      <c r="B758" t="s">
        <v>28</v>
      </c>
      <c r="C758">
        <v>45862</v>
      </c>
      <c r="D758">
        <v>45869</v>
      </c>
      <c r="E758">
        <v>4</v>
      </c>
      <c r="F758">
        <v>4</v>
      </c>
      <c r="G758">
        <v>20</v>
      </c>
      <c r="H758">
        <v>4</v>
      </c>
      <c r="I758">
        <v>0.66666666666666663</v>
      </c>
      <c r="J758" t="s">
        <v>44</v>
      </c>
      <c r="K758">
        <v>0</v>
      </c>
      <c r="L758" s="17">
        <f t="shared" ca="1" si="22"/>
        <v>46167</v>
      </c>
      <c r="M758" s="6" t="str">
        <f t="shared" ca="1" si="23"/>
        <v>25/05/yyyy a 31/05/yyyy</v>
      </c>
    </row>
    <row r="759" spans="1:13" x14ac:dyDescent="0.3">
      <c r="A759" t="s">
        <v>26</v>
      </c>
      <c r="B759" t="s">
        <v>28</v>
      </c>
      <c r="C759">
        <v>45862</v>
      </c>
      <c r="D759">
        <v>45869</v>
      </c>
      <c r="E759">
        <v>4</v>
      </c>
      <c r="F759">
        <v>4</v>
      </c>
      <c r="G759">
        <v>20</v>
      </c>
      <c r="H759">
        <v>4</v>
      </c>
      <c r="I759">
        <v>0.66666666666666663</v>
      </c>
      <c r="J759" t="s">
        <v>45</v>
      </c>
      <c r="K759">
        <v>0</v>
      </c>
      <c r="L759" s="17">
        <f t="shared" ca="1" si="22"/>
        <v>46174</v>
      </c>
      <c r="M759" s="6" t="str">
        <f t="shared" ca="1" si="23"/>
        <v>01/06/yyyy a 07/06/yyyy</v>
      </c>
    </row>
    <row r="760" spans="1:13" x14ac:dyDescent="0.3">
      <c r="A760" t="s">
        <v>26</v>
      </c>
      <c r="B760" t="s">
        <v>28</v>
      </c>
      <c r="C760">
        <v>45862</v>
      </c>
      <c r="D760">
        <v>45869</v>
      </c>
      <c r="E760">
        <v>4</v>
      </c>
      <c r="F760">
        <v>4</v>
      </c>
      <c r="G760">
        <v>20</v>
      </c>
      <c r="H760">
        <v>4</v>
      </c>
      <c r="I760">
        <v>0.66666666666666663</v>
      </c>
      <c r="J760" t="s">
        <v>46</v>
      </c>
      <c r="K760">
        <v>0</v>
      </c>
      <c r="L760" s="17">
        <f t="shared" ca="1" si="22"/>
        <v>46181</v>
      </c>
      <c r="M760" s="6" t="str">
        <f t="shared" ca="1" si="23"/>
        <v>08/06/yyyy a 14/06/yyyy</v>
      </c>
    </row>
    <row r="761" spans="1:13" x14ac:dyDescent="0.3">
      <c r="A761" t="s">
        <v>26</v>
      </c>
      <c r="B761" t="s">
        <v>28</v>
      </c>
      <c r="C761">
        <v>45862</v>
      </c>
      <c r="D761">
        <v>45869</v>
      </c>
      <c r="E761">
        <v>4</v>
      </c>
      <c r="F761">
        <v>4</v>
      </c>
      <c r="G761">
        <v>20</v>
      </c>
      <c r="H761">
        <v>4</v>
      </c>
      <c r="I761">
        <v>0.66666666666666663</v>
      </c>
      <c r="J761" t="s">
        <v>47</v>
      </c>
      <c r="K761">
        <v>1.333333333333333</v>
      </c>
      <c r="L761" s="17">
        <f t="shared" ca="1" si="22"/>
        <v>46188</v>
      </c>
      <c r="M761" s="6" t="str">
        <f t="shared" ca="1" si="23"/>
        <v>15/06/yyyy a 21/06/yyyy</v>
      </c>
    </row>
    <row r="762" spans="1:13" x14ac:dyDescent="0.3">
      <c r="A762" t="s">
        <v>26</v>
      </c>
      <c r="B762" t="s">
        <v>28</v>
      </c>
      <c r="C762">
        <v>45862</v>
      </c>
      <c r="D762">
        <v>45869</v>
      </c>
      <c r="E762">
        <v>4</v>
      </c>
      <c r="F762">
        <v>4</v>
      </c>
      <c r="G762">
        <v>20</v>
      </c>
      <c r="H762">
        <v>4</v>
      </c>
      <c r="I762">
        <v>0.66666666666666663</v>
      </c>
      <c r="J762" t="s">
        <v>48</v>
      </c>
      <c r="K762">
        <v>2.6666666666666665</v>
      </c>
      <c r="L762" s="17">
        <f t="shared" ca="1" si="22"/>
        <v>46195</v>
      </c>
      <c r="M762" s="6" t="str">
        <f t="shared" ca="1" si="23"/>
        <v>22/06/yyyy a 28/06/yyyy</v>
      </c>
    </row>
    <row r="763" spans="1:13" x14ac:dyDescent="0.3">
      <c r="A763" t="s">
        <v>26</v>
      </c>
      <c r="B763" t="s">
        <v>28</v>
      </c>
      <c r="C763">
        <v>45862</v>
      </c>
      <c r="D763">
        <v>45869</v>
      </c>
      <c r="E763">
        <v>4</v>
      </c>
      <c r="F763">
        <v>4</v>
      </c>
      <c r="G763">
        <v>20</v>
      </c>
      <c r="H763">
        <v>4</v>
      </c>
      <c r="I763">
        <v>0.66666666666666663</v>
      </c>
      <c r="J763" t="s">
        <v>49</v>
      </c>
      <c r="K763">
        <v>0</v>
      </c>
      <c r="L763" s="17">
        <f t="shared" ca="1" si="22"/>
        <v>46202</v>
      </c>
      <c r="M763" s="6" t="str">
        <f t="shared" ca="1" si="23"/>
        <v>29/06/yyyy a 05/07/yyyy</v>
      </c>
    </row>
    <row r="764" spans="1:13" x14ac:dyDescent="0.3">
      <c r="A764" t="s">
        <v>26</v>
      </c>
      <c r="B764" t="s">
        <v>28</v>
      </c>
      <c r="C764">
        <v>45862</v>
      </c>
      <c r="D764">
        <v>45869</v>
      </c>
      <c r="E764">
        <v>4</v>
      </c>
      <c r="F764">
        <v>4</v>
      </c>
      <c r="G764">
        <v>20</v>
      </c>
      <c r="H764">
        <v>4</v>
      </c>
      <c r="I764">
        <v>0.66666666666666663</v>
      </c>
      <c r="J764" t="s">
        <v>50</v>
      </c>
      <c r="K764">
        <v>0</v>
      </c>
      <c r="L764" s="17">
        <f t="shared" ca="1" si="22"/>
        <v>46209</v>
      </c>
      <c r="M764" s="6" t="str">
        <f t="shared" ca="1" si="23"/>
        <v>06/07/yyyy a 12/07/yyyy</v>
      </c>
    </row>
    <row r="765" spans="1:13" x14ac:dyDescent="0.3">
      <c r="A765" t="s">
        <v>26</v>
      </c>
      <c r="B765" t="s">
        <v>28</v>
      </c>
      <c r="C765">
        <v>45862</v>
      </c>
      <c r="D765">
        <v>45869</v>
      </c>
      <c r="E765">
        <v>4</v>
      </c>
      <c r="F765">
        <v>4</v>
      </c>
      <c r="G765">
        <v>20</v>
      </c>
      <c r="H765">
        <v>4</v>
      </c>
      <c r="I765">
        <v>0.66666666666666663</v>
      </c>
      <c r="J765" t="s">
        <v>51</v>
      </c>
      <c r="K765">
        <v>0</v>
      </c>
      <c r="L765" s="17">
        <f t="shared" ca="1" si="22"/>
        <v>46216</v>
      </c>
      <c r="M765" s="6" t="str">
        <f t="shared" ca="1" si="23"/>
        <v>13/07/yyyy a 19/07/yyyy</v>
      </c>
    </row>
    <row r="766" spans="1:13" x14ac:dyDescent="0.3">
      <c r="A766" t="s">
        <v>26</v>
      </c>
      <c r="B766" t="s">
        <v>28</v>
      </c>
      <c r="C766">
        <v>45862</v>
      </c>
      <c r="D766">
        <v>45869</v>
      </c>
      <c r="E766">
        <v>4</v>
      </c>
      <c r="F766">
        <v>4</v>
      </c>
      <c r="G766">
        <v>20</v>
      </c>
      <c r="H766">
        <v>4</v>
      </c>
      <c r="I766">
        <v>0.66666666666666663</v>
      </c>
      <c r="J766" t="s">
        <v>52</v>
      </c>
      <c r="K766">
        <v>0</v>
      </c>
      <c r="L766" s="17">
        <f t="shared" ca="1" si="22"/>
        <v>46223</v>
      </c>
      <c r="M766" s="6" t="str">
        <f t="shared" ca="1" si="23"/>
        <v>20/07/yyyy a 26/07/yyyy</v>
      </c>
    </row>
    <row r="767" spans="1:13" x14ac:dyDescent="0.3">
      <c r="A767" t="s">
        <v>26</v>
      </c>
      <c r="B767" t="s">
        <v>28</v>
      </c>
      <c r="C767">
        <v>45862</v>
      </c>
      <c r="D767">
        <v>45869</v>
      </c>
      <c r="E767">
        <v>4</v>
      </c>
      <c r="F767">
        <v>4</v>
      </c>
      <c r="G767">
        <v>20</v>
      </c>
      <c r="H767">
        <v>4</v>
      </c>
      <c r="I767">
        <v>0.66666666666666663</v>
      </c>
      <c r="J767" t="s">
        <v>53</v>
      </c>
      <c r="K767">
        <v>0</v>
      </c>
      <c r="L767" s="17">
        <f t="shared" ca="1" si="22"/>
        <v>46167</v>
      </c>
      <c r="M767" s="6" t="str">
        <f t="shared" ca="1" si="23"/>
        <v>25/05/yyyy a 31/05/yyyy</v>
      </c>
    </row>
    <row r="768" spans="1:13" x14ac:dyDescent="0.3">
      <c r="A768" t="s">
        <v>26</v>
      </c>
      <c r="B768" t="s">
        <v>28</v>
      </c>
      <c r="C768">
        <v>45862</v>
      </c>
      <c r="D768">
        <v>45869</v>
      </c>
      <c r="E768">
        <v>4</v>
      </c>
      <c r="F768">
        <v>4</v>
      </c>
      <c r="G768">
        <v>20</v>
      </c>
      <c r="H768">
        <v>4</v>
      </c>
      <c r="I768">
        <v>0.66666666666666663</v>
      </c>
      <c r="J768" t="s">
        <v>54</v>
      </c>
      <c r="K768">
        <v>0</v>
      </c>
      <c r="L768" s="17">
        <f t="shared" ca="1" si="22"/>
        <v>46167</v>
      </c>
      <c r="M768" s="6" t="str">
        <f t="shared" ca="1" si="23"/>
        <v>25/05/yyyy a 31/05/yyyy</v>
      </c>
    </row>
    <row r="769" spans="1:13" x14ac:dyDescent="0.3">
      <c r="A769" t="s">
        <v>26</v>
      </c>
      <c r="B769" t="s">
        <v>28</v>
      </c>
      <c r="C769">
        <v>45862</v>
      </c>
      <c r="D769">
        <v>45869</v>
      </c>
      <c r="E769">
        <v>4</v>
      </c>
      <c r="F769">
        <v>4</v>
      </c>
      <c r="G769">
        <v>20</v>
      </c>
      <c r="H769">
        <v>4</v>
      </c>
      <c r="I769">
        <v>0.66666666666666663</v>
      </c>
      <c r="J769" t="s">
        <v>55</v>
      </c>
      <c r="K769">
        <v>0</v>
      </c>
      <c r="L769" s="17">
        <f t="shared" ca="1" si="22"/>
        <v>46167</v>
      </c>
      <c r="M769" s="6" t="str">
        <f t="shared" ca="1" si="23"/>
        <v>25/05/yyyy a 31/05/yyyy</v>
      </c>
    </row>
    <row r="770" spans="1:13" x14ac:dyDescent="0.3">
      <c r="A770" t="s">
        <v>56</v>
      </c>
      <c r="B770" t="s">
        <v>57</v>
      </c>
      <c r="C770">
        <v>45844</v>
      </c>
      <c r="D770">
        <v>45871</v>
      </c>
      <c r="E770">
        <v>70</v>
      </c>
      <c r="F770">
        <v>70</v>
      </c>
      <c r="G770">
        <v>21</v>
      </c>
      <c r="H770">
        <v>4.2</v>
      </c>
      <c r="I770">
        <v>3.5</v>
      </c>
      <c r="J770" t="s">
        <v>44</v>
      </c>
      <c r="K770">
        <v>-3.5</v>
      </c>
      <c r="L770" s="17">
        <f t="shared" ref="L770:L833" ca="1" si="24">IFERROR(VLOOKUP(J770,$O$2:$P$13,2),"")</f>
        <v>46167</v>
      </c>
      <c r="M770" s="6" t="str">
        <f t="shared" ref="M770:M833" ca="1" si="25">IFERROR(TEXT(L770,"dd/mm/yyyy")&amp; " a " &amp; (TEXT(L770+6,"dd/mm/yyyy")),"")</f>
        <v>25/05/yyyy a 31/05/yyyy</v>
      </c>
    </row>
    <row r="771" spans="1:13" x14ac:dyDescent="0.3">
      <c r="A771" t="s">
        <v>56</v>
      </c>
      <c r="B771" t="s">
        <v>57</v>
      </c>
      <c r="C771">
        <v>45844</v>
      </c>
      <c r="D771">
        <v>45871</v>
      </c>
      <c r="E771">
        <v>70</v>
      </c>
      <c r="F771">
        <v>70</v>
      </c>
      <c r="G771">
        <v>21</v>
      </c>
      <c r="H771">
        <v>4.2</v>
      </c>
      <c r="I771">
        <v>3.5</v>
      </c>
      <c r="J771" t="s">
        <v>45</v>
      </c>
      <c r="K771">
        <v>17.5</v>
      </c>
      <c r="L771" s="17">
        <f t="shared" ca="1" si="24"/>
        <v>46174</v>
      </c>
      <c r="M771" s="6" t="str">
        <f t="shared" ca="1" si="25"/>
        <v>01/06/yyyy a 07/06/yyyy</v>
      </c>
    </row>
    <row r="772" spans="1:13" x14ac:dyDescent="0.3">
      <c r="A772" t="s">
        <v>56</v>
      </c>
      <c r="B772" t="s">
        <v>57</v>
      </c>
      <c r="C772">
        <v>45844</v>
      </c>
      <c r="D772">
        <v>45871</v>
      </c>
      <c r="E772">
        <v>70</v>
      </c>
      <c r="F772">
        <v>70</v>
      </c>
      <c r="G772">
        <v>21</v>
      </c>
      <c r="H772">
        <v>4.2</v>
      </c>
      <c r="I772">
        <v>3.5</v>
      </c>
      <c r="J772" t="s">
        <v>46</v>
      </c>
      <c r="K772">
        <v>17.5</v>
      </c>
      <c r="L772" s="17">
        <f t="shared" ca="1" si="24"/>
        <v>46181</v>
      </c>
      <c r="M772" s="6" t="str">
        <f t="shared" ca="1" si="25"/>
        <v>08/06/yyyy a 14/06/yyyy</v>
      </c>
    </row>
    <row r="773" spans="1:13" x14ac:dyDescent="0.3">
      <c r="A773" t="s">
        <v>56</v>
      </c>
      <c r="B773" t="s">
        <v>57</v>
      </c>
      <c r="C773">
        <v>45844</v>
      </c>
      <c r="D773">
        <v>45871</v>
      </c>
      <c r="E773">
        <v>70</v>
      </c>
      <c r="F773">
        <v>70</v>
      </c>
      <c r="G773">
        <v>21</v>
      </c>
      <c r="H773">
        <v>4.2</v>
      </c>
      <c r="I773">
        <v>3.5</v>
      </c>
      <c r="J773" t="s">
        <v>47</v>
      </c>
      <c r="K773">
        <v>17.5</v>
      </c>
      <c r="L773" s="17">
        <f t="shared" ca="1" si="24"/>
        <v>46188</v>
      </c>
      <c r="M773" s="6" t="str">
        <f t="shared" ca="1" si="25"/>
        <v>15/06/yyyy a 21/06/yyyy</v>
      </c>
    </row>
    <row r="774" spans="1:13" x14ac:dyDescent="0.3">
      <c r="A774" t="s">
        <v>56</v>
      </c>
      <c r="B774" t="s">
        <v>57</v>
      </c>
      <c r="C774">
        <v>45844</v>
      </c>
      <c r="D774">
        <v>45871</v>
      </c>
      <c r="E774">
        <v>70</v>
      </c>
      <c r="F774">
        <v>70</v>
      </c>
      <c r="G774">
        <v>21</v>
      </c>
      <c r="H774">
        <v>4.2</v>
      </c>
      <c r="I774">
        <v>3.5</v>
      </c>
      <c r="J774" t="s">
        <v>48</v>
      </c>
      <c r="K774">
        <v>21</v>
      </c>
      <c r="L774" s="17">
        <f t="shared" ca="1" si="24"/>
        <v>46195</v>
      </c>
      <c r="M774" s="6" t="str">
        <f t="shared" ca="1" si="25"/>
        <v>22/06/yyyy a 28/06/yyyy</v>
      </c>
    </row>
    <row r="775" spans="1:13" x14ac:dyDescent="0.3">
      <c r="A775" t="s">
        <v>56</v>
      </c>
      <c r="B775" t="s">
        <v>57</v>
      </c>
      <c r="C775">
        <v>45844</v>
      </c>
      <c r="D775">
        <v>45871</v>
      </c>
      <c r="E775">
        <v>70</v>
      </c>
      <c r="F775">
        <v>70</v>
      </c>
      <c r="G775">
        <v>21</v>
      </c>
      <c r="H775">
        <v>4.2</v>
      </c>
      <c r="I775">
        <v>3.5</v>
      </c>
      <c r="J775" t="s">
        <v>49</v>
      </c>
      <c r="K775">
        <v>0</v>
      </c>
      <c r="L775" s="17">
        <f t="shared" ca="1" si="24"/>
        <v>46202</v>
      </c>
      <c r="M775" s="6" t="str">
        <f t="shared" ca="1" si="25"/>
        <v>29/06/yyyy a 05/07/yyyy</v>
      </c>
    </row>
    <row r="776" spans="1:13" x14ac:dyDescent="0.3">
      <c r="A776" t="s">
        <v>56</v>
      </c>
      <c r="B776" t="s">
        <v>57</v>
      </c>
      <c r="C776">
        <v>45844</v>
      </c>
      <c r="D776">
        <v>45871</v>
      </c>
      <c r="E776">
        <v>70</v>
      </c>
      <c r="F776">
        <v>70</v>
      </c>
      <c r="G776">
        <v>21</v>
      </c>
      <c r="H776">
        <v>4.2</v>
      </c>
      <c r="I776">
        <v>3.5</v>
      </c>
      <c r="J776" t="s">
        <v>50</v>
      </c>
      <c r="K776">
        <v>0</v>
      </c>
      <c r="L776" s="17">
        <f t="shared" ca="1" si="24"/>
        <v>46209</v>
      </c>
      <c r="M776" s="6" t="str">
        <f t="shared" ca="1" si="25"/>
        <v>06/07/yyyy a 12/07/yyyy</v>
      </c>
    </row>
    <row r="777" spans="1:13" x14ac:dyDescent="0.3">
      <c r="A777" t="s">
        <v>56</v>
      </c>
      <c r="B777" t="s">
        <v>57</v>
      </c>
      <c r="C777">
        <v>45844</v>
      </c>
      <c r="D777">
        <v>45871</v>
      </c>
      <c r="E777">
        <v>70</v>
      </c>
      <c r="F777">
        <v>70</v>
      </c>
      <c r="G777">
        <v>21</v>
      </c>
      <c r="H777">
        <v>4.2</v>
      </c>
      <c r="I777">
        <v>3.5</v>
      </c>
      <c r="J777" t="s">
        <v>51</v>
      </c>
      <c r="K777">
        <v>0</v>
      </c>
      <c r="L777" s="17">
        <f t="shared" ca="1" si="24"/>
        <v>46216</v>
      </c>
      <c r="M777" s="6" t="str">
        <f t="shared" ca="1" si="25"/>
        <v>13/07/yyyy a 19/07/yyyy</v>
      </c>
    </row>
    <row r="778" spans="1:13" x14ac:dyDescent="0.3">
      <c r="A778" t="s">
        <v>56</v>
      </c>
      <c r="B778" t="s">
        <v>57</v>
      </c>
      <c r="C778">
        <v>45844</v>
      </c>
      <c r="D778">
        <v>45871</v>
      </c>
      <c r="E778">
        <v>70</v>
      </c>
      <c r="F778">
        <v>70</v>
      </c>
      <c r="G778">
        <v>21</v>
      </c>
      <c r="H778">
        <v>4.2</v>
      </c>
      <c r="I778">
        <v>3.5</v>
      </c>
      <c r="J778" t="s">
        <v>52</v>
      </c>
      <c r="K778">
        <v>0</v>
      </c>
      <c r="L778" s="17">
        <f t="shared" ca="1" si="24"/>
        <v>46223</v>
      </c>
      <c r="M778" s="6" t="str">
        <f t="shared" ca="1" si="25"/>
        <v>20/07/yyyy a 26/07/yyyy</v>
      </c>
    </row>
    <row r="779" spans="1:13" x14ac:dyDescent="0.3">
      <c r="A779" t="s">
        <v>56</v>
      </c>
      <c r="B779" t="s">
        <v>57</v>
      </c>
      <c r="C779">
        <v>45844</v>
      </c>
      <c r="D779">
        <v>45871</v>
      </c>
      <c r="E779">
        <v>70</v>
      </c>
      <c r="F779">
        <v>70</v>
      </c>
      <c r="G779">
        <v>21</v>
      </c>
      <c r="H779">
        <v>4.2</v>
      </c>
      <c r="I779">
        <v>3.5</v>
      </c>
      <c r="J779" t="s">
        <v>53</v>
      </c>
      <c r="K779">
        <v>0</v>
      </c>
      <c r="L779" s="17">
        <f t="shared" ca="1" si="24"/>
        <v>46167</v>
      </c>
      <c r="M779" s="6" t="str">
        <f t="shared" ca="1" si="25"/>
        <v>25/05/yyyy a 31/05/yyyy</v>
      </c>
    </row>
    <row r="780" spans="1:13" x14ac:dyDescent="0.3">
      <c r="A780" t="s">
        <v>56</v>
      </c>
      <c r="B780" t="s">
        <v>57</v>
      </c>
      <c r="C780">
        <v>45844</v>
      </c>
      <c r="D780">
        <v>45871</v>
      </c>
      <c r="E780">
        <v>70</v>
      </c>
      <c r="F780">
        <v>70</v>
      </c>
      <c r="G780">
        <v>21</v>
      </c>
      <c r="H780">
        <v>4.2</v>
      </c>
      <c r="I780">
        <v>3.5</v>
      </c>
      <c r="J780" t="s">
        <v>54</v>
      </c>
      <c r="K780">
        <v>0</v>
      </c>
      <c r="L780" s="17">
        <f t="shared" ca="1" si="24"/>
        <v>46167</v>
      </c>
      <c r="M780" s="6" t="str">
        <f t="shared" ca="1" si="25"/>
        <v>25/05/yyyy a 31/05/yyyy</v>
      </c>
    </row>
    <row r="781" spans="1:13" x14ac:dyDescent="0.3">
      <c r="A781" t="s">
        <v>56</v>
      </c>
      <c r="B781" t="s">
        <v>57</v>
      </c>
      <c r="C781">
        <v>45844</v>
      </c>
      <c r="D781">
        <v>45871</v>
      </c>
      <c r="E781">
        <v>70</v>
      </c>
      <c r="F781">
        <v>70</v>
      </c>
      <c r="G781">
        <v>21</v>
      </c>
      <c r="H781">
        <v>4.2</v>
      </c>
      <c r="I781">
        <v>3.5</v>
      </c>
      <c r="J781" t="s">
        <v>55</v>
      </c>
      <c r="K781">
        <v>0</v>
      </c>
      <c r="L781" s="17">
        <f t="shared" ca="1" si="24"/>
        <v>46167</v>
      </c>
      <c r="M781" s="6" t="str">
        <f t="shared" ca="1" si="25"/>
        <v>25/05/yyyy a 31/05/yyyy</v>
      </c>
    </row>
    <row r="782" spans="1:13" x14ac:dyDescent="0.3">
      <c r="A782" t="s">
        <v>19</v>
      </c>
      <c r="B782" t="s">
        <v>20</v>
      </c>
      <c r="C782">
        <v>45841</v>
      </c>
      <c r="D782">
        <v>45856</v>
      </c>
      <c r="E782">
        <v>9</v>
      </c>
      <c r="F782">
        <v>6.75</v>
      </c>
      <c r="G782">
        <v>11</v>
      </c>
      <c r="H782">
        <v>2.2000000000000002</v>
      </c>
      <c r="I782">
        <v>0.75</v>
      </c>
      <c r="J782" t="s">
        <v>44</v>
      </c>
      <c r="K782">
        <v>0</v>
      </c>
      <c r="L782" s="17">
        <f t="shared" ca="1" si="24"/>
        <v>46167</v>
      </c>
      <c r="M782" s="6" t="str">
        <f t="shared" ca="1" si="25"/>
        <v>25/05/yyyy a 31/05/yyyy</v>
      </c>
    </row>
    <row r="783" spans="1:13" x14ac:dyDescent="0.3">
      <c r="A783" t="s">
        <v>19</v>
      </c>
      <c r="B783" t="s">
        <v>20</v>
      </c>
      <c r="C783">
        <v>45841</v>
      </c>
      <c r="D783">
        <v>45856</v>
      </c>
      <c r="E783">
        <v>9</v>
      </c>
      <c r="F783">
        <v>6.75</v>
      </c>
      <c r="G783">
        <v>11</v>
      </c>
      <c r="H783">
        <v>2.2000000000000002</v>
      </c>
      <c r="I783">
        <v>0.75</v>
      </c>
      <c r="J783" t="s">
        <v>45</v>
      </c>
      <c r="K783">
        <v>3.75</v>
      </c>
      <c r="L783" s="17">
        <f t="shared" ca="1" si="24"/>
        <v>46174</v>
      </c>
      <c r="M783" s="6" t="str">
        <f t="shared" ca="1" si="25"/>
        <v>01/06/yyyy a 07/06/yyyy</v>
      </c>
    </row>
    <row r="784" spans="1:13" x14ac:dyDescent="0.3">
      <c r="A784" t="s">
        <v>19</v>
      </c>
      <c r="B784" t="s">
        <v>20</v>
      </c>
      <c r="C784">
        <v>45841</v>
      </c>
      <c r="D784">
        <v>45856</v>
      </c>
      <c r="E784">
        <v>9</v>
      </c>
      <c r="F784">
        <v>6.75</v>
      </c>
      <c r="G784">
        <v>11</v>
      </c>
      <c r="H784">
        <v>2.2000000000000002</v>
      </c>
      <c r="I784">
        <v>0.75</v>
      </c>
      <c r="J784" t="s">
        <v>46</v>
      </c>
      <c r="K784">
        <v>3.75</v>
      </c>
      <c r="L784" s="17">
        <f t="shared" ca="1" si="24"/>
        <v>46181</v>
      </c>
      <c r="M784" s="6" t="str">
        <f t="shared" ca="1" si="25"/>
        <v>08/06/yyyy a 14/06/yyyy</v>
      </c>
    </row>
    <row r="785" spans="1:13" x14ac:dyDescent="0.3">
      <c r="A785" t="s">
        <v>19</v>
      </c>
      <c r="B785" t="s">
        <v>20</v>
      </c>
      <c r="C785">
        <v>45841</v>
      </c>
      <c r="D785">
        <v>45856</v>
      </c>
      <c r="E785">
        <v>9</v>
      </c>
      <c r="F785">
        <v>6.75</v>
      </c>
      <c r="G785">
        <v>11</v>
      </c>
      <c r="H785">
        <v>2.2000000000000002</v>
      </c>
      <c r="I785">
        <v>0.75</v>
      </c>
      <c r="J785" t="s">
        <v>47</v>
      </c>
      <c r="K785">
        <v>0</v>
      </c>
      <c r="L785" s="17">
        <f t="shared" ca="1" si="24"/>
        <v>46188</v>
      </c>
      <c r="M785" s="6" t="str">
        <f t="shared" ca="1" si="25"/>
        <v>15/06/yyyy a 21/06/yyyy</v>
      </c>
    </row>
    <row r="786" spans="1:13" x14ac:dyDescent="0.3">
      <c r="A786" t="s">
        <v>19</v>
      </c>
      <c r="B786" t="s">
        <v>20</v>
      </c>
      <c r="C786">
        <v>45841</v>
      </c>
      <c r="D786">
        <v>45856</v>
      </c>
      <c r="E786">
        <v>9</v>
      </c>
      <c r="F786">
        <v>6.75</v>
      </c>
      <c r="G786">
        <v>11</v>
      </c>
      <c r="H786">
        <v>2.2000000000000002</v>
      </c>
      <c r="I786">
        <v>0.75</v>
      </c>
      <c r="J786" t="s">
        <v>48</v>
      </c>
      <c r="K786">
        <v>0</v>
      </c>
      <c r="L786" s="17">
        <f t="shared" ca="1" si="24"/>
        <v>46195</v>
      </c>
      <c r="M786" s="6" t="str">
        <f t="shared" ca="1" si="25"/>
        <v>22/06/yyyy a 28/06/yyyy</v>
      </c>
    </row>
    <row r="787" spans="1:13" x14ac:dyDescent="0.3">
      <c r="A787" t="s">
        <v>19</v>
      </c>
      <c r="B787" t="s">
        <v>20</v>
      </c>
      <c r="C787">
        <v>45841</v>
      </c>
      <c r="D787">
        <v>45856</v>
      </c>
      <c r="E787">
        <v>9</v>
      </c>
      <c r="F787">
        <v>6.75</v>
      </c>
      <c r="G787">
        <v>11</v>
      </c>
      <c r="H787">
        <v>2.2000000000000002</v>
      </c>
      <c r="I787">
        <v>0.75</v>
      </c>
      <c r="J787" t="s">
        <v>49</v>
      </c>
      <c r="K787">
        <v>0</v>
      </c>
      <c r="L787" s="17">
        <f t="shared" ca="1" si="24"/>
        <v>46202</v>
      </c>
      <c r="M787" s="6" t="str">
        <f t="shared" ca="1" si="25"/>
        <v>29/06/yyyy a 05/07/yyyy</v>
      </c>
    </row>
    <row r="788" spans="1:13" x14ac:dyDescent="0.3">
      <c r="A788" t="s">
        <v>19</v>
      </c>
      <c r="B788" t="s">
        <v>20</v>
      </c>
      <c r="C788">
        <v>45841</v>
      </c>
      <c r="D788">
        <v>45856</v>
      </c>
      <c r="E788">
        <v>9</v>
      </c>
      <c r="F788">
        <v>6.75</v>
      </c>
      <c r="G788">
        <v>11</v>
      </c>
      <c r="H788">
        <v>2.2000000000000002</v>
      </c>
      <c r="I788">
        <v>0.75</v>
      </c>
      <c r="J788" t="s">
        <v>50</v>
      </c>
      <c r="K788">
        <v>0</v>
      </c>
      <c r="L788" s="17">
        <f t="shared" ca="1" si="24"/>
        <v>46209</v>
      </c>
      <c r="M788" s="6" t="str">
        <f t="shared" ca="1" si="25"/>
        <v>06/07/yyyy a 12/07/yyyy</v>
      </c>
    </row>
    <row r="789" spans="1:13" x14ac:dyDescent="0.3">
      <c r="A789" t="s">
        <v>19</v>
      </c>
      <c r="B789" t="s">
        <v>20</v>
      </c>
      <c r="C789">
        <v>45841</v>
      </c>
      <c r="D789">
        <v>45856</v>
      </c>
      <c r="E789">
        <v>9</v>
      </c>
      <c r="F789">
        <v>6.75</v>
      </c>
      <c r="G789">
        <v>11</v>
      </c>
      <c r="H789">
        <v>2.2000000000000002</v>
      </c>
      <c r="I789">
        <v>0.75</v>
      </c>
      <c r="J789" t="s">
        <v>51</v>
      </c>
      <c r="K789">
        <v>0</v>
      </c>
      <c r="L789" s="17">
        <f t="shared" ca="1" si="24"/>
        <v>46216</v>
      </c>
      <c r="M789" s="6" t="str">
        <f t="shared" ca="1" si="25"/>
        <v>13/07/yyyy a 19/07/yyyy</v>
      </c>
    </row>
    <row r="790" spans="1:13" x14ac:dyDescent="0.3">
      <c r="A790" t="s">
        <v>19</v>
      </c>
      <c r="B790" t="s">
        <v>20</v>
      </c>
      <c r="C790">
        <v>45841</v>
      </c>
      <c r="D790">
        <v>45856</v>
      </c>
      <c r="E790">
        <v>9</v>
      </c>
      <c r="F790">
        <v>6.75</v>
      </c>
      <c r="G790">
        <v>11</v>
      </c>
      <c r="H790">
        <v>2.2000000000000002</v>
      </c>
      <c r="I790">
        <v>0.75</v>
      </c>
      <c r="J790" t="s">
        <v>52</v>
      </c>
      <c r="K790">
        <v>0</v>
      </c>
      <c r="L790" s="17">
        <f t="shared" ca="1" si="24"/>
        <v>46223</v>
      </c>
      <c r="M790" s="6" t="str">
        <f t="shared" ca="1" si="25"/>
        <v>20/07/yyyy a 26/07/yyyy</v>
      </c>
    </row>
    <row r="791" spans="1:13" x14ac:dyDescent="0.3">
      <c r="A791" t="s">
        <v>19</v>
      </c>
      <c r="B791" t="s">
        <v>20</v>
      </c>
      <c r="C791">
        <v>45841</v>
      </c>
      <c r="D791">
        <v>45856</v>
      </c>
      <c r="E791">
        <v>9</v>
      </c>
      <c r="F791">
        <v>6.75</v>
      </c>
      <c r="G791">
        <v>11</v>
      </c>
      <c r="H791">
        <v>2.2000000000000002</v>
      </c>
      <c r="I791">
        <v>0.75</v>
      </c>
      <c r="J791" t="s">
        <v>53</v>
      </c>
      <c r="K791">
        <v>0</v>
      </c>
      <c r="L791" s="17">
        <f t="shared" ca="1" si="24"/>
        <v>46167</v>
      </c>
      <c r="M791" s="6" t="str">
        <f t="shared" ca="1" si="25"/>
        <v>25/05/yyyy a 31/05/yyyy</v>
      </c>
    </row>
    <row r="792" spans="1:13" x14ac:dyDescent="0.3">
      <c r="A792" t="s">
        <v>19</v>
      </c>
      <c r="B792" t="s">
        <v>20</v>
      </c>
      <c r="C792">
        <v>45841</v>
      </c>
      <c r="D792">
        <v>45856</v>
      </c>
      <c r="E792">
        <v>9</v>
      </c>
      <c r="F792">
        <v>6.75</v>
      </c>
      <c r="G792">
        <v>11</v>
      </c>
      <c r="H792">
        <v>2.2000000000000002</v>
      </c>
      <c r="I792">
        <v>0.75</v>
      </c>
      <c r="J792" t="s">
        <v>54</v>
      </c>
      <c r="K792">
        <v>0</v>
      </c>
      <c r="L792" s="17">
        <f t="shared" ca="1" si="24"/>
        <v>46167</v>
      </c>
      <c r="M792" s="6" t="str">
        <f t="shared" ca="1" si="25"/>
        <v>25/05/yyyy a 31/05/yyyy</v>
      </c>
    </row>
    <row r="793" spans="1:13" x14ac:dyDescent="0.3">
      <c r="A793" t="s">
        <v>19</v>
      </c>
      <c r="B793" t="s">
        <v>20</v>
      </c>
      <c r="C793">
        <v>45841</v>
      </c>
      <c r="D793">
        <v>45856</v>
      </c>
      <c r="E793">
        <v>9</v>
      </c>
      <c r="F793">
        <v>6.75</v>
      </c>
      <c r="G793">
        <v>11</v>
      </c>
      <c r="H793">
        <v>2.2000000000000002</v>
      </c>
      <c r="I793">
        <v>0.75</v>
      </c>
      <c r="J793" t="s">
        <v>55</v>
      </c>
      <c r="K793">
        <v>0</v>
      </c>
      <c r="L793" s="17">
        <f t="shared" ca="1" si="24"/>
        <v>46167</v>
      </c>
      <c r="M793" s="6" t="str">
        <f t="shared" ca="1" si="25"/>
        <v>25/05/yyyy a 31/05/yyyy</v>
      </c>
    </row>
    <row r="794" spans="1:13" x14ac:dyDescent="0.3">
      <c r="A794" t="s">
        <v>19</v>
      </c>
      <c r="B794" t="s">
        <v>20</v>
      </c>
      <c r="C794">
        <v>45855</v>
      </c>
      <c r="D794">
        <v>45870</v>
      </c>
      <c r="E794">
        <v>9</v>
      </c>
      <c r="F794">
        <v>9</v>
      </c>
      <c r="G794">
        <v>21</v>
      </c>
      <c r="H794">
        <v>4.2</v>
      </c>
      <c r="I794">
        <v>0.75</v>
      </c>
      <c r="J794" t="s">
        <v>44</v>
      </c>
      <c r="K794">
        <v>0</v>
      </c>
      <c r="L794" s="17">
        <f t="shared" ca="1" si="24"/>
        <v>46167</v>
      </c>
      <c r="M794" s="6" t="str">
        <f t="shared" ca="1" si="25"/>
        <v>25/05/yyyy a 31/05/yyyy</v>
      </c>
    </row>
    <row r="795" spans="1:13" x14ac:dyDescent="0.3">
      <c r="A795" t="s">
        <v>19</v>
      </c>
      <c r="B795" t="s">
        <v>20</v>
      </c>
      <c r="C795">
        <v>45855</v>
      </c>
      <c r="D795">
        <v>45870</v>
      </c>
      <c r="E795">
        <v>9</v>
      </c>
      <c r="F795">
        <v>9</v>
      </c>
      <c r="G795">
        <v>21</v>
      </c>
      <c r="H795">
        <v>4.2</v>
      </c>
      <c r="I795">
        <v>0.75</v>
      </c>
      <c r="J795" t="s">
        <v>45</v>
      </c>
      <c r="K795">
        <v>0</v>
      </c>
      <c r="L795" s="17">
        <f t="shared" ca="1" si="24"/>
        <v>46174</v>
      </c>
      <c r="M795" s="6" t="str">
        <f t="shared" ca="1" si="25"/>
        <v>01/06/yyyy a 07/06/yyyy</v>
      </c>
    </row>
    <row r="796" spans="1:13" x14ac:dyDescent="0.3">
      <c r="A796" t="s">
        <v>19</v>
      </c>
      <c r="B796" t="s">
        <v>20</v>
      </c>
      <c r="C796">
        <v>45855</v>
      </c>
      <c r="D796">
        <v>45870</v>
      </c>
      <c r="E796">
        <v>9</v>
      </c>
      <c r="F796">
        <v>9</v>
      </c>
      <c r="G796">
        <v>21</v>
      </c>
      <c r="H796">
        <v>4.2</v>
      </c>
      <c r="I796">
        <v>0.75</v>
      </c>
      <c r="J796" t="s">
        <v>46</v>
      </c>
      <c r="K796">
        <v>1.5</v>
      </c>
      <c r="L796" s="17">
        <f t="shared" ca="1" si="24"/>
        <v>46181</v>
      </c>
      <c r="M796" s="6" t="str">
        <f t="shared" ca="1" si="25"/>
        <v>08/06/yyyy a 14/06/yyyy</v>
      </c>
    </row>
    <row r="797" spans="1:13" x14ac:dyDescent="0.3">
      <c r="A797" t="s">
        <v>19</v>
      </c>
      <c r="B797" t="s">
        <v>20</v>
      </c>
      <c r="C797">
        <v>45855</v>
      </c>
      <c r="D797">
        <v>45870</v>
      </c>
      <c r="E797">
        <v>9</v>
      </c>
      <c r="F797">
        <v>9</v>
      </c>
      <c r="G797">
        <v>21</v>
      </c>
      <c r="H797">
        <v>4.2</v>
      </c>
      <c r="I797">
        <v>0.75</v>
      </c>
      <c r="J797" t="s">
        <v>47</v>
      </c>
      <c r="K797">
        <v>3.75</v>
      </c>
      <c r="L797" s="17">
        <f t="shared" ca="1" si="24"/>
        <v>46188</v>
      </c>
      <c r="M797" s="6" t="str">
        <f t="shared" ca="1" si="25"/>
        <v>15/06/yyyy a 21/06/yyyy</v>
      </c>
    </row>
    <row r="798" spans="1:13" x14ac:dyDescent="0.3">
      <c r="A798" t="s">
        <v>19</v>
      </c>
      <c r="B798" t="s">
        <v>20</v>
      </c>
      <c r="C798">
        <v>45855</v>
      </c>
      <c r="D798">
        <v>45870</v>
      </c>
      <c r="E798">
        <v>9</v>
      </c>
      <c r="F798">
        <v>9</v>
      </c>
      <c r="G798">
        <v>21</v>
      </c>
      <c r="H798">
        <v>4.2</v>
      </c>
      <c r="I798">
        <v>0.75</v>
      </c>
      <c r="J798" t="s">
        <v>48</v>
      </c>
      <c r="K798">
        <v>3.75</v>
      </c>
      <c r="L798" s="17">
        <f t="shared" ca="1" si="24"/>
        <v>46195</v>
      </c>
      <c r="M798" s="6" t="str">
        <f t="shared" ca="1" si="25"/>
        <v>22/06/yyyy a 28/06/yyyy</v>
      </c>
    </row>
    <row r="799" spans="1:13" x14ac:dyDescent="0.3">
      <c r="A799" t="s">
        <v>19</v>
      </c>
      <c r="B799" t="s">
        <v>20</v>
      </c>
      <c r="C799">
        <v>45855</v>
      </c>
      <c r="D799">
        <v>45870</v>
      </c>
      <c r="E799">
        <v>9</v>
      </c>
      <c r="F799">
        <v>9</v>
      </c>
      <c r="G799">
        <v>21</v>
      </c>
      <c r="H799">
        <v>4.2</v>
      </c>
      <c r="I799">
        <v>0.75</v>
      </c>
      <c r="J799" t="s">
        <v>49</v>
      </c>
      <c r="K799">
        <v>0</v>
      </c>
      <c r="L799" s="17">
        <f t="shared" ca="1" si="24"/>
        <v>46202</v>
      </c>
      <c r="M799" s="6" t="str">
        <f t="shared" ca="1" si="25"/>
        <v>29/06/yyyy a 05/07/yyyy</v>
      </c>
    </row>
    <row r="800" spans="1:13" x14ac:dyDescent="0.3">
      <c r="A800" t="s">
        <v>19</v>
      </c>
      <c r="B800" t="s">
        <v>20</v>
      </c>
      <c r="C800">
        <v>45855</v>
      </c>
      <c r="D800">
        <v>45870</v>
      </c>
      <c r="E800">
        <v>9</v>
      </c>
      <c r="F800">
        <v>9</v>
      </c>
      <c r="G800">
        <v>21</v>
      </c>
      <c r="H800">
        <v>4.2</v>
      </c>
      <c r="I800">
        <v>0.75</v>
      </c>
      <c r="J800" t="s">
        <v>50</v>
      </c>
      <c r="K800">
        <v>0</v>
      </c>
      <c r="L800" s="17">
        <f t="shared" ca="1" si="24"/>
        <v>46209</v>
      </c>
      <c r="M800" s="6" t="str">
        <f t="shared" ca="1" si="25"/>
        <v>06/07/yyyy a 12/07/yyyy</v>
      </c>
    </row>
    <row r="801" spans="1:13" x14ac:dyDescent="0.3">
      <c r="A801" t="s">
        <v>19</v>
      </c>
      <c r="B801" t="s">
        <v>20</v>
      </c>
      <c r="C801">
        <v>45855</v>
      </c>
      <c r="D801">
        <v>45870</v>
      </c>
      <c r="E801">
        <v>9</v>
      </c>
      <c r="F801">
        <v>9</v>
      </c>
      <c r="G801">
        <v>21</v>
      </c>
      <c r="H801">
        <v>4.2</v>
      </c>
      <c r="I801">
        <v>0.75</v>
      </c>
      <c r="J801" t="s">
        <v>51</v>
      </c>
      <c r="K801">
        <v>0</v>
      </c>
      <c r="L801" s="17">
        <f t="shared" ca="1" si="24"/>
        <v>46216</v>
      </c>
      <c r="M801" s="6" t="str">
        <f t="shared" ca="1" si="25"/>
        <v>13/07/yyyy a 19/07/yyyy</v>
      </c>
    </row>
    <row r="802" spans="1:13" x14ac:dyDescent="0.3">
      <c r="A802" t="s">
        <v>19</v>
      </c>
      <c r="B802" t="s">
        <v>20</v>
      </c>
      <c r="C802">
        <v>45855</v>
      </c>
      <c r="D802">
        <v>45870</v>
      </c>
      <c r="E802">
        <v>9</v>
      </c>
      <c r="F802">
        <v>9</v>
      </c>
      <c r="G802">
        <v>21</v>
      </c>
      <c r="H802">
        <v>4.2</v>
      </c>
      <c r="I802">
        <v>0.75</v>
      </c>
      <c r="J802" t="s">
        <v>52</v>
      </c>
      <c r="K802">
        <v>0</v>
      </c>
      <c r="L802" s="17">
        <f t="shared" ca="1" si="24"/>
        <v>46223</v>
      </c>
      <c r="M802" s="6" t="str">
        <f t="shared" ca="1" si="25"/>
        <v>20/07/yyyy a 26/07/yyyy</v>
      </c>
    </row>
    <row r="803" spans="1:13" x14ac:dyDescent="0.3">
      <c r="A803" t="s">
        <v>19</v>
      </c>
      <c r="B803" t="s">
        <v>20</v>
      </c>
      <c r="C803">
        <v>45855</v>
      </c>
      <c r="D803">
        <v>45870</v>
      </c>
      <c r="E803">
        <v>9</v>
      </c>
      <c r="F803">
        <v>9</v>
      </c>
      <c r="G803">
        <v>21</v>
      </c>
      <c r="H803">
        <v>4.2</v>
      </c>
      <c r="I803">
        <v>0.75</v>
      </c>
      <c r="J803" t="s">
        <v>53</v>
      </c>
      <c r="K803">
        <v>0</v>
      </c>
      <c r="L803" s="17">
        <f t="shared" ca="1" si="24"/>
        <v>46167</v>
      </c>
      <c r="M803" s="6" t="str">
        <f t="shared" ca="1" si="25"/>
        <v>25/05/yyyy a 31/05/yyyy</v>
      </c>
    </row>
    <row r="804" spans="1:13" x14ac:dyDescent="0.3">
      <c r="A804" t="s">
        <v>19</v>
      </c>
      <c r="B804" t="s">
        <v>20</v>
      </c>
      <c r="C804">
        <v>45855</v>
      </c>
      <c r="D804">
        <v>45870</v>
      </c>
      <c r="E804">
        <v>9</v>
      </c>
      <c r="F804">
        <v>9</v>
      </c>
      <c r="G804">
        <v>21</v>
      </c>
      <c r="H804">
        <v>4.2</v>
      </c>
      <c r="I804">
        <v>0.75</v>
      </c>
      <c r="J804" t="s">
        <v>54</v>
      </c>
      <c r="K804">
        <v>0</v>
      </c>
      <c r="L804" s="17">
        <f t="shared" ca="1" si="24"/>
        <v>46167</v>
      </c>
      <c r="M804" s="6" t="str">
        <f t="shared" ca="1" si="25"/>
        <v>25/05/yyyy a 31/05/yyyy</v>
      </c>
    </row>
    <row r="805" spans="1:13" x14ac:dyDescent="0.3">
      <c r="A805" t="s">
        <v>19</v>
      </c>
      <c r="B805" t="s">
        <v>20</v>
      </c>
      <c r="C805">
        <v>45855</v>
      </c>
      <c r="D805">
        <v>45870</v>
      </c>
      <c r="E805">
        <v>9</v>
      </c>
      <c r="F805">
        <v>9</v>
      </c>
      <c r="G805">
        <v>21</v>
      </c>
      <c r="H805">
        <v>4.2</v>
      </c>
      <c r="I805">
        <v>0.75</v>
      </c>
      <c r="J805" t="s">
        <v>55</v>
      </c>
      <c r="K805">
        <v>0</v>
      </c>
      <c r="L805" s="17">
        <f t="shared" ca="1" si="24"/>
        <v>46167</v>
      </c>
      <c r="M805" s="6" t="str">
        <f t="shared" ca="1" si="25"/>
        <v>25/05/yyyy a 31/05/yyyy</v>
      </c>
    </row>
    <row r="806" spans="1:13" x14ac:dyDescent="0.3">
      <c r="A806" t="s">
        <v>19</v>
      </c>
      <c r="B806" t="s">
        <v>11</v>
      </c>
      <c r="C806">
        <v>45848</v>
      </c>
      <c r="D806">
        <v>45855</v>
      </c>
      <c r="E806">
        <v>6</v>
      </c>
      <c r="F806">
        <v>6</v>
      </c>
      <c r="G806">
        <v>10</v>
      </c>
      <c r="H806">
        <v>2</v>
      </c>
      <c r="I806">
        <v>1</v>
      </c>
      <c r="J806" t="s">
        <v>44</v>
      </c>
      <c r="K806">
        <v>0</v>
      </c>
      <c r="L806" s="17">
        <f t="shared" ca="1" si="24"/>
        <v>46167</v>
      </c>
      <c r="M806" s="6" t="str">
        <f t="shared" ca="1" si="25"/>
        <v>25/05/yyyy a 31/05/yyyy</v>
      </c>
    </row>
    <row r="807" spans="1:13" x14ac:dyDescent="0.3">
      <c r="A807" t="s">
        <v>19</v>
      </c>
      <c r="B807" t="s">
        <v>11</v>
      </c>
      <c r="C807">
        <v>45848</v>
      </c>
      <c r="D807">
        <v>45855</v>
      </c>
      <c r="E807">
        <v>6</v>
      </c>
      <c r="F807">
        <v>6</v>
      </c>
      <c r="G807">
        <v>10</v>
      </c>
      <c r="H807">
        <v>2</v>
      </c>
      <c r="I807">
        <v>1</v>
      </c>
      <c r="J807" t="s">
        <v>45</v>
      </c>
      <c r="K807">
        <v>2</v>
      </c>
      <c r="L807" s="17">
        <f t="shared" ca="1" si="24"/>
        <v>46174</v>
      </c>
      <c r="M807" s="6" t="str">
        <f t="shared" ca="1" si="25"/>
        <v>01/06/yyyy a 07/06/yyyy</v>
      </c>
    </row>
    <row r="808" spans="1:13" x14ac:dyDescent="0.3">
      <c r="A808" t="s">
        <v>19</v>
      </c>
      <c r="B808" t="s">
        <v>11</v>
      </c>
      <c r="C808">
        <v>45848</v>
      </c>
      <c r="D808">
        <v>45855</v>
      </c>
      <c r="E808">
        <v>6</v>
      </c>
      <c r="F808">
        <v>6</v>
      </c>
      <c r="G808">
        <v>10</v>
      </c>
      <c r="H808">
        <v>2</v>
      </c>
      <c r="I808">
        <v>1</v>
      </c>
      <c r="J808" t="s">
        <v>46</v>
      </c>
      <c r="K808">
        <v>4</v>
      </c>
      <c r="L808" s="17">
        <f t="shared" ca="1" si="24"/>
        <v>46181</v>
      </c>
      <c r="M808" s="6" t="str">
        <f t="shared" ca="1" si="25"/>
        <v>08/06/yyyy a 14/06/yyyy</v>
      </c>
    </row>
    <row r="809" spans="1:13" x14ac:dyDescent="0.3">
      <c r="A809" t="s">
        <v>19</v>
      </c>
      <c r="B809" t="s">
        <v>11</v>
      </c>
      <c r="C809">
        <v>45848</v>
      </c>
      <c r="D809">
        <v>45855</v>
      </c>
      <c r="E809">
        <v>6</v>
      </c>
      <c r="F809">
        <v>6</v>
      </c>
      <c r="G809">
        <v>10</v>
      </c>
      <c r="H809">
        <v>2</v>
      </c>
      <c r="I809">
        <v>1</v>
      </c>
      <c r="J809" t="s">
        <v>47</v>
      </c>
      <c r="K809">
        <v>0</v>
      </c>
      <c r="L809" s="17">
        <f t="shared" ca="1" si="24"/>
        <v>46188</v>
      </c>
      <c r="M809" s="6" t="str">
        <f t="shared" ca="1" si="25"/>
        <v>15/06/yyyy a 21/06/yyyy</v>
      </c>
    </row>
    <row r="810" spans="1:13" x14ac:dyDescent="0.3">
      <c r="A810" t="s">
        <v>19</v>
      </c>
      <c r="B810" t="s">
        <v>11</v>
      </c>
      <c r="C810">
        <v>45848</v>
      </c>
      <c r="D810">
        <v>45855</v>
      </c>
      <c r="E810">
        <v>6</v>
      </c>
      <c r="F810">
        <v>6</v>
      </c>
      <c r="G810">
        <v>10</v>
      </c>
      <c r="H810">
        <v>2</v>
      </c>
      <c r="I810">
        <v>1</v>
      </c>
      <c r="J810" t="s">
        <v>48</v>
      </c>
      <c r="K810">
        <v>0</v>
      </c>
      <c r="L810" s="17">
        <f t="shared" ca="1" si="24"/>
        <v>46195</v>
      </c>
      <c r="M810" s="6" t="str">
        <f t="shared" ca="1" si="25"/>
        <v>22/06/yyyy a 28/06/yyyy</v>
      </c>
    </row>
    <row r="811" spans="1:13" x14ac:dyDescent="0.3">
      <c r="A811" t="s">
        <v>19</v>
      </c>
      <c r="B811" t="s">
        <v>11</v>
      </c>
      <c r="C811">
        <v>45848</v>
      </c>
      <c r="D811">
        <v>45855</v>
      </c>
      <c r="E811">
        <v>6</v>
      </c>
      <c r="F811">
        <v>6</v>
      </c>
      <c r="G811">
        <v>10</v>
      </c>
      <c r="H811">
        <v>2</v>
      </c>
      <c r="I811">
        <v>1</v>
      </c>
      <c r="J811" t="s">
        <v>49</v>
      </c>
      <c r="K811">
        <v>0</v>
      </c>
      <c r="L811" s="17">
        <f t="shared" ca="1" si="24"/>
        <v>46202</v>
      </c>
      <c r="M811" s="6" t="str">
        <f t="shared" ca="1" si="25"/>
        <v>29/06/yyyy a 05/07/yyyy</v>
      </c>
    </row>
    <row r="812" spans="1:13" x14ac:dyDescent="0.3">
      <c r="A812" t="s">
        <v>19</v>
      </c>
      <c r="B812" t="s">
        <v>11</v>
      </c>
      <c r="C812">
        <v>45848</v>
      </c>
      <c r="D812">
        <v>45855</v>
      </c>
      <c r="E812">
        <v>6</v>
      </c>
      <c r="F812">
        <v>6</v>
      </c>
      <c r="G812">
        <v>10</v>
      </c>
      <c r="H812">
        <v>2</v>
      </c>
      <c r="I812">
        <v>1</v>
      </c>
      <c r="J812" t="s">
        <v>50</v>
      </c>
      <c r="K812">
        <v>0</v>
      </c>
      <c r="L812" s="17">
        <f t="shared" ca="1" si="24"/>
        <v>46209</v>
      </c>
      <c r="M812" s="6" t="str">
        <f t="shared" ca="1" si="25"/>
        <v>06/07/yyyy a 12/07/yyyy</v>
      </c>
    </row>
    <row r="813" spans="1:13" x14ac:dyDescent="0.3">
      <c r="A813" t="s">
        <v>19</v>
      </c>
      <c r="B813" t="s">
        <v>11</v>
      </c>
      <c r="C813">
        <v>45848</v>
      </c>
      <c r="D813">
        <v>45855</v>
      </c>
      <c r="E813">
        <v>6</v>
      </c>
      <c r="F813">
        <v>6</v>
      </c>
      <c r="G813">
        <v>10</v>
      </c>
      <c r="H813">
        <v>2</v>
      </c>
      <c r="I813">
        <v>1</v>
      </c>
      <c r="J813" t="s">
        <v>51</v>
      </c>
      <c r="K813">
        <v>0</v>
      </c>
      <c r="L813" s="17">
        <f t="shared" ca="1" si="24"/>
        <v>46216</v>
      </c>
      <c r="M813" s="6" t="str">
        <f t="shared" ca="1" si="25"/>
        <v>13/07/yyyy a 19/07/yyyy</v>
      </c>
    </row>
    <row r="814" spans="1:13" x14ac:dyDescent="0.3">
      <c r="A814" t="s">
        <v>19</v>
      </c>
      <c r="B814" t="s">
        <v>11</v>
      </c>
      <c r="C814">
        <v>45848</v>
      </c>
      <c r="D814">
        <v>45855</v>
      </c>
      <c r="E814">
        <v>6</v>
      </c>
      <c r="F814">
        <v>6</v>
      </c>
      <c r="G814">
        <v>10</v>
      </c>
      <c r="H814">
        <v>2</v>
      </c>
      <c r="I814">
        <v>1</v>
      </c>
      <c r="J814" t="s">
        <v>52</v>
      </c>
      <c r="K814">
        <v>0</v>
      </c>
      <c r="L814" s="17">
        <f t="shared" ca="1" si="24"/>
        <v>46223</v>
      </c>
      <c r="M814" s="6" t="str">
        <f t="shared" ca="1" si="25"/>
        <v>20/07/yyyy a 26/07/yyyy</v>
      </c>
    </row>
    <row r="815" spans="1:13" x14ac:dyDescent="0.3">
      <c r="A815" t="s">
        <v>19</v>
      </c>
      <c r="B815" t="s">
        <v>11</v>
      </c>
      <c r="C815">
        <v>45848</v>
      </c>
      <c r="D815">
        <v>45855</v>
      </c>
      <c r="E815">
        <v>6</v>
      </c>
      <c r="F815">
        <v>6</v>
      </c>
      <c r="G815">
        <v>10</v>
      </c>
      <c r="H815">
        <v>2</v>
      </c>
      <c r="I815">
        <v>1</v>
      </c>
      <c r="J815" t="s">
        <v>53</v>
      </c>
      <c r="K815">
        <v>0</v>
      </c>
      <c r="L815" s="17">
        <f t="shared" ca="1" si="24"/>
        <v>46167</v>
      </c>
      <c r="M815" s="6" t="str">
        <f t="shared" ca="1" si="25"/>
        <v>25/05/yyyy a 31/05/yyyy</v>
      </c>
    </row>
    <row r="816" spans="1:13" x14ac:dyDescent="0.3">
      <c r="A816" t="s">
        <v>19</v>
      </c>
      <c r="B816" t="s">
        <v>11</v>
      </c>
      <c r="C816">
        <v>45848</v>
      </c>
      <c r="D816">
        <v>45855</v>
      </c>
      <c r="E816">
        <v>6</v>
      </c>
      <c r="F816">
        <v>6</v>
      </c>
      <c r="G816">
        <v>10</v>
      </c>
      <c r="H816">
        <v>2</v>
      </c>
      <c r="I816">
        <v>1</v>
      </c>
      <c r="J816" t="s">
        <v>54</v>
      </c>
      <c r="K816">
        <v>0</v>
      </c>
      <c r="L816" s="17">
        <f t="shared" ca="1" si="24"/>
        <v>46167</v>
      </c>
      <c r="M816" s="6" t="str">
        <f t="shared" ca="1" si="25"/>
        <v>25/05/yyyy a 31/05/yyyy</v>
      </c>
    </row>
    <row r="817" spans="1:13" x14ac:dyDescent="0.3">
      <c r="A817" t="s">
        <v>19</v>
      </c>
      <c r="B817" t="s">
        <v>11</v>
      </c>
      <c r="C817">
        <v>45848</v>
      </c>
      <c r="D817">
        <v>45855</v>
      </c>
      <c r="E817">
        <v>6</v>
      </c>
      <c r="F817">
        <v>6</v>
      </c>
      <c r="G817">
        <v>10</v>
      </c>
      <c r="H817">
        <v>2</v>
      </c>
      <c r="I817">
        <v>1</v>
      </c>
      <c r="J817" t="s">
        <v>55</v>
      </c>
      <c r="K817">
        <v>0</v>
      </c>
      <c r="L817" s="17">
        <f t="shared" ca="1" si="24"/>
        <v>46167</v>
      </c>
      <c r="M817" s="6" t="str">
        <f t="shared" ca="1" si="25"/>
        <v>25/05/yyyy a 31/05/yyyy</v>
      </c>
    </row>
    <row r="818" spans="1:13" x14ac:dyDescent="0.3">
      <c r="A818" t="s">
        <v>19</v>
      </c>
      <c r="B818" t="s">
        <v>18</v>
      </c>
      <c r="C818">
        <v>45862</v>
      </c>
      <c r="D818">
        <v>45869</v>
      </c>
      <c r="E818">
        <v>3</v>
      </c>
      <c r="F818">
        <v>3</v>
      </c>
      <c r="G818">
        <v>20</v>
      </c>
      <c r="H818">
        <v>4</v>
      </c>
      <c r="I818">
        <v>0.5</v>
      </c>
      <c r="J818" t="s">
        <v>44</v>
      </c>
      <c r="K818">
        <v>0</v>
      </c>
      <c r="L818" s="17">
        <f t="shared" ca="1" si="24"/>
        <v>46167</v>
      </c>
      <c r="M818" s="6" t="str">
        <f t="shared" ca="1" si="25"/>
        <v>25/05/yyyy a 31/05/yyyy</v>
      </c>
    </row>
    <row r="819" spans="1:13" x14ac:dyDescent="0.3">
      <c r="A819" t="s">
        <v>19</v>
      </c>
      <c r="B819" t="s">
        <v>18</v>
      </c>
      <c r="C819">
        <v>45862</v>
      </c>
      <c r="D819">
        <v>45869</v>
      </c>
      <c r="E819">
        <v>3</v>
      </c>
      <c r="F819">
        <v>3</v>
      </c>
      <c r="G819">
        <v>20</v>
      </c>
      <c r="H819">
        <v>4</v>
      </c>
      <c r="I819">
        <v>0.5</v>
      </c>
      <c r="J819" t="s">
        <v>45</v>
      </c>
      <c r="K819">
        <v>0</v>
      </c>
      <c r="L819" s="17">
        <f t="shared" ca="1" si="24"/>
        <v>46174</v>
      </c>
      <c r="M819" s="6" t="str">
        <f t="shared" ca="1" si="25"/>
        <v>01/06/yyyy a 07/06/yyyy</v>
      </c>
    </row>
    <row r="820" spans="1:13" x14ac:dyDescent="0.3">
      <c r="A820" t="s">
        <v>19</v>
      </c>
      <c r="B820" t="s">
        <v>18</v>
      </c>
      <c r="C820">
        <v>45862</v>
      </c>
      <c r="D820">
        <v>45869</v>
      </c>
      <c r="E820">
        <v>3</v>
      </c>
      <c r="F820">
        <v>3</v>
      </c>
      <c r="G820">
        <v>20</v>
      </c>
      <c r="H820">
        <v>4</v>
      </c>
      <c r="I820">
        <v>0.5</v>
      </c>
      <c r="J820" t="s">
        <v>46</v>
      </c>
      <c r="K820">
        <v>0</v>
      </c>
      <c r="L820" s="17">
        <f t="shared" ca="1" si="24"/>
        <v>46181</v>
      </c>
      <c r="M820" s="6" t="str">
        <f t="shared" ca="1" si="25"/>
        <v>08/06/yyyy a 14/06/yyyy</v>
      </c>
    </row>
    <row r="821" spans="1:13" x14ac:dyDescent="0.3">
      <c r="A821" t="s">
        <v>19</v>
      </c>
      <c r="B821" t="s">
        <v>18</v>
      </c>
      <c r="C821">
        <v>45862</v>
      </c>
      <c r="D821">
        <v>45869</v>
      </c>
      <c r="E821">
        <v>3</v>
      </c>
      <c r="F821">
        <v>3</v>
      </c>
      <c r="G821">
        <v>20</v>
      </c>
      <c r="H821">
        <v>4</v>
      </c>
      <c r="I821">
        <v>0.5</v>
      </c>
      <c r="J821" t="s">
        <v>47</v>
      </c>
      <c r="K821">
        <v>1</v>
      </c>
      <c r="L821" s="17">
        <f t="shared" ca="1" si="24"/>
        <v>46188</v>
      </c>
      <c r="M821" s="6" t="str">
        <f t="shared" ca="1" si="25"/>
        <v>15/06/yyyy a 21/06/yyyy</v>
      </c>
    </row>
    <row r="822" spans="1:13" x14ac:dyDescent="0.3">
      <c r="A822" t="s">
        <v>19</v>
      </c>
      <c r="B822" t="s">
        <v>18</v>
      </c>
      <c r="C822">
        <v>45862</v>
      </c>
      <c r="D822">
        <v>45869</v>
      </c>
      <c r="E822">
        <v>3</v>
      </c>
      <c r="F822">
        <v>3</v>
      </c>
      <c r="G822">
        <v>20</v>
      </c>
      <c r="H822">
        <v>4</v>
      </c>
      <c r="I822">
        <v>0.5</v>
      </c>
      <c r="J822" t="s">
        <v>48</v>
      </c>
      <c r="K822">
        <v>2</v>
      </c>
      <c r="L822" s="17">
        <f t="shared" ca="1" si="24"/>
        <v>46195</v>
      </c>
      <c r="M822" s="6" t="str">
        <f t="shared" ca="1" si="25"/>
        <v>22/06/yyyy a 28/06/yyyy</v>
      </c>
    </row>
    <row r="823" spans="1:13" x14ac:dyDescent="0.3">
      <c r="A823" t="s">
        <v>19</v>
      </c>
      <c r="B823" t="s">
        <v>18</v>
      </c>
      <c r="C823">
        <v>45862</v>
      </c>
      <c r="D823">
        <v>45869</v>
      </c>
      <c r="E823">
        <v>3</v>
      </c>
      <c r="F823">
        <v>3</v>
      </c>
      <c r="G823">
        <v>20</v>
      </c>
      <c r="H823">
        <v>4</v>
      </c>
      <c r="I823">
        <v>0.5</v>
      </c>
      <c r="J823" t="s">
        <v>49</v>
      </c>
      <c r="K823">
        <v>0</v>
      </c>
      <c r="L823" s="17">
        <f t="shared" ca="1" si="24"/>
        <v>46202</v>
      </c>
      <c r="M823" s="6" t="str">
        <f t="shared" ca="1" si="25"/>
        <v>29/06/yyyy a 05/07/yyyy</v>
      </c>
    </row>
    <row r="824" spans="1:13" x14ac:dyDescent="0.3">
      <c r="A824" t="s">
        <v>19</v>
      </c>
      <c r="B824" t="s">
        <v>18</v>
      </c>
      <c r="C824">
        <v>45862</v>
      </c>
      <c r="D824">
        <v>45869</v>
      </c>
      <c r="E824">
        <v>3</v>
      </c>
      <c r="F824">
        <v>3</v>
      </c>
      <c r="G824">
        <v>20</v>
      </c>
      <c r="H824">
        <v>4</v>
      </c>
      <c r="I824">
        <v>0.5</v>
      </c>
      <c r="J824" t="s">
        <v>50</v>
      </c>
      <c r="K824">
        <v>0</v>
      </c>
      <c r="L824" s="17">
        <f t="shared" ca="1" si="24"/>
        <v>46209</v>
      </c>
      <c r="M824" s="6" t="str">
        <f t="shared" ca="1" si="25"/>
        <v>06/07/yyyy a 12/07/yyyy</v>
      </c>
    </row>
    <row r="825" spans="1:13" x14ac:dyDescent="0.3">
      <c r="A825" t="s">
        <v>19</v>
      </c>
      <c r="B825" t="s">
        <v>18</v>
      </c>
      <c r="C825">
        <v>45862</v>
      </c>
      <c r="D825">
        <v>45869</v>
      </c>
      <c r="E825">
        <v>3</v>
      </c>
      <c r="F825">
        <v>3</v>
      </c>
      <c r="G825">
        <v>20</v>
      </c>
      <c r="H825">
        <v>4</v>
      </c>
      <c r="I825">
        <v>0.5</v>
      </c>
      <c r="J825" t="s">
        <v>51</v>
      </c>
      <c r="K825">
        <v>0</v>
      </c>
      <c r="L825" s="17">
        <f t="shared" ca="1" si="24"/>
        <v>46216</v>
      </c>
      <c r="M825" s="6" t="str">
        <f t="shared" ca="1" si="25"/>
        <v>13/07/yyyy a 19/07/yyyy</v>
      </c>
    </row>
    <row r="826" spans="1:13" x14ac:dyDescent="0.3">
      <c r="A826" t="s">
        <v>19</v>
      </c>
      <c r="B826" t="s">
        <v>18</v>
      </c>
      <c r="C826">
        <v>45862</v>
      </c>
      <c r="D826">
        <v>45869</v>
      </c>
      <c r="E826">
        <v>3</v>
      </c>
      <c r="F826">
        <v>3</v>
      </c>
      <c r="G826">
        <v>20</v>
      </c>
      <c r="H826">
        <v>4</v>
      </c>
      <c r="I826">
        <v>0.5</v>
      </c>
      <c r="J826" t="s">
        <v>52</v>
      </c>
      <c r="K826">
        <v>0</v>
      </c>
      <c r="L826" s="17">
        <f t="shared" ca="1" si="24"/>
        <v>46223</v>
      </c>
      <c r="M826" s="6" t="str">
        <f t="shared" ca="1" si="25"/>
        <v>20/07/yyyy a 26/07/yyyy</v>
      </c>
    </row>
    <row r="827" spans="1:13" x14ac:dyDescent="0.3">
      <c r="A827" t="s">
        <v>19</v>
      </c>
      <c r="B827" t="s">
        <v>18</v>
      </c>
      <c r="C827">
        <v>45862</v>
      </c>
      <c r="D827">
        <v>45869</v>
      </c>
      <c r="E827">
        <v>3</v>
      </c>
      <c r="F827">
        <v>3</v>
      </c>
      <c r="G827">
        <v>20</v>
      </c>
      <c r="H827">
        <v>4</v>
      </c>
      <c r="I827">
        <v>0.5</v>
      </c>
      <c r="J827" t="s">
        <v>53</v>
      </c>
      <c r="K827">
        <v>0</v>
      </c>
      <c r="L827" s="17">
        <f t="shared" ca="1" si="24"/>
        <v>46167</v>
      </c>
      <c r="M827" s="6" t="str">
        <f t="shared" ca="1" si="25"/>
        <v>25/05/yyyy a 31/05/yyyy</v>
      </c>
    </row>
    <row r="828" spans="1:13" x14ac:dyDescent="0.3">
      <c r="A828" t="s">
        <v>19</v>
      </c>
      <c r="B828" t="s">
        <v>18</v>
      </c>
      <c r="C828">
        <v>45862</v>
      </c>
      <c r="D828">
        <v>45869</v>
      </c>
      <c r="E828">
        <v>3</v>
      </c>
      <c r="F828">
        <v>3</v>
      </c>
      <c r="G828">
        <v>20</v>
      </c>
      <c r="H828">
        <v>4</v>
      </c>
      <c r="I828">
        <v>0.5</v>
      </c>
      <c r="J828" t="s">
        <v>54</v>
      </c>
      <c r="K828">
        <v>0</v>
      </c>
      <c r="L828" s="17">
        <f t="shared" ca="1" si="24"/>
        <v>46167</v>
      </c>
      <c r="M828" s="6" t="str">
        <f t="shared" ca="1" si="25"/>
        <v>25/05/yyyy a 31/05/yyyy</v>
      </c>
    </row>
    <row r="829" spans="1:13" x14ac:dyDescent="0.3">
      <c r="A829" t="s">
        <v>19</v>
      </c>
      <c r="B829" t="s">
        <v>18</v>
      </c>
      <c r="C829">
        <v>45862</v>
      </c>
      <c r="D829">
        <v>45869</v>
      </c>
      <c r="E829">
        <v>3</v>
      </c>
      <c r="F829">
        <v>3</v>
      </c>
      <c r="G829">
        <v>20</v>
      </c>
      <c r="H829">
        <v>4</v>
      </c>
      <c r="I829">
        <v>0.5</v>
      </c>
      <c r="J829" t="s">
        <v>55</v>
      </c>
      <c r="K829">
        <v>0</v>
      </c>
      <c r="L829" s="17">
        <f t="shared" ca="1" si="24"/>
        <v>46167</v>
      </c>
      <c r="M829" s="6" t="str">
        <f t="shared" ca="1" si="25"/>
        <v>25/05/yyyy a 31/05/yyyy</v>
      </c>
    </row>
    <row r="830" spans="1:13" x14ac:dyDescent="0.3">
      <c r="A830" t="s">
        <v>19</v>
      </c>
      <c r="B830" t="s">
        <v>30</v>
      </c>
      <c r="C830">
        <v>45848</v>
      </c>
      <c r="D830">
        <v>45855</v>
      </c>
      <c r="E830">
        <v>3</v>
      </c>
      <c r="F830">
        <v>3</v>
      </c>
      <c r="G830">
        <v>10</v>
      </c>
      <c r="H830">
        <v>2</v>
      </c>
      <c r="I830">
        <v>0.5</v>
      </c>
      <c r="J830" t="s">
        <v>44</v>
      </c>
      <c r="K830">
        <v>0</v>
      </c>
      <c r="L830" s="17">
        <f t="shared" ca="1" si="24"/>
        <v>46167</v>
      </c>
      <c r="M830" s="6" t="str">
        <f t="shared" ca="1" si="25"/>
        <v>25/05/yyyy a 31/05/yyyy</v>
      </c>
    </row>
    <row r="831" spans="1:13" x14ac:dyDescent="0.3">
      <c r="A831" t="s">
        <v>19</v>
      </c>
      <c r="B831" t="s">
        <v>30</v>
      </c>
      <c r="C831">
        <v>45848</v>
      </c>
      <c r="D831">
        <v>45855</v>
      </c>
      <c r="E831">
        <v>3</v>
      </c>
      <c r="F831">
        <v>3</v>
      </c>
      <c r="G831">
        <v>10</v>
      </c>
      <c r="H831">
        <v>2</v>
      </c>
      <c r="I831">
        <v>0.5</v>
      </c>
      <c r="J831" t="s">
        <v>45</v>
      </c>
      <c r="K831">
        <v>1</v>
      </c>
      <c r="L831" s="17">
        <f t="shared" ca="1" si="24"/>
        <v>46174</v>
      </c>
      <c r="M831" s="6" t="str">
        <f t="shared" ca="1" si="25"/>
        <v>01/06/yyyy a 07/06/yyyy</v>
      </c>
    </row>
    <row r="832" spans="1:13" x14ac:dyDescent="0.3">
      <c r="A832" t="s">
        <v>19</v>
      </c>
      <c r="B832" t="s">
        <v>30</v>
      </c>
      <c r="C832">
        <v>45848</v>
      </c>
      <c r="D832">
        <v>45855</v>
      </c>
      <c r="E832">
        <v>3</v>
      </c>
      <c r="F832">
        <v>3</v>
      </c>
      <c r="G832">
        <v>10</v>
      </c>
      <c r="H832">
        <v>2</v>
      </c>
      <c r="I832">
        <v>0.5</v>
      </c>
      <c r="J832" t="s">
        <v>46</v>
      </c>
      <c r="K832">
        <v>2</v>
      </c>
      <c r="L832" s="17">
        <f t="shared" ca="1" si="24"/>
        <v>46181</v>
      </c>
      <c r="M832" s="6" t="str">
        <f t="shared" ca="1" si="25"/>
        <v>08/06/yyyy a 14/06/yyyy</v>
      </c>
    </row>
    <row r="833" spans="1:13" x14ac:dyDescent="0.3">
      <c r="A833" t="s">
        <v>19</v>
      </c>
      <c r="B833" t="s">
        <v>30</v>
      </c>
      <c r="C833">
        <v>45848</v>
      </c>
      <c r="D833">
        <v>45855</v>
      </c>
      <c r="E833">
        <v>3</v>
      </c>
      <c r="F833">
        <v>3</v>
      </c>
      <c r="G833">
        <v>10</v>
      </c>
      <c r="H833">
        <v>2</v>
      </c>
      <c r="I833">
        <v>0.5</v>
      </c>
      <c r="J833" t="s">
        <v>47</v>
      </c>
      <c r="K833">
        <v>0</v>
      </c>
      <c r="L833" s="17">
        <f t="shared" ca="1" si="24"/>
        <v>46188</v>
      </c>
      <c r="M833" s="6" t="str">
        <f t="shared" ca="1" si="25"/>
        <v>15/06/yyyy a 21/06/yyyy</v>
      </c>
    </row>
    <row r="834" spans="1:13" x14ac:dyDescent="0.3">
      <c r="A834" t="s">
        <v>19</v>
      </c>
      <c r="B834" t="s">
        <v>30</v>
      </c>
      <c r="C834">
        <v>45848</v>
      </c>
      <c r="D834">
        <v>45855</v>
      </c>
      <c r="E834">
        <v>3</v>
      </c>
      <c r="F834">
        <v>3</v>
      </c>
      <c r="G834">
        <v>10</v>
      </c>
      <c r="H834">
        <v>2</v>
      </c>
      <c r="I834">
        <v>0.5</v>
      </c>
      <c r="J834" t="s">
        <v>48</v>
      </c>
      <c r="K834">
        <v>0</v>
      </c>
      <c r="L834" s="17">
        <f t="shared" ref="L834:L897" ca="1" si="26">IFERROR(VLOOKUP(J834,$O$2:$P$13,2),"")</f>
        <v>46195</v>
      </c>
      <c r="M834" s="6" t="str">
        <f t="shared" ref="M834:M897" ca="1" si="27">IFERROR(TEXT(L834,"dd/mm/yyyy")&amp; " a " &amp; (TEXT(L834+6,"dd/mm/yyyy")),"")</f>
        <v>22/06/yyyy a 28/06/yyyy</v>
      </c>
    </row>
    <row r="835" spans="1:13" x14ac:dyDescent="0.3">
      <c r="A835" t="s">
        <v>19</v>
      </c>
      <c r="B835" t="s">
        <v>30</v>
      </c>
      <c r="C835">
        <v>45848</v>
      </c>
      <c r="D835">
        <v>45855</v>
      </c>
      <c r="E835">
        <v>3</v>
      </c>
      <c r="F835">
        <v>3</v>
      </c>
      <c r="G835">
        <v>10</v>
      </c>
      <c r="H835">
        <v>2</v>
      </c>
      <c r="I835">
        <v>0.5</v>
      </c>
      <c r="J835" t="s">
        <v>49</v>
      </c>
      <c r="K835">
        <v>0</v>
      </c>
      <c r="L835" s="17">
        <f t="shared" ca="1" si="26"/>
        <v>46202</v>
      </c>
      <c r="M835" s="6" t="str">
        <f t="shared" ca="1" si="27"/>
        <v>29/06/yyyy a 05/07/yyyy</v>
      </c>
    </row>
    <row r="836" spans="1:13" x14ac:dyDescent="0.3">
      <c r="A836" t="s">
        <v>19</v>
      </c>
      <c r="B836" t="s">
        <v>30</v>
      </c>
      <c r="C836">
        <v>45848</v>
      </c>
      <c r="D836">
        <v>45855</v>
      </c>
      <c r="E836">
        <v>3</v>
      </c>
      <c r="F836">
        <v>3</v>
      </c>
      <c r="G836">
        <v>10</v>
      </c>
      <c r="H836">
        <v>2</v>
      </c>
      <c r="I836">
        <v>0.5</v>
      </c>
      <c r="J836" t="s">
        <v>50</v>
      </c>
      <c r="K836">
        <v>0</v>
      </c>
      <c r="L836" s="17">
        <f t="shared" ca="1" si="26"/>
        <v>46209</v>
      </c>
      <c r="M836" s="6" t="str">
        <f t="shared" ca="1" si="27"/>
        <v>06/07/yyyy a 12/07/yyyy</v>
      </c>
    </row>
    <row r="837" spans="1:13" x14ac:dyDescent="0.3">
      <c r="A837" t="s">
        <v>19</v>
      </c>
      <c r="B837" t="s">
        <v>30</v>
      </c>
      <c r="C837">
        <v>45848</v>
      </c>
      <c r="D837">
        <v>45855</v>
      </c>
      <c r="E837">
        <v>3</v>
      </c>
      <c r="F837">
        <v>3</v>
      </c>
      <c r="G837">
        <v>10</v>
      </c>
      <c r="H837">
        <v>2</v>
      </c>
      <c r="I837">
        <v>0.5</v>
      </c>
      <c r="J837" t="s">
        <v>51</v>
      </c>
      <c r="K837">
        <v>0</v>
      </c>
      <c r="L837" s="17">
        <f t="shared" ca="1" si="26"/>
        <v>46216</v>
      </c>
      <c r="M837" s="6" t="str">
        <f t="shared" ca="1" si="27"/>
        <v>13/07/yyyy a 19/07/yyyy</v>
      </c>
    </row>
    <row r="838" spans="1:13" x14ac:dyDescent="0.3">
      <c r="A838" t="s">
        <v>19</v>
      </c>
      <c r="B838" t="s">
        <v>30</v>
      </c>
      <c r="C838">
        <v>45848</v>
      </c>
      <c r="D838">
        <v>45855</v>
      </c>
      <c r="E838">
        <v>3</v>
      </c>
      <c r="F838">
        <v>3</v>
      </c>
      <c r="G838">
        <v>10</v>
      </c>
      <c r="H838">
        <v>2</v>
      </c>
      <c r="I838">
        <v>0.5</v>
      </c>
      <c r="J838" t="s">
        <v>52</v>
      </c>
      <c r="K838">
        <v>0</v>
      </c>
      <c r="L838" s="17">
        <f t="shared" ca="1" si="26"/>
        <v>46223</v>
      </c>
      <c r="M838" s="6" t="str">
        <f t="shared" ca="1" si="27"/>
        <v>20/07/yyyy a 26/07/yyyy</v>
      </c>
    </row>
    <row r="839" spans="1:13" x14ac:dyDescent="0.3">
      <c r="A839" t="s">
        <v>19</v>
      </c>
      <c r="B839" t="s">
        <v>30</v>
      </c>
      <c r="C839">
        <v>45848</v>
      </c>
      <c r="D839">
        <v>45855</v>
      </c>
      <c r="E839">
        <v>3</v>
      </c>
      <c r="F839">
        <v>3</v>
      </c>
      <c r="G839">
        <v>10</v>
      </c>
      <c r="H839">
        <v>2</v>
      </c>
      <c r="I839">
        <v>0.5</v>
      </c>
      <c r="J839" t="s">
        <v>53</v>
      </c>
      <c r="K839">
        <v>0</v>
      </c>
      <c r="L839" s="17">
        <f t="shared" ca="1" si="26"/>
        <v>46167</v>
      </c>
      <c r="M839" s="6" t="str">
        <f t="shared" ca="1" si="27"/>
        <v>25/05/yyyy a 31/05/yyyy</v>
      </c>
    </row>
    <row r="840" spans="1:13" x14ac:dyDescent="0.3">
      <c r="A840" t="s">
        <v>19</v>
      </c>
      <c r="B840" t="s">
        <v>30</v>
      </c>
      <c r="C840">
        <v>45848</v>
      </c>
      <c r="D840">
        <v>45855</v>
      </c>
      <c r="E840">
        <v>3</v>
      </c>
      <c r="F840">
        <v>3</v>
      </c>
      <c r="G840">
        <v>10</v>
      </c>
      <c r="H840">
        <v>2</v>
      </c>
      <c r="I840">
        <v>0.5</v>
      </c>
      <c r="J840" t="s">
        <v>54</v>
      </c>
      <c r="K840">
        <v>0</v>
      </c>
      <c r="L840" s="17">
        <f t="shared" ca="1" si="26"/>
        <v>46167</v>
      </c>
      <c r="M840" s="6" t="str">
        <f t="shared" ca="1" si="27"/>
        <v>25/05/yyyy a 31/05/yyyy</v>
      </c>
    </row>
    <row r="841" spans="1:13" x14ac:dyDescent="0.3">
      <c r="A841" t="s">
        <v>19</v>
      </c>
      <c r="B841" t="s">
        <v>30</v>
      </c>
      <c r="C841">
        <v>45848</v>
      </c>
      <c r="D841">
        <v>45855</v>
      </c>
      <c r="E841">
        <v>3</v>
      </c>
      <c r="F841">
        <v>3</v>
      </c>
      <c r="G841">
        <v>10</v>
      </c>
      <c r="H841">
        <v>2</v>
      </c>
      <c r="I841">
        <v>0.5</v>
      </c>
      <c r="J841" t="s">
        <v>55</v>
      </c>
      <c r="K841">
        <v>0</v>
      </c>
      <c r="L841" s="17">
        <f t="shared" ca="1" si="26"/>
        <v>46167</v>
      </c>
      <c r="M841" s="6" t="str">
        <f t="shared" ca="1" si="27"/>
        <v>25/05/yyyy a 31/05/yyyy</v>
      </c>
    </row>
    <row r="842" spans="1:13" x14ac:dyDescent="0.3">
      <c r="A842" t="s">
        <v>19</v>
      </c>
      <c r="B842" t="s">
        <v>11</v>
      </c>
      <c r="C842">
        <v>45862</v>
      </c>
      <c r="D842">
        <v>45869</v>
      </c>
      <c r="E842">
        <v>6</v>
      </c>
      <c r="F842">
        <v>6</v>
      </c>
      <c r="G842">
        <v>20</v>
      </c>
      <c r="H842">
        <v>4</v>
      </c>
      <c r="I842">
        <v>1</v>
      </c>
      <c r="J842" t="s">
        <v>44</v>
      </c>
      <c r="K842">
        <v>0</v>
      </c>
      <c r="L842" s="17">
        <f t="shared" ca="1" si="26"/>
        <v>46167</v>
      </c>
      <c r="M842" s="6" t="str">
        <f t="shared" ca="1" si="27"/>
        <v>25/05/yyyy a 31/05/yyyy</v>
      </c>
    </row>
    <row r="843" spans="1:13" x14ac:dyDescent="0.3">
      <c r="A843" t="s">
        <v>19</v>
      </c>
      <c r="B843" t="s">
        <v>11</v>
      </c>
      <c r="C843">
        <v>45862</v>
      </c>
      <c r="D843">
        <v>45869</v>
      </c>
      <c r="E843">
        <v>6</v>
      </c>
      <c r="F843">
        <v>6</v>
      </c>
      <c r="G843">
        <v>20</v>
      </c>
      <c r="H843">
        <v>4</v>
      </c>
      <c r="I843">
        <v>1</v>
      </c>
      <c r="J843" t="s">
        <v>45</v>
      </c>
      <c r="K843">
        <v>0</v>
      </c>
      <c r="L843" s="17">
        <f t="shared" ca="1" si="26"/>
        <v>46174</v>
      </c>
      <c r="M843" s="6" t="str">
        <f t="shared" ca="1" si="27"/>
        <v>01/06/yyyy a 07/06/yyyy</v>
      </c>
    </row>
    <row r="844" spans="1:13" x14ac:dyDescent="0.3">
      <c r="A844" t="s">
        <v>19</v>
      </c>
      <c r="B844" t="s">
        <v>11</v>
      </c>
      <c r="C844">
        <v>45862</v>
      </c>
      <c r="D844">
        <v>45869</v>
      </c>
      <c r="E844">
        <v>6</v>
      </c>
      <c r="F844">
        <v>6</v>
      </c>
      <c r="G844">
        <v>20</v>
      </c>
      <c r="H844">
        <v>4</v>
      </c>
      <c r="I844">
        <v>1</v>
      </c>
      <c r="J844" t="s">
        <v>46</v>
      </c>
      <c r="K844">
        <v>0</v>
      </c>
      <c r="L844" s="17">
        <f t="shared" ca="1" si="26"/>
        <v>46181</v>
      </c>
      <c r="M844" s="6" t="str">
        <f t="shared" ca="1" si="27"/>
        <v>08/06/yyyy a 14/06/yyyy</v>
      </c>
    </row>
    <row r="845" spans="1:13" x14ac:dyDescent="0.3">
      <c r="A845" t="s">
        <v>19</v>
      </c>
      <c r="B845" t="s">
        <v>11</v>
      </c>
      <c r="C845">
        <v>45862</v>
      </c>
      <c r="D845">
        <v>45869</v>
      </c>
      <c r="E845">
        <v>6</v>
      </c>
      <c r="F845">
        <v>6</v>
      </c>
      <c r="G845">
        <v>20</v>
      </c>
      <c r="H845">
        <v>4</v>
      </c>
      <c r="I845">
        <v>1</v>
      </c>
      <c r="J845" t="s">
        <v>47</v>
      </c>
      <c r="K845">
        <v>2</v>
      </c>
      <c r="L845" s="17">
        <f t="shared" ca="1" si="26"/>
        <v>46188</v>
      </c>
      <c r="M845" s="6" t="str">
        <f t="shared" ca="1" si="27"/>
        <v>15/06/yyyy a 21/06/yyyy</v>
      </c>
    </row>
    <row r="846" spans="1:13" x14ac:dyDescent="0.3">
      <c r="A846" t="s">
        <v>19</v>
      </c>
      <c r="B846" t="s">
        <v>11</v>
      </c>
      <c r="C846">
        <v>45862</v>
      </c>
      <c r="D846">
        <v>45869</v>
      </c>
      <c r="E846">
        <v>6</v>
      </c>
      <c r="F846">
        <v>6</v>
      </c>
      <c r="G846">
        <v>20</v>
      </c>
      <c r="H846">
        <v>4</v>
      </c>
      <c r="I846">
        <v>1</v>
      </c>
      <c r="J846" t="s">
        <v>48</v>
      </c>
      <c r="K846">
        <v>4</v>
      </c>
      <c r="L846" s="17">
        <f t="shared" ca="1" si="26"/>
        <v>46195</v>
      </c>
      <c r="M846" s="6" t="str">
        <f t="shared" ca="1" si="27"/>
        <v>22/06/yyyy a 28/06/yyyy</v>
      </c>
    </row>
    <row r="847" spans="1:13" x14ac:dyDescent="0.3">
      <c r="A847" t="s">
        <v>19</v>
      </c>
      <c r="B847" t="s">
        <v>11</v>
      </c>
      <c r="C847">
        <v>45862</v>
      </c>
      <c r="D847">
        <v>45869</v>
      </c>
      <c r="E847">
        <v>6</v>
      </c>
      <c r="F847">
        <v>6</v>
      </c>
      <c r="G847">
        <v>20</v>
      </c>
      <c r="H847">
        <v>4</v>
      </c>
      <c r="I847">
        <v>1</v>
      </c>
      <c r="J847" t="s">
        <v>49</v>
      </c>
      <c r="K847">
        <v>0</v>
      </c>
      <c r="L847" s="17">
        <f t="shared" ca="1" si="26"/>
        <v>46202</v>
      </c>
      <c r="M847" s="6" t="str">
        <f t="shared" ca="1" si="27"/>
        <v>29/06/yyyy a 05/07/yyyy</v>
      </c>
    </row>
    <row r="848" spans="1:13" x14ac:dyDescent="0.3">
      <c r="A848" t="s">
        <v>19</v>
      </c>
      <c r="B848" t="s">
        <v>11</v>
      </c>
      <c r="C848">
        <v>45862</v>
      </c>
      <c r="D848">
        <v>45869</v>
      </c>
      <c r="E848">
        <v>6</v>
      </c>
      <c r="F848">
        <v>6</v>
      </c>
      <c r="G848">
        <v>20</v>
      </c>
      <c r="H848">
        <v>4</v>
      </c>
      <c r="I848">
        <v>1</v>
      </c>
      <c r="J848" t="s">
        <v>50</v>
      </c>
      <c r="K848">
        <v>0</v>
      </c>
      <c r="L848" s="17">
        <f t="shared" ca="1" si="26"/>
        <v>46209</v>
      </c>
      <c r="M848" s="6" t="str">
        <f t="shared" ca="1" si="27"/>
        <v>06/07/yyyy a 12/07/yyyy</v>
      </c>
    </row>
    <row r="849" spans="1:13" x14ac:dyDescent="0.3">
      <c r="A849" t="s">
        <v>19</v>
      </c>
      <c r="B849" t="s">
        <v>11</v>
      </c>
      <c r="C849">
        <v>45862</v>
      </c>
      <c r="D849">
        <v>45869</v>
      </c>
      <c r="E849">
        <v>6</v>
      </c>
      <c r="F849">
        <v>6</v>
      </c>
      <c r="G849">
        <v>20</v>
      </c>
      <c r="H849">
        <v>4</v>
      </c>
      <c r="I849">
        <v>1</v>
      </c>
      <c r="J849" t="s">
        <v>51</v>
      </c>
      <c r="K849">
        <v>0</v>
      </c>
      <c r="L849" s="17">
        <f t="shared" ca="1" si="26"/>
        <v>46216</v>
      </c>
      <c r="M849" s="6" t="str">
        <f t="shared" ca="1" si="27"/>
        <v>13/07/yyyy a 19/07/yyyy</v>
      </c>
    </row>
    <row r="850" spans="1:13" x14ac:dyDescent="0.3">
      <c r="A850" t="s">
        <v>19</v>
      </c>
      <c r="B850" t="s">
        <v>11</v>
      </c>
      <c r="C850">
        <v>45862</v>
      </c>
      <c r="D850">
        <v>45869</v>
      </c>
      <c r="E850">
        <v>6</v>
      </c>
      <c r="F850">
        <v>6</v>
      </c>
      <c r="G850">
        <v>20</v>
      </c>
      <c r="H850">
        <v>4</v>
      </c>
      <c r="I850">
        <v>1</v>
      </c>
      <c r="J850" t="s">
        <v>52</v>
      </c>
      <c r="K850">
        <v>0</v>
      </c>
      <c r="L850" s="17">
        <f t="shared" ca="1" si="26"/>
        <v>46223</v>
      </c>
      <c r="M850" s="6" t="str">
        <f t="shared" ca="1" si="27"/>
        <v>20/07/yyyy a 26/07/yyyy</v>
      </c>
    </row>
    <row r="851" spans="1:13" x14ac:dyDescent="0.3">
      <c r="A851" t="s">
        <v>19</v>
      </c>
      <c r="B851" t="s">
        <v>11</v>
      </c>
      <c r="C851">
        <v>45862</v>
      </c>
      <c r="D851">
        <v>45869</v>
      </c>
      <c r="E851">
        <v>6</v>
      </c>
      <c r="F851">
        <v>6</v>
      </c>
      <c r="G851">
        <v>20</v>
      </c>
      <c r="H851">
        <v>4</v>
      </c>
      <c r="I851">
        <v>1</v>
      </c>
      <c r="J851" t="s">
        <v>53</v>
      </c>
      <c r="K851">
        <v>0</v>
      </c>
      <c r="L851" s="17">
        <f t="shared" ca="1" si="26"/>
        <v>46167</v>
      </c>
      <c r="M851" s="6" t="str">
        <f t="shared" ca="1" si="27"/>
        <v>25/05/yyyy a 31/05/yyyy</v>
      </c>
    </row>
    <row r="852" spans="1:13" x14ac:dyDescent="0.3">
      <c r="A852" t="s">
        <v>19</v>
      </c>
      <c r="B852" t="s">
        <v>11</v>
      </c>
      <c r="C852">
        <v>45862</v>
      </c>
      <c r="D852">
        <v>45869</v>
      </c>
      <c r="E852">
        <v>6</v>
      </c>
      <c r="F852">
        <v>6</v>
      </c>
      <c r="G852">
        <v>20</v>
      </c>
      <c r="H852">
        <v>4</v>
      </c>
      <c r="I852">
        <v>1</v>
      </c>
      <c r="J852" t="s">
        <v>54</v>
      </c>
      <c r="K852">
        <v>0</v>
      </c>
      <c r="L852" s="17">
        <f t="shared" ca="1" si="26"/>
        <v>46167</v>
      </c>
      <c r="M852" s="6" t="str">
        <f t="shared" ca="1" si="27"/>
        <v>25/05/yyyy a 31/05/yyyy</v>
      </c>
    </row>
    <row r="853" spans="1:13" x14ac:dyDescent="0.3">
      <c r="A853" t="s">
        <v>19</v>
      </c>
      <c r="B853" t="s">
        <v>11</v>
      </c>
      <c r="C853">
        <v>45862</v>
      </c>
      <c r="D853">
        <v>45869</v>
      </c>
      <c r="E853">
        <v>6</v>
      </c>
      <c r="F853">
        <v>6</v>
      </c>
      <c r="G853">
        <v>20</v>
      </c>
      <c r="H853">
        <v>4</v>
      </c>
      <c r="I853">
        <v>1</v>
      </c>
      <c r="J853" t="s">
        <v>55</v>
      </c>
      <c r="K853">
        <v>0</v>
      </c>
      <c r="L853" s="17">
        <f t="shared" ca="1" si="26"/>
        <v>46167</v>
      </c>
      <c r="M853" s="6" t="str">
        <f t="shared" ca="1" si="27"/>
        <v>25/05/yyyy a 31/05/yyyy</v>
      </c>
    </row>
    <row r="854" spans="1:13" x14ac:dyDescent="0.3">
      <c r="A854" t="s">
        <v>15</v>
      </c>
      <c r="B854" t="s">
        <v>16</v>
      </c>
      <c r="C854">
        <v>45841</v>
      </c>
      <c r="D854">
        <v>45848</v>
      </c>
      <c r="E854">
        <v>2.5</v>
      </c>
      <c r="F854">
        <v>1.25</v>
      </c>
      <c r="G854">
        <v>5</v>
      </c>
      <c r="H854">
        <v>1</v>
      </c>
      <c r="I854">
        <v>0.41666666666666669</v>
      </c>
      <c r="J854" t="s">
        <v>44</v>
      </c>
      <c r="K854">
        <v>1.1102230246251565E-16</v>
      </c>
      <c r="L854" s="17">
        <f t="shared" ca="1" si="26"/>
        <v>46167</v>
      </c>
      <c r="M854" s="6" t="str">
        <f t="shared" ca="1" si="27"/>
        <v>25/05/yyyy a 31/05/yyyy</v>
      </c>
    </row>
    <row r="855" spans="1:13" x14ac:dyDescent="0.3">
      <c r="A855" t="s">
        <v>15</v>
      </c>
      <c r="B855" t="s">
        <v>16</v>
      </c>
      <c r="C855">
        <v>45841</v>
      </c>
      <c r="D855">
        <v>45848</v>
      </c>
      <c r="E855">
        <v>2.5</v>
      </c>
      <c r="F855">
        <v>1.25</v>
      </c>
      <c r="G855">
        <v>5</v>
      </c>
      <c r="H855">
        <v>1</v>
      </c>
      <c r="I855">
        <v>0.41666666666666669</v>
      </c>
      <c r="J855" t="s">
        <v>45</v>
      </c>
      <c r="K855">
        <v>1.6666666666666667</v>
      </c>
      <c r="L855" s="17">
        <f t="shared" ca="1" si="26"/>
        <v>46174</v>
      </c>
      <c r="M855" s="6" t="str">
        <f t="shared" ca="1" si="27"/>
        <v>01/06/yyyy a 07/06/yyyy</v>
      </c>
    </row>
    <row r="856" spans="1:13" x14ac:dyDescent="0.3">
      <c r="A856" t="s">
        <v>15</v>
      </c>
      <c r="B856" t="s">
        <v>16</v>
      </c>
      <c r="C856">
        <v>45841</v>
      </c>
      <c r="D856">
        <v>45848</v>
      </c>
      <c r="E856">
        <v>2.5</v>
      </c>
      <c r="F856">
        <v>1.25</v>
      </c>
      <c r="G856">
        <v>5</v>
      </c>
      <c r="H856">
        <v>1</v>
      </c>
      <c r="I856">
        <v>0.41666666666666669</v>
      </c>
      <c r="J856" t="s">
        <v>46</v>
      </c>
      <c r="K856">
        <v>0</v>
      </c>
      <c r="L856" s="17">
        <f t="shared" ca="1" si="26"/>
        <v>46181</v>
      </c>
      <c r="M856" s="6" t="str">
        <f t="shared" ca="1" si="27"/>
        <v>08/06/yyyy a 14/06/yyyy</v>
      </c>
    </row>
    <row r="857" spans="1:13" x14ac:dyDescent="0.3">
      <c r="A857" t="s">
        <v>15</v>
      </c>
      <c r="B857" t="s">
        <v>16</v>
      </c>
      <c r="C857">
        <v>45841</v>
      </c>
      <c r="D857">
        <v>45848</v>
      </c>
      <c r="E857">
        <v>2.5</v>
      </c>
      <c r="F857">
        <v>1.25</v>
      </c>
      <c r="G857">
        <v>5</v>
      </c>
      <c r="H857">
        <v>1</v>
      </c>
      <c r="I857">
        <v>0.41666666666666669</v>
      </c>
      <c r="J857" t="s">
        <v>47</v>
      </c>
      <c r="K857">
        <v>0</v>
      </c>
      <c r="L857" s="17">
        <f t="shared" ca="1" si="26"/>
        <v>46188</v>
      </c>
      <c r="M857" s="6" t="str">
        <f t="shared" ca="1" si="27"/>
        <v>15/06/yyyy a 21/06/yyyy</v>
      </c>
    </row>
    <row r="858" spans="1:13" x14ac:dyDescent="0.3">
      <c r="A858" t="s">
        <v>15</v>
      </c>
      <c r="B858" t="s">
        <v>16</v>
      </c>
      <c r="C858">
        <v>45841</v>
      </c>
      <c r="D858">
        <v>45848</v>
      </c>
      <c r="E858">
        <v>2.5</v>
      </c>
      <c r="F858">
        <v>1.25</v>
      </c>
      <c r="G858">
        <v>5</v>
      </c>
      <c r="H858">
        <v>1</v>
      </c>
      <c r="I858">
        <v>0.41666666666666669</v>
      </c>
      <c r="J858" t="s">
        <v>48</v>
      </c>
      <c r="K858">
        <v>0</v>
      </c>
      <c r="L858" s="17">
        <f t="shared" ca="1" si="26"/>
        <v>46195</v>
      </c>
      <c r="M858" s="6" t="str">
        <f t="shared" ca="1" si="27"/>
        <v>22/06/yyyy a 28/06/yyyy</v>
      </c>
    </row>
    <row r="859" spans="1:13" x14ac:dyDescent="0.3">
      <c r="A859" t="s">
        <v>15</v>
      </c>
      <c r="B859" t="s">
        <v>16</v>
      </c>
      <c r="C859">
        <v>45841</v>
      </c>
      <c r="D859">
        <v>45848</v>
      </c>
      <c r="E859">
        <v>2.5</v>
      </c>
      <c r="F859">
        <v>1.25</v>
      </c>
      <c r="G859">
        <v>5</v>
      </c>
      <c r="H859">
        <v>1</v>
      </c>
      <c r="I859">
        <v>0.41666666666666669</v>
      </c>
      <c r="J859" t="s">
        <v>49</v>
      </c>
      <c r="K859">
        <v>0</v>
      </c>
      <c r="L859" s="17">
        <f t="shared" ca="1" si="26"/>
        <v>46202</v>
      </c>
      <c r="M859" s="6" t="str">
        <f t="shared" ca="1" si="27"/>
        <v>29/06/yyyy a 05/07/yyyy</v>
      </c>
    </row>
    <row r="860" spans="1:13" x14ac:dyDescent="0.3">
      <c r="A860" t="s">
        <v>15</v>
      </c>
      <c r="B860" t="s">
        <v>16</v>
      </c>
      <c r="C860">
        <v>45841</v>
      </c>
      <c r="D860">
        <v>45848</v>
      </c>
      <c r="E860">
        <v>2.5</v>
      </c>
      <c r="F860">
        <v>1.25</v>
      </c>
      <c r="G860">
        <v>5</v>
      </c>
      <c r="H860">
        <v>1</v>
      </c>
      <c r="I860">
        <v>0.41666666666666669</v>
      </c>
      <c r="J860" t="s">
        <v>50</v>
      </c>
      <c r="K860">
        <v>0</v>
      </c>
      <c r="L860" s="17">
        <f t="shared" ca="1" si="26"/>
        <v>46209</v>
      </c>
      <c r="M860" s="6" t="str">
        <f t="shared" ca="1" si="27"/>
        <v>06/07/yyyy a 12/07/yyyy</v>
      </c>
    </row>
    <row r="861" spans="1:13" x14ac:dyDescent="0.3">
      <c r="A861" t="s">
        <v>15</v>
      </c>
      <c r="B861" t="s">
        <v>16</v>
      </c>
      <c r="C861">
        <v>45841</v>
      </c>
      <c r="D861">
        <v>45848</v>
      </c>
      <c r="E861">
        <v>2.5</v>
      </c>
      <c r="F861">
        <v>1.25</v>
      </c>
      <c r="G861">
        <v>5</v>
      </c>
      <c r="H861">
        <v>1</v>
      </c>
      <c r="I861">
        <v>0.41666666666666669</v>
      </c>
      <c r="J861" t="s">
        <v>51</v>
      </c>
      <c r="K861">
        <v>0</v>
      </c>
      <c r="L861" s="17">
        <f t="shared" ca="1" si="26"/>
        <v>46216</v>
      </c>
      <c r="M861" s="6" t="str">
        <f t="shared" ca="1" si="27"/>
        <v>13/07/yyyy a 19/07/yyyy</v>
      </c>
    </row>
    <row r="862" spans="1:13" x14ac:dyDescent="0.3">
      <c r="A862" t="s">
        <v>15</v>
      </c>
      <c r="B862" t="s">
        <v>16</v>
      </c>
      <c r="C862">
        <v>45841</v>
      </c>
      <c r="D862">
        <v>45848</v>
      </c>
      <c r="E862">
        <v>2.5</v>
      </c>
      <c r="F862">
        <v>1.25</v>
      </c>
      <c r="G862">
        <v>5</v>
      </c>
      <c r="H862">
        <v>1</v>
      </c>
      <c r="I862">
        <v>0.41666666666666669</v>
      </c>
      <c r="J862" t="s">
        <v>52</v>
      </c>
      <c r="K862">
        <v>0</v>
      </c>
      <c r="L862" s="17">
        <f t="shared" ca="1" si="26"/>
        <v>46223</v>
      </c>
      <c r="M862" s="6" t="str">
        <f t="shared" ca="1" si="27"/>
        <v>20/07/yyyy a 26/07/yyyy</v>
      </c>
    </row>
    <row r="863" spans="1:13" x14ac:dyDescent="0.3">
      <c r="A863" t="s">
        <v>15</v>
      </c>
      <c r="B863" t="s">
        <v>16</v>
      </c>
      <c r="C863">
        <v>45841</v>
      </c>
      <c r="D863">
        <v>45848</v>
      </c>
      <c r="E863">
        <v>2.5</v>
      </c>
      <c r="F863">
        <v>1.25</v>
      </c>
      <c r="G863">
        <v>5</v>
      </c>
      <c r="H863">
        <v>1</v>
      </c>
      <c r="I863">
        <v>0.41666666666666669</v>
      </c>
      <c r="J863" t="s">
        <v>53</v>
      </c>
      <c r="K863">
        <v>0</v>
      </c>
      <c r="L863" s="17">
        <f t="shared" ca="1" si="26"/>
        <v>46167</v>
      </c>
      <c r="M863" s="6" t="str">
        <f t="shared" ca="1" si="27"/>
        <v>25/05/yyyy a 31/05/yyyy</v>
      </c>
    </row>
    <row r="864" spans="1:13" x14ac:dyDescent="0.3">
      <c r="A864" t="s">
        <v>15</v>
      </c>
      <c r="B864" t="s">
        <v>16</v>
      </c>
      <c r="C864">
        <v>45841</v>
      </c>
      <c r="D864">
        <v>45848</v>
      </c>
      <c r="E864">
        <v>2.5</v>
      </c>
      <c r="F864">
        <v>1.25</v>
      </c>
      <c r="G864">
        <v>5</v>
      </c>
      <c r="H864">
        <v>1</v>
      </c>
      <c r="I864">
        <v>0.41666666666666669</v>
      </c>
      <c r="J864" t="s">
        <v>54</v>
      </c>
      <c r="K864">
        <v>0</v>
      </c>
      <c r="L864" s="17">
        <f t="shared" ca="1" si="26"/>
        <v>46167</v>
      </c>
      <c r="M864" s="6" t="str">
        <f t="shared" ca="1" si="27"/>
        <v>25/05/yyyy a 31/05/yyyy</v>
      </c>
    </row>
    <row r="865" spans="1:13" x14ac:dyDescent="0.3">
      <c r="A865" t="s">
        <v>15</v>
      </c>
      <c r="B865" t="s">
        <v>16</v>
      </c>
      <c r="C865">
        <v>45841</v>
      </c>
      <c r="D865">
        <v>45848</v>
      </c>
      <c r="E865">
        <v>2.5</v>
      </c>
      <c r="F865">
        <v>1.25</v>
      </c>
      <c r="G865">
        <v>5</v>
      </c>
      <c r="H865">
        <v>1</v>
      </c>
      <c r="I865">
        <v>0.41666666666666669</v>
      </c>
      <c r="J865" t="s">
        <v>55</v>
      </c>
      <c r="K865">
        <v>0</v>
      </c>
      <c r="L865" s="17">
        <f t="shared" ca="1" si="26"/>
        <v>46167</v>
      </c>
      <c r="M865" s="6" t="str">
        <f t="shared" ca="1" si="27"/>
        <v>25/05/yyyy a 31/05/yyyy</v>
      </c>
    </row>
    <row r="866" spans="1:13" x14ac:dyDescent="0.3">
      <c r="A866" t="s">
        <v>15</v>
      </c>
      <c r="B866" t="s">
        <v>29</v>
      </c>
      <c r="C866">
        <v>45841</v>
      </c>
      <c r="D866">
        <v>45852</v>
      </c>
      <c r="E866">
        <v>2.5</v>
      </c>
      <c r="F866">
        <v>1.5625</v>
      </c>
      <c r="G866">
        <v>7</v>
      </c>
      <c r="H866">
        <v>1.4</v>
      </c>
      <c r="I866">
        <v>0.3125</v>
      </c>
      <c r="J866" t="s">
        <v>44</v>
      </c>
      <c r="K866">
        <v>0</v>
      </c>
      <c r="L866" s="17">
        <f t="shared" ca="1" si="26"/>
        <v>46167</v>
      </c>
      <c r="M866" s="6" t="str">
        <f t="shared" ca="1" si="27"/>
        <v>25/05/yyyy a 31/05/yyyy</v>
      </c>
    </row>
    <row r="867" spans="1:13" x14ac:dyDescent="0.3">
      <c r="A867" t="s">
        <v>15</v>
      </c>
      <c r="B867" t="s">
        <v>29</v>
      </c>
      <c r="C867">
        <v>45841</v>
      </c>
      <c r="D867">
        <v>45852</v>
      </c>
      <c r="E867">
        <v>2.5</v>
      </c>
      <c r="F867">
        <v>1.5625</v>
      </c>
      <c r="G867">
        <v>7</v>
      </c>
      <c r="H867">
        <v>1.4</v>
      </c>
      <c r="I867">
        <v>0.3125</v>
      </c>
      <c r="J867" t="s">
        <v>45</v>
      </c>
      <c r="K867">
        <v>1.5625</v>
      </c>
      <c r="L867" s="17">
        <f t="shared" ca="1" si="26"/>
        <v>46174</v>
      </c>
      <c r="M867" s="6" t="str">
        <f t="shared" ca="1" si="27"/>
        <v>01/06/yyyy a 07/06/yyyy</v>
      </c>
    </row>
    <row r="868" spans="1:13" x14ac:dyDescent="0.3">
      <c r="A868" t="s">
        <v>15</v>
      </c>
      <c r="B868" t="s">
        <v>29</v>
      </c>
      <c r="C868">
        <v>45841</v>
      </c>
      <c r="D868">
        <v>45852</v>
      </c>
      <c r="E868">
        <v>2.5</v>
      </c>
      <c r="F868">
        <v>1.5625</v>
      </c>
      <c r="G868">
        <v>7</v>
      </c>
      <c r="H868">
        <v>1.4</v>
      </c>
      <c r="I868">
        <v>0.3125</v>
      </c>
      <c r="J868" t="s">
        <v>46</v>
      </c>
      <c r="K868">
        <v>0.3125</v>
      </c>
      <c r="L868" s="17">
        <f t="shared" ca="1" si="26"/>
        <v>46181</v>
      </c>
      <c r="M868" s="6" t="str">
        <f t="shared" ca="1" si="27"/>
        <v>08/06/yyyy a 14/06/yyyy</v>
      </c>
    </row>
    <row r="869" spans="1:13" x14ac:dyDescent="0.3">
      <c r="A869" t="s">
        <v>15</v>
      </c>
      <c r="B869" t="s">
        <v>29</v>
      </c>
      <c r="C869">
        <v>45841</v>
      </c>
      <c r="D869">
        <v>45852</v>
      </c>
      <c r="E869">
        <v>2.5</v>
      </c>
      <c r="F869">
        <v>1.5625</v>
      </c>
      <c r="G869">
        <v>7</v>
      </c>
      <c r="H869">
        <v>1.4</v>
      </c>
      <c r="I869">
        <v>0.3125</v>
      </c>
      <c r="J869" t="s">
        <v>47</v>
      </c>
      <c r="K869">
        <v>0</v>
      </c>
      <c r="L869" s="17">
        <f t="shared" ca="1" si="26"/>
        <v>46188</v>
      </c>
      <c r="M869" s="6" t="str">
        <f t="shared" ca="1" si="27"/>
        <v>15/06/yyyy a 21/06/yyyy</v>
      </c>
    </row>
    <row r="870" spans="1:13" x14ac:dyDescent="0.3">
      <c r="A870" t="s">
        <v>15</v>
      </c>
      <c r="B870" t="s">
        <v>29</v>
      </c>
      <c r="C870">
        <v>45841</v>
      </c>
      <c r="D870">
        <v>45852</v>
      </c>
      <c r="E870">
        <v>2.5</v>
      </c>
      <c r="F870">
        <v>1.5625</v>
      </c>
      <c r="G870">
        <v>7</v>
      </c>
      <c r="H870">
        <v>1.4</v>
      </c>
      <c r="I870">
        <v>0.3125</v>
      </c>
      <c r="J870" t="s">
        <v>48</v>
      </c>
      <c r="K870">
        <v>0</v>
      </c>
      <c r="L870" s="17">
        <f t="shared" ca="1" si="26"/>
        <v>46195</v>
      </c>
      <c r="M870" s="6" t="str">
        <f t="shared" ca="1" si="27"/>
        <v>22/06/yyyy a 28/06/yyyy</v>
      </c>
    </row>
    <row r="871" spans="1:13" x14ac:dyDescent="0.3">
      <c r="A871" t="s">
        <v>15</v>
      </c>
      <c r="B871" t="s">
        <v>29</v>
      </c>
      <c r="C871">
        <v>45841</v>
      </c>
      <c r="D871">
        <v>45852</v>
      </c>
      <c r="E871">
        <v>2.5</v>
      </c>
      <c r="F871">
        <v>1.5625</v>
      </c>
      <c r="G871">
        <v>7</v>
      </c>
      <c r="H871">
        <v>1.4</v>
      </c>
      <c r="I871">
        <v>0.3125</v>
      </c>
      <c r="J871" t="s">
        <v>49</v>
      </c>
      <c r="K871">
        <v>0</v>
      </c>
      <c r="L871" s="17">
        <f t="shared" ca="1" si="26"/>
        <v>46202</v>
      </c>
      <c r="M871" s="6" t="str">
        <f t="shared" ca="1" si="27"/>
        <v>29/06/yyyy a 05/07/yyyy</v>
      </c>
    </row>
    <row r="872" spans="1:13" x14ac:dyDescent="0.3">
      <c r="A872" t="s">
        <v>15</v>
      </c>
      <c r="B872" t="s">
        <v>29</v>
      </c>
      <c r="C872">
        <v>45841</v>
      </c>
      <c r="D872">
        <v>45852</v>
      </c>
      <c r="E872">
        <v>2.5</v>
      </c>
      <c r="F872">
        <v>1.5625</v>
      </c>
      <c r="G872">
        <v>7</v>
      </c>
      <c r="H872">
        <v>1.4</v>
      </c>
      <c r="I872">
        <v>0.3125</v>
      </c>
      <c r="J872" t="s">
        <v>50</v>
      </c>
      <c r="K872">
        <v>0</v>
      </c>
      <c r="L872" s="17">
        <f t="shared" ca="1" si="26"/>
        <v>46209</v>
      </c>
      <c r="M872" s="6" t="str">
        <f t="shared" ca="1" si="27"/>
        <v>06/07/yyyy a 12/07/yyyy</v>
      </c>
    </row>
    <row r="873" spans="1:13" x14ac:dyDescent="0.3">
      <c r="A873" t="s">
        <v>15</v>
      </c>
      <c r="B873" t="s">
        <v>29</v>
      </c>
      <c r="C873">
        <v>45841</v>
      </c>
      <c r="D873">
        <v>45852</v>
      </c>
      <c r="E873">
        <v>2.5</v>
      </c>
      <c r="F873">
        <v>1.5625</v>
      </c>
      <c r="G873">
        <v>7</v>
      </c>
      <c r="H873">
        <v>1.4</v>
      </c>
      <c r="I873">
        <v>0.3125</v>
      </c>
      <c r="J873" t="s">
        <v>51</v>
      </c>
      <c r="K873">
        <v>0</v>
      </c>
      <c r="L873" s="17">
        <f t="shared" ca="1" si="26"/>
        <v>46216</v>
      </c>
      <c r="M873" s="6" t="str">
        <f t="shared" ca="1" si="27"/>
        <v>13/07/yyyy a 19/07/yyyy</v>
      </c>
    </row>
    <row r="874" spans="1:13" x14ac:dyDescent="0.3">
      <c r="A874" t="s">
        <v>15</v>
      </c>
      <c r="B874" t="s">
        <v>29</v>
      </c>
      <c r="C874">
        <v>45841</v>
      </c>
      <c r="D874">
        <v>45852</v>
      </c>
      <c r="E874">
        <v>2.5</v>
      </c>
      <c r="F874">
        <v>1.5625</v>
      </c>
      <c r="G874">
        <v>7</v>
      </c>
      <c r="H874">
        <v>1.4</v>
      </c>
      <c r="I874">
        <v>0.3125</v>
      </c>
      <c r="J874" t="s">
        <v>52</v>
      </c>
      <c r="K874">
        <v>0</v>
      </c>
      <c r="L874" s="17">
        <f t="shared" ca="1" si="26"/>
        <v>46223</v>
      </c>
      <c r="M874" s="6" t="str">
        <f t="shared" ca="1" si="27"/>
        <v>20/07/yyyy a 26/07/yyyy</v>
      </c>
    </row>
    <row r="875" spans="1:13" x14ac:dyDescent="0.3">
      <c r="A875" t="s">
        <v>15</v>
      </c>
      <c r="B875" t="s">
        <v>29</v>
      </c>
      <c r="C875">
        <v>45841</v>
      </c>
      <c r="D875">
        <v>45852</v>
      </c>
      <c r="E875">
        <v>2.5</v>
      </c>
      <c r="F875">
        <v>1.5625</v>
      </c>
      <c r="G875">
        <v>7</v>
      </c>
      <c r="H875">
        <v>1.4</v>
      </c>
      <c r="I875">
        <v>0.3125</v>
      </c>
      <c r="J875" t="s">
        <v>53</v>
      </c>
      <c r="K875">
        <v>0</v>
      </c>
      <c r="L875" s="17">
        <f t="shared" ca="1" si="26"/>
        <v>46167</v>
      </c>
      <c r="M875" s="6" t="str">
        <f t="shared" ca="1" si="27"/>
        <v>25/05/yyyy a 31/05/yyyy</v>
      </c>
    </row>
    <row r="876" spans="1:13" x14ac:dyDescent="0.3">
      <c r="A876" t="s">
        <v>15</v>
      </c>
      <c r="B876" t="s">
        <v>29</v>
      </c>
      <c r="C876">
        <v>45841</v>
      </c>
      <c r="D876">
        <v>45852</v>
      </c>
      <c r="E876">
        <v>2.5</v>
      </c>
      <c r="F876">
        <v>1.5625</v>
      </c>
      <c r="G876">
        <v>7</v>
      </c>
      <c r="H876">
        <v>1.4</v>
      </c>
      <c r="I876">
        <v>0.3125</v>
      </c>
      <c r="J876" t="s">
        <v>54</v>
      </c>
      <c r="K876">
        <v>0</v>
      </c>
      <c r="L876" s="17">
        <f t="shared" ca="1" si="26"/>
        <v>46167</v>
      </c>
      <c r="M876" s="6" t="str">
        <f t="shared" ca="1" si="27"/>
        <v>25/05/yyyy a 31/05/yyyy</v>
      </c>
    </row>
    <row r="877" spans="1:13" x14ac:dyDescent="0.3">
      <c r="A877" t="s">
        <v>15</v>
      </c>
      <c r="B877" t="s">
        <v>29</v>
      </c>
      <c r="C877">
        <v>45841</v>
      </c>
      <c r="D877">
        <v>45852</v>
      </c>
      <c r="E877">
        <v>2.5</v>
      </c>
      <c r="F877">
        <v>1.5625</v>
      </c>
      <c r="G877">
        <v>7</v>
      </c>
      <c r="H877">
        <v>1.4</v>
      </c>
      <c r="I877">
        <v>0.3125</v>
      </c>
      <c r="J877" t="s">
        <v>55</v>
      </c>
      <c r="K877">
        <v>0</v>
      </c>
      <c r="L877" s="17">
        <f t="shared" ca="1" si="26"/>
        <v>46167</v>
      </c>
      <c r="M877" s="6" t="str">
        <f t="shared" ca="1" si="27"/>
        <v>25/05/yyyy a 31/05/yyyy</v>
      </c>
    </row>
    <row r="878" spans="1:13" x14ac:dyDescent="0.3">
      <c r="A878" t="s">
        <v>15</v>
      </c>
      <c r="B878" t="s">
        <v>22</v>
      </c>
      <c r="C878">
        <v>45841</v>
      </c>
      <c r="D878">
        <v>45849</v>
      </c>
      <c r="E878">
        <v>3</v>
      </c>
      <c r="F878">
        <v>1.7142857142857144</v>
      </c>
      <c r="G878">
        <v>6</v>
      </c>
      <c r="H878">
        <v>1.2</v>
      </c>
      <c r="I878">
        <v>0.42857142857142855</v>
      </c>
      <c r="J878" t="s">
        <v>44</v>
      </c>
      <c r="K878">
        <v>1.1102230246251565E-16</v>
      </c>
      <c r="L878" s="17">
        <f t="shared" ca="1" si="26"/>
        <v>46167</v>
      </c>
      <c r="M878" s="6" t="str">
        <f t="shared" ca="1" si="27"/>
        <v>25/05/yyyy a 31/05/yyyy</v>
      </c>
    </row>
    <row r="879" spans="1:13" x14ac:dyDescent="0.3">
      <c r="A879" t="s">
        <v>15</v>
      </c>
      <c r="B879" t="s">
        <v>22</v>
      </c>
      <c r="C879">
        <v>45841</v>
      </c>
      <c r="D879">
        <v>45849</v>
      </c>
      <c r="E879">
        <v>3</v>
      </c>
      <c r="F879">
        <v>1.7142857142857144</v>
      </c>
      <c r="G879">
        <v>6</v>
      </c>
      <c r="H879">
        <v>1.2</v>
      </c>
      <c r="I879">
        <v>0.42857142857142855</v>
      </c>
      <c r="J879" t="s">
        <v>45</v>
      </c>
      <c r="K879">
        <v>2.1428571428571428</v>
      </c>
      <c r="L879" s="17">
        <f t="shared" ca="1" si="26"/>
        <v>46174</v>
      </c>
      <c r="M879" s="6" t="str">
        <f t="shared" ca="1" si="27"/>
        <v>01/06/yyyy a 07/06/yyyy</v>
      </c>
    </row>
    <row r="880" spans="1:13" x14ac:dyDescent="0.3">
      <c r="A880" t="s">
        <v>15</v>
      </c>
      <c r="B880" t="s">
        <v>22</v>
      </c>
      <c r="C880">
        <v>45841</v>
      </c>
      <c r="D880">
        <v>45849</v>
      </c>
      <c r="E880">
        <v>3</v>
      </c>
      <c r="F880">
        <v>1.7142857142857144</v>
      </c>
      <c r="G880">
        <v>6</v>
      </c>
      <c r="H880">
        <v>1.2</v>
      </c>
      <c r="I880">
        <v>0.42857142857142855</v>
      </c>
      <c r="J880" t="s">
        <v>46</v>
      </c>
      <c r="K880">
        <v>0</v>
      </c>
      <c r="L880" s="17">
        <f t="shared" ca="1" si="26"/>
        <v>46181</v>
      </c>
      <c r="M880" s="6" t="str">
        <f t="shared" ca="1" si="27"/>
        <v>08/06/yyyy a 14/06/yyyy</v>
      </c>
    </row>
    <row r="881" spans="1:13" x14ac:dyDescent="0.3">
      <c r="A881" t="s">
        <v>15</v>
      </c>
      <c r="B881" t="s">
        <v>22</v>
      </c>
      <c r="C881">
        <v>45841</v>
      </c>
      <c r="D881">
        <v>45849</v>
      </c>
      <c r="E881">
        <v>3</v>
      </c>
      <c r="F881">
        <v>1.7142857142857144</v>
      </c>
      <c r="G881">
        <v>6</v>
      </c>
      <c r="H881">
        <v>1.2</v>
      </c>
      <c r="I881">
        <v>0.42857142857142855</v>
      </c>
      <c r="J881" t="s">
        <v>47</v>
      </c>
      <c r="K881">
        <v>0</v>
      </c>
      <c r="L881" s="17">
        <f t="shared" ca="1" si="26"/>
        <v>46188</v>
      </c>
      <c r="M881" s="6" t="str">
        <f t="shared" ca="1" si="27"/>
        <v>15/06/yyyy a 21/06/yyyy</v>
      </c>
    </row>
    <row r="882" spans="1:13" x14ac:dyDescent="0.3">
      <c r="A882" t="s">
        <v>15</v>
      </c>
      <c r="B882" t="s">
        <v>22</v>
      </c>
      <c r="C882">
        <v>45841</v>
      </c>
      <c r="D882">
        <v>45849</v>
      </c>
      <c r="E882">
        <v>3</v>
      </c>
      <c r="F882">
        <v>1.7142857142857144</v>
      </c>
      <c r="G882">
        <v>6</v>
      </c>
      <c r="H882">
        <v>1.2</v>
      </c>
      <c r="I882">
        <v>0.42857142857142855</v>
      </c>
      <c r="J882" t="s">
        <v>48</v>
      </c>
      <c r="K882">
        <v>0</v>
      </c>
      <c r="L882" s="17">
        <f t="shared" ca="1" si="26"/>
        <v>46195</v>
      </c>
      <c r="M882" s="6" t="str">
        <f t="shared" ca="1" si="27"/>
        <v>22/06/yyyy a 28/06/yyyy</v>
      </c>
    </row>
    <row r="883" spans="1:13" x14ac:dyDescent="0.3">
      <c r="A883" t="s">
        <v>15</v>
      </c>
      <c r="B883" t="s">
        <v>22</v>
      </c>
      <c r="C883">
        <v>45841</v>
      </c>
      <c r="D883">
        <v>45849</v>
      </c>
      <c r="E883">
        <v>3</v>
      </c>
      <c r="F883">
        <v>1.7142857142857144</v>
      </c>
      <c r="G883">
        <v>6</v>
      </c>
      <c r="H883">
        <v>1.2</v>
      </c>
      <c r="I883">
        <v>0.42857142857142855</v>
      </c>
      <c r="J883" t="s">
        <v>49</v>
      </c>
      <c r="K883">
        <v>0</v>
      </c>
      <c r="L883" s="17">
        <f t="shared" ca="1" si="26"/>
        <v>46202</v>
      </c>
      <c r="M883" s="6" t="str">
        <f t="shared" ca="1" si="27"/>
        <v>29/06/yyyy a 05/07/yyyy</v>
      </c>
    </row>
    <row r="884" spans="1:13" x14ac:dyDescent="0.3">
      <c r="A884" t="s">
        <v>15</v>
      </c>
      <c r="B884" t="s">
        <v>22</v>
      </c>
      <c r="C884">
        <v>45841</v>
      </c>
      <c r="D884">
        <v>45849</v>
      </c>
      <c r="E884">
        <v>3</v>
      </c>
      <c r="F884">
        <v>1.7142857142857144</v>
      </c>
      <c r="G884">
        <v>6</v>
      </c>
      <c r="H884">
        <v>1.2</v>
      </c>
      <c r="I884">
        <v>0.42857142857142855</v>
      </c>
      <c r="J884" t="s">
        <v>50</v>
      </c>
      <c r="K884">
        <v>0</v>
      </c>
      <c r="L884" s="17">
        <f t="shared" ca="1" si="26"/>
        <v>46209</v>
      </c>
      <c r="M884" s="6" t="str">
        <f t="shared" ca="1" si="27"/>
        <v>06/07/yyyy a 12/07/yyyy</v>
      </c>
    </row>
    <row r="885" spans="1:13" x14ac:dyDescent="0.3">
      <c r="A885" t="s">
        <v>15</v>
      </c>
      <c r="B885" t="s">
        <v>22</v>
      </c>
      <c r="C885">
        <v>45841</v>
      </c>
      <c r="D885">
        <v>45849</v>
      </c>
      <c r="E885">
        <v>3</v>
      </c>
      <c r="F885">
        <v>1.7142857142857144</v>
      </c>
      <c r="G885">
        <v>6</v>
      </c>
      <c r="H885">
        <v>1.2</v>
      </c>
      <c r="I885">
        <v>0.42857142857142855</v>
      </c>
      <c r="J885" t="s">
        <v>51</v>
      </c>
      <c r="K885">
        <v>0</v>
      </c>
      <c r="L885" s="17">
        <f t="shared" ca="1" si="26"/>
        <v>46216</v>
      </c>
      <c r="M885" s="6" t="str">
        <f t="shared" ca="1" si="27"/>
        <v>13/07/yyyy a 19/07/yyyy</v>
      </c>
    </row>
    <row r="886" spans="1:13" x14ac:dyDescent="0.3">
      <c r="A886" t="s">
        <v>15</v>
      </c>
      <c r="B886" t="s">
        <v>22</v>
      </c>
      <c r="C886">
        <v>45841</v>
      </c>
      <c r="D886">
        <v>45849</v>
      </c>
      <c r="E886">
        <v>3</v>
      </c>
      <c r="F886">
        <v>1.7142857142857144</v>
      </c>
      <c r="G886">
        <v>6</v>
      </c>
      <c r="H886">
        <v>1.2</v>
      </c>
      <c r="I886">
        <v>0.42857142857142855</v>
      </c>
      <c r="J886" t="s">
        <v>52</v>
      </c>
      <c r="K886">
        <v>0</v>
      </c>
      <c r="L886" s="17">
        <f t="shared" ca="1" si="26"/>
        <v>46223</v>
      </c>
      <c r="M886" s="6" t="str">
        <f t="shared" ca="1" si="27"/>
        <v>20/07/yyyy a 26/07/yyyy</v>
      </c>
    </row>
    <row r="887" spans="1:13" x14ac:dyDescent="0.3">
      <c r="A887" t="s">
        <v>15</v>
      </c>
      <c r="B887" t="s">
        <v>22</v>
      </c>
      <c r="C887">
        <v>45841</v>
      </c>
      <c r="D887">
        <v>45849</v>
      </c>
      <c r="E887">
        <v>3</v>
      </c>
      <c r="F887">
        <v>1.7142857142857144</v>
      </c>
      <c r="G887">
        <v>6</v>
      </c>
      <c r="H887">
        <v>1.2</v>
      </c>
      <c r="I887">
        <v>0.42857142857142855</v>
      </c>
      <c r="J887" t="s">
        <v>53</v>
      </c>
      <c r="K887">
        <v>0</v>
      </c>
      <c r="L887" s="17">
        <f t="shared" ca="1" si="26"/>
        <v>46167</v>
      </c>
      <c r="M887" s="6" t="str">
        <f t="shared" ca="1" si="27"/>
        <v>25/05/yyyy a 31/05/yyyy</v>
      </c>
    </row>
    <row r="888" spans="1:13" x14ac:dyDescent="0.3">
      <c r="A888" t="s">
        <v>15</v>
      </c>
      <c r="B888" t="s">
        <v>22</v>
      </c>
      <c r="C888">
        <v>45841</v>
      </c>
      <c r="D888">
        <v>45849</v>
      </c>
      <c r="E888">
        <v>3</v>
      </c>
      <c r="F888">
        <v>1.7142857142857144</v>
      </c>
      <c r="G888">
        <v>6</v>
      </c>
      <c r="H888">
        <v>1.2</v>
      </c>
      <c r="I888">
        <v>0.42857142857142855</v>
      </c>
      <c r="J888" t="s">
        <v>54</v>
      </c>
      <c r="K888">
        <v>0</v>
      </c>
      <c r="L888" s="17">
        <f t="shared" ca="1" si="26"/>
        <v>46167</v>
      </c>
      <c r="M888" s="6" t="str">
        <f t="shared" ca="1" si="27"/>
        <v>25/05/yyyy a 31/05/yyyy</v>
      </c>
    </row>
    <row r="889" spans="1:13" x14ac:dyDescent="0.3">
      <c r="A889" t="s">
        <v>15</v>
      </c>
      <c r="B889" t="s">
        <v>22</v>
      </c>
      <c r="C889">
        <v>45841</v>
      </c>
      <c r="D889">
        <v>45849</v>
      </c>
      <c r="E889">
        <v>3</v>
      </c>
      <c r="F889">
        <v>1.7142857142857144</v>
      </c>
      <c r="G889">
        <v>6</v>
      </c>
      <c r="H889">
        <v>1.2</v>
      </c>
      <c r="I889">
        <v>0.42857142857142855</v>
      </c>
      <c r="J889" t="s">
        <v>55</v>
      </c>
      <c r="K889">
        <v>0</v>
      </c>
      <c r="L889" s="17">
        <f t="shared" ca="1" si="26"/>
        <v>46167</v>
      </c>
      <c r="M889" s="6" t="str">
        <f t="shared" ca="1" si="27"/>
        <v>25/05/yyyy a 31/05/yyyy</v>
      </c>
    </row>
    <row r="890" spans="1:13" x14ac:dyDescent="0.3">
      <c r="A890" t="s">
        <v>15</v>
      </c>
      <c r="B890" t="s">
        <v>16</v>
      </c>
      <c r="C890">
        <v>45855</v>
      </c>
      <c r="D890">
        <v>45862</v>
      </c>
      <c r="E890">
        <v>2.5</v>
      </c>
      <c r="F890">
        <v>2.5</v>
      </c>
      <c r="G890">
        <v>15</v>
      </c>
      <c r="H890">
        <v>3</v>
      </c>
      <c r="I890">
        <v>0.41666666666666669</v>
      </c>
      <c r="J890" t="s">
        <v>44</v>
      </c>
      <c r="K890">
        <v>0</v>
      </c>
      <c r="L890" s="17">
        <f t="shared" ca="1" si="26"/>
        <v>46167</v>
      </c>
      <c r="M890" s="6" t="str">
        <f t="shared" ca="1" si="27"/>
        <v>25/05/yyyy a 31/05/yyyy</v>
      </c>
    </row>
    <row r="891" spans="1:13" x14ac:dyDescent="0.3">
      <c r="A891" t="s">
        <v>15</v>
      </c>
      <c r="B891" t="s">
        <v>16</v>
      </c>
      <c r="C891">
        <v>45855</v>
      </c>
      <c r="D891">
        <v>45862</v>
      </c>
      <c r="E891">
        <v>2.5</v>
      </c>
      <c r="F891">
        <v>2.5</v>
      </c>
      <c r="G891">
        <v>15</v>
      </c>
      <c r="H891">
        <v>3</v>
      </c>
      <c r="I891">
        <v>0.41666666666666669</v>
      </c>
      <c r="J891" t="s">
        <v>45</v>
      </c>
      <c r="K891">
        <v>0</v>
      </c>
      <c r="L891" s="17">
        <f t="shared" ca="1" si="26"/>
        <v>46174</v>
      </c>
      <c r="M891" s="6" t="str">
        <f t="shared" ca="1" si="27"/>
        <v>01/06/yyyy a 07/06/yyyy</v>
      </c>
    </row>
    <row r="892" spans="1:13" x14ac:dyDescent="0.3">
      <c r="A892" t="s">
        <v>15</v>
      </c>
      <c r="B892" t="s">
        <v>16</v>
      </c>
      <c r="C892">
        <v>45855</v>
      </c>
      <c r="D892">
        <v>45862</v>
      </c>
      <c r="E892">
        <v>2.5</v>
      </c>
      <c r="F892">
        <v>2.5</v>
      </c>
      <c r="G892">
        <v>15</v>
      </c>
      <c r="H892">
        <v>3</v>
      </c>
      <c r="I892">
        <v>0.41666666666666669</v>
      </c>
      <c r="J892" t="s">
        <v>46</v>
      </c>
      <c r="K892">
        <v>0.83333333333333348</v>
      </c>
      <c r="L892" s="17">
        <f t="shared" ca="1" si="26"/>
        <v>46181</v>
      </c>
      <c r="M892" s="6" t="str">
        <f t="shared" ca="1" si="27"/>
        <v>08/06/yyyy a 14/06/yyyy</v>
      </c>
    </row>
    <row r="893" spans="1:13" x14ac:dyDescent="0.3">
      <c r="A893" t="s">
        <v>15</v>
      </c>
      <c r="B893" t="s">
        <v>16</v>
      </c>
      <c r="C893">
        <v>45855</v>
      </c>
      <c r="D893">
        <v>45862</v>
      </c>
      <c r="E893">
        <v>2.5</v>
      </c>
      <c r="F893">
        <v>2.5</v>
      </c>
      <c r="G893">
        <v>15</v>
      </c>
      <c r="H893">
        <v>3</v>
      </c>
      <c r="I893">
        <v>0.41666666666666669</v>
      </c>
      <c r="J893" t="s">
        <v>47</v>
      </c>
      <c r="K893">
        <v>1.6666666666666667</v>
      </c>
      <c r="L893" s="17">
        <f t="shared" ca="1" si="26"/>
        <v>46188</v>
      </c>
      <c r="M893" s="6" t="str">
        <f t="shared" ca="1" si="27"/>
        <v>15/06/yyyy a 21/06/yyyy</v>
      </c>
    </row>
    <row r="894" spans="1:13" x14ac:dyDescent="0.3">
      <c r="A894" t="s">
        <v>15</v>
      </c>
      <c r="B894" t="s">
        <v>16</v>
      </c>
      <c r="C894">
        <v>45855</v>
      </c>
      <c r="D894">
        <v>45862</v>
      </c>
      <c r="E894">
        <v>2.5</v>
      </c>
      <c r="F894">
        <v>2.5</v>
      </c>
      <c r="G894">
        <v>15</v>
      </c>
      <c r="H894">
        <v>3</v>
      </c>
      <c r="I894">
        <v>0.41666666666666669</v>
      </c>
      <c r="J894" t="s">
        <v>48</v>
      </c>
      <c r="K894">
        <v>0</v>
      </c>
      <c r="L894" s="17">
        <f t="shared" ca="1" si="26"/>
        <v>46195</v>
      </c>
      <c r="M894" s="6" t="str">
        <f t="shared" ca="1" si="27"/>
        <v>22/06/yyyy a 28/06/yyyy</v>
      </c>
    </row>
    <row r="895" spans="1:13" x14ac:dyDescent="0.3">
      <c r="A895" t="s">
        <v>15</v>
      </c>
      <c r="B895" t="s">
        <v>16</v>
      </c>
      <c r="C895">
        <v>45855</v>
      </c>
      <c r="D895">
        <v>45862</v>
      </c>
      <c r="E895">
        <v>2.5</v>
      </c>
      <c r="F895">
        <v>2.5</v>
      </c>
      <c r="G895">
        <v>15</v>
      </c>
      <c r="H895">
        <v>3</v>
      </c>
      <c r="I895">
        <v>0.41666666666666669</v>
      </c>
      <c r="J895" t="s">
        <v>49</v>
      </c>
      <c r="K895">
        <v>0</v>
      </c>
      <c r="L895" s="17">
        <f t="shared" ca="1" si="26"/>
        <v>46202</v>
      </c>
      <c r="M895" s="6" t="str">
        <f t="shared" ca="1" si="27"/>
        <v>29/06/yyyy a 05/07/yyyy</v>
      </c>
    </row>
    <row r="896" spans="1:13" x14ac:dyDescent="0.3">
      <c r="A896" t="s">
        <v>15</v>
      </c>
      <c r="B896" t="s">
        <v>16</v>
      </c>
      <c r="C896">
        <v>45855</v>
      </c>
      <c r="D896">
        <v>45862</v>
      </c>
      <c r="E896">
        <v>2.5</v>
      </c>
      <c r="F896">
        <v>2.5</v>
      </c>
      <c r="G896">
        <v>15</v>
      </c>
      <c r="H896">
        <v>3</v>
      </c>
      <c r="I896">
        <v>0.41666666666666669</v>
      </c>
      <c r="J896" t="s">
        <v>50</v>
      </c>
      <c r="K896">
        <v>0</v>
      </c>
      <c r="L896" s="17">
        <f t="shared" ca="1" si="26"/>
        <v>46209</v>
      </c>
      <c r="M896" s="6" t="str">
        <f t="shared" ca="1" si="27"/>
        <v>06/07/yyyy a 12/07/yyyy</v>
      </c>
    </row>
    <row r="897" spans="1:13" x14ac:dyDescent="0.3">
      <c r="A897" t="s">
        <v>15</v>
      </c>
      <c r="B897" t="s">
        <v>16</v>
      </c>
      <c r="C897">
        <v>45855</v>
      </c>
      <c r="D897">
        <v>45862</v>
      </c>
      <c r="E897">
        <v>2.5</v>
      </c>
      <c r="F897">
        <v>2.5</v>
      </c>
      <c r="G897">
        <v>15</v>
      </c>
      <c r="H897">
        <v>3</v>
      </c>
      <c r="I897">
        <v>0.41666666666666669</v>
      </c>
      <c r="J897" t="s">
        <v>51</v>
      </c>
      <c r="K897">
        <v>0</v>
      </c>
      <c r="L897" s="17">
        <f t="shared" ca="1" si="26"/>
        <v>46216</v>
      </c>
      <c r="M897" s="6" t="str">
        <f t="shared" ca="1" si="27"/>
        <v>13/07/yyyy a 19/07/yyyy</v>
      </c>
    </row>
    <row r="898" spans="1:13" x14ac:dyDescent="0.3">
      <c r="A898" t="s">
        <v>15</v>
      </c>
      <c r="B898" t="s">
        <v>16</v>
      </c>
      <c r="C898">
        <v>45855</v>
      </c>
      <c r="D898">
        <v>45862</v>
      </c>
      <c r="E898">
        <v>2.5</v>
      </c>
      <c r="F898">
        <v>2.5</v>
      </c>
      <c r="G898">
        <v>15</v>
      </c>
      <c r="H898">
        <v>3</v>
      </c>
      <c r="I898">
        <v>0.41666666666666669</v>
      </c>
      <c r="J898" t="s">
        <v>52</v>
      </c>
      <c r="K898">
        <v>0</v>
      </c>
      <c r="L898" s="17">
        <f t="shared" ref="L898:L961" ca="1" si="28">IFERROR(VLOOKUP(J898,$O$2:$P$13,2),"")</f>
        <v>46223</v>
      </c>
      <c r="M898" s="6" t="str">
        <f t="shared" ref="M898:M961" ca="1" si="29">IFERROR(TEXT(L898,"dd/mm/yyyy")&amp; " a " &amp; (TEXT(L898+6,"dd/mm/yyyy")),"")</f>
        <v>20/07/yyyy a 26/07/yyyy</v>
      </c>
    </row>
    <row r="899" spans="1:13" x14ac:dyDescent="0.3">
      <c r="A899" t="s">
        <v>15</v>
      </c>
      <c r="B899" t="s">
        <v>16</v>
      </c>
      <c r="C899">
        <v>45855</v>
      </c>
      <c r="D899">
        <v>45862</v>
      </c>
      <c r="E899">
        <v>2.5</v>
      </c>
      <c r="F899">
        <v>2.5</v>
      </c>
      <c r="G899">
        <v>15</v>
      </c>
      <c r="H899">
        <v>3</v>
      </c>
      <c r="I899">
        <v>0.41666666666666669</v>
      </c>
      <c r="J899" t="s">
        <v>53</v>
      </c>
      <c r="K899">
        <v>0</v>
      </c>
      <c r="L899" s="17">
        <f t="shared" ca="1" si="28"/>
        <v>46167</v>
      </c>
      <c r="M899" s="6" t="str">
        <f t="shared" ca="1" si="29"/>
        <v>25/05/yyyy a 31/05/yyyy</v>
      </c>
    </row>
    <row r="900" spans="1:13" x14ac:dyDescent="0.3">
      <c r="A900" t="s">
        <v>15</v>
      </c>
      <c r="B900" t="s">
        <v>16</v>
      </c>
      <c r="C900">
        <v>45855</v>
      </c>
      <c r="D900">
        <v>45862</v>
      </c>
      <c r="E900">
        <v>2.5</v>
      </c>
      <c r="F900">
        <v>2.5</v>
      </c>
      <c r="G900">
        <v>15</v>
      </c>
      <c r="H900">
        <v>3</v>
      </c>
      <c r="I900">
        <v>0.41666666666666669</v>
      </c>
      <c r="J900" t="s">
        <v>54</v>
      </c>
      <c r="K900">
        <v>0</v>
      </c>
      <c r="L900" s="17">
        <f t="shared" ca="1" si="28"/>
        <v>46167</v>
      </c>
      <c r="M900" s="6" t="str">
        <f t="shared" ca="1" si="29"/>
        <v>25/05/yyyy a 31/05/yyyy</v>
      </c>
    </row>
    <row r="901" spans="1:13" x14ac:dyDescent="0.3">
      <c r="A901" t="s">
        <v>15</v>
      </c>
      <c r="B901" t="s">
        <v>16</v>
      </c>
      <c r="C901">
        <v>45855</v>
      </c>
      <c r="D901">
        <v>45862</v>
      </c>
      <c r="E901">
        <v>2.5</v>
      </c>
      <c r="F901">
        <v>2.5</v>
      </c>
      <c r="G901">
        <v>15</v>
      </c>
      <c r="H901">
        <v>3</v>
      </c>
      <c r="I901">
        <v>0.41666666666666669</v>
      </c>
      <c r="J901" t="s">
        <v>55</v>
      </c>
      <c r="K901">
        <v>0</v>
      </c>
      <c r="L901" s="17">
        <f t="shared" ca="1" si="28"/>
        <v>46167</v>
      </c>
      <c r="M901" s="6" t="str">
        <f t="shared" ca="1" si="29"/>
        <v>25/05/yyyy a 31/05/yyyy</v>
      </c>
    </row>
    <row r="902" spans="1:13" x14ac:dyDescent="0.3">
      <c r="A902" t="s">
        <v>15</v>
      </c>
      <c r="B902" t="s">
        <v>29</v>
      </c>
      <c r="C902">
        <v>45855</v>
      </c>
      <c r="D902">
        <v>45866</v>
      </c>
      <c r="E902">
        <v>2.5</v>
      </c>
      <c r="F902">
        <v>2.5</v>
      </c>
      <c r="G902">
        <v>17</v>
      </c>
      <c r="H902">
        <v>3.4</v>
      </c>
      <c r="I902">
        <v>0.3125</v>
      </c>
      <c r="J902" t="s">
        <v>44</v>
      </c>
      <c r="K902">
        <v>0</v>
      </c>
      <c r="L902" s="17">
        <f t="shared" ca="1" si="28"/>
        <v>46167</v>
      </c>
      <c r="M902" s="6" t="str">
        <f t="shared" ca="1" si="29"/>
        <v>25/05/yyyy a 31/05/yyyy</v>
      </c>
    </row>
    <row r="903" spans="1:13" x14ac:dyDescent="0.3">
      <c r="A903" t="s">
        <v>15</v>
      </c>
      <c r="B903" t="s">
        <v>29</v>
      </c>
      <c r="C903">
        <v>45855</v>
      </c>
      <c r="D903">
        <v>45866</v>
      </c>
      <c r="E903">
        <v>2.5</v>
      </c>
      <c r="F903">
        <v>2.5</v>
      </c>
      <c r="G903">
        <v>17</v>
      </c>
      <c r="H903">
        <v>3.4</v>
      </c>
      <c r="I903">
        <v>0.3125</v>
      </c>
      <c r="J903" t="s">
        <v>45</v>
      </c>
      <c r="K903">
        <v>0</v>
      </c>
      <c r="L903" s="17">
        <f t="shared" ca="1" si="28"/>
        <v>46174</v>
      </c>
      <c r="M903" s="6" t="str">
        <f t="shared" ca="1" si="29"/>
        <v>01/06/yyyy a 07/06/yyyy</v>
      </c>
    </row>
    <row r="904" spans="1:13" x14ac:dyDescent="0.3">
      <c r="A904" t="s">
        <v>15</v>
      </c>
      <c r="B904" t="s">
        <v>29</v>
      </c>
      <c r="C904">
        <v>45855</v>
      </c>
      <c r="D904">
        <v>45866</v>
      </c>
      <c r="E904">
        <v>2.5</v>
      </c>
      <c r="F904">
        <v>2.5</v>
      </c>
      <c r="G904">
        <v>17</v>
      </c>
      <c r="H904">
        <v>3.4</v>
      </c>
      <c r="I904">
        <v>0.3125</v>
      </c>
      <c r="J904" t="s">
        <v>46</v>
      </c>
      <c r="K904">
        <v>0.625</v>
      </c>
      <c r="L904" s="17">
        <f t="shared" ca="1" si="28"/>
        <v>46181</v>
      </c>
      <c r="M904" s="6" t="str">
        <f t="shared" ca="1" si="29"/>
        <v>08/06/yyyy a 14/06/yyyy</v>
      </c>
    </row>
    <row r="905" spans="1:13" x14ac:dyDescent="0.3">
      <c r="A905" t="s">
        <v>15</v>
      </c>
      <c r="B905" t="s">
        <v>29</v>
      </c>
      <c r="C905">
        <v>45855</v>
      </c>
      <c r="D905">
        <v>45866</v>
      </c>
      <c r="E905">
        <v>2.5</v>
      </c>
      <c r="F905">
        <v>2.5</v>
      </c>
      <c r="G905">
        <v>17</v>
      </c>
      <c r="H905">
        <v>3.4</v>
      </c>
      <c r="I905">
        <v>0.3125</v>
      </c>
      <c r="J905" t="s">
        <v>47</v>
      </c>
      <c r="K905">
        <v>1.5625</v>
      </c>
      <c r="L905" s="17">
        <f t="shared" ca="1" si="28"/>
        <v>46188</v>
      </c>
      <c r="M905" s="6" t="str">
        <f t="shared" ca="1" si="29"/>
        <v>15/06/yyyy a 21/06/yyyy</v>
      </c>
    </row>
    <row r="906" spans="1:13" x14ac:dyDescent="0.3">
      <c r="A906" t="s">
        <v>15</v>
      </c>
      <c r="B906" t="s">
        <v>29</v>
      </c>
      <c r="C906">
        <v>45855</v>
      </c>
      <c r="D906">
        <v>45866</v>
      </c>
      <c r="E906">
        <v>2.5</v>
      </c>
      <c r="F906">
        <v>2.5</v>
      </c>
      <c r="G906">
        <v>17</v>
      </c>
      <c r="H906">
        <v>3.4</v>
      </c>
      <c r="I906">
        <v>0.3125</v>
      </c>
      <c r="J906" t="s">
        <v>48</v>
      </c>
      <c r="K906">
        <v>0.3125</v>
      </c>
      <c r="L906" s="17">
        <f t="shared" ca="1" si="28"/>
        <v>46195</v>
      </c>
      <c r="M906" s="6" t="str">
        <f t="shared" ca="1" si="29"/>
        <v>22/06/yyyy a 28/06/yyyy</v>
      </c>
    </row>
    <row r="907" spans="1:13" x14ac:dyDescent="0.3">
      <c r="A907" t="s">
        <v>15</v>
      </c>
      <c r="B907" t="s">
        <v>29</v>
      </c>
      <c r="C907">
        <v>45855</v>
      </c>
      <c r="D907">
        <v>45866</v>
      </c>
      <c r="E907">
        <v>2.5</v>
      </c>
      <c r="F907">
        <v>2.5</v>
      </c>
      <c r="G907">
        <v>17</v>
      </c>
      <c r="H907">
        <v>3.4</v>
      </c>
      <c r="I907">
        <v>0.3125</v>
      </c>
      <c r="J907" t="s">
        <v>49</v>
      </c>
      <c r="K907">
        <v>0</v>
      </c>
      <c r="L907" s="17">
        <f t="shared" ca="1" si="28"/>
        <v>46202</v>
      </c>
      <c r="M907" s="6" t="str">
        <f t="shared" ca="1" si="29"/>
        <v>29/06/yyyy a 05/07/yyyy</v>
      </c>
    </row>
    <row r="908" spans="1:13" x14ac:dyDescent="0.3">
      <c r="A908" t="s">
        <v>15</v>
      </c>
      <c r="B908" t="s">
        <v>29</v>
      </c>
      <c r="C908">
        <v>45855</v>
      </c>
      <c r="D908">
        <v>45866</v>
      </c>
      <c r="E908">
        <v>2.5</v>
      </c>
      <c r="F908">
        <v>2.5</v>
      </c>
      <c r="G908">
        <v>17</v>
      </c>
      <c r="H908">
        <v>3.4</v>
      </c>
      <c r="I908">
        <v>0.3125</v>
      </c>
      <c r="J908" t="s">
        <v>50</v>
      </c>
      <c r="K908">
        <v>0</v>
      </c>
      <c r="L908" s="17">
        <f t="shared" ca="1" si="28"/>
        <v>46209</v>
      </c>
      <c r="M908" s="6" t="str">
        <f t="shared" ca="1" si="29"/>
        <v>06/07/yyyy a 12/07/yyyy</v>
      </c>
    </row>
    <row r="909" spans="1:13" x14ac:dyDescent="0.3">
      <c r="A909" t="s">
        <v>15</v>
      </c>
      <c r="B909" t="s">
        <v>29</v>
      </c>
      <c r="C909">
        <v>45855</v>
      </c>
      <c r="D909">
        <v>45866</v>
      </c>
      <c r="E909">
        <v>2.5</v>
      </c>
      <c r="F909">
        <v>2.5</v>
      </c>
      <c r="G909">
        <v>17</v>
      </c>
      <c r="H909">
        <v>3.4</v>
      </c>
      <c r="I909">
        <v>0.3125</v>
      </c>
      <c r="J909" t="s">
        <v>51</v>
      </c>
      <c r="K909">
        <v>0</v>
      </c>
      <c r="L909" s="17">
        <f t="shared" ca="1" si="28"/>
        <v>46216</v>
      </c>
      <c r="M909" s="6" t="str">
        <f t="shared" ca="1" si="29"/>
        <v>13/07/yyyy a 19/07/yyyy</v>
      </c>
    </row>
    <row r="910" spans="1:13" x14ac:dyDescent="0.3">
      <c r="A910" t="s">
        <v>15</v>
      </c>
      <c r="B910" t="s">
        <v>29</v>
      </c>
      <c r="C910">
        <v>45855</v>
      </c>
      <c r="D910">
        <v>45866</v>
      </c>
      <c r="E910">
        <v>2.5</v>
      </c>
      <c r="F910">
        <v>2.5</v>
      </c>
      <c r="G910">
        <v>17</v>
      </c>
      <c r="H910">
        <v>3.4</v>
      </c>
      <c r="I910">
        <v>0.3125</v>
      </c>
      <c r="J910" t="s">
        <v>52</v>
      </c>
      <c r="K910">
        <v>0</v>
      </c>
      <c r="L910" s="17">
        <f t="shared" ca="1" si="28"/>
        <v>46223</v>
      </c>
      <c r="M910" s="6" t="str">
        <f t="shared" ca="1" si="29"/>
        <v>20/07/yyyy a 26/07/yyyy</v>
      </c>
    </row>
    <row r="911" spans="1:13" x14ac:dyDescent="0.3">
      <c r="A911" t="s">
        <v>15</v>
      </c>
      <c r="B911" t="s">
        <v>29</v>
      </c>
      <c r="C911">
        <v>45855</v>
      </c>
      <c r="D911">
        <v>45866</v>
      </c>
      <c r="E911">
        <v>2.5</v>
      </c>
      <c r="F911">
        <v>2.5</v>
      </c>
      <c r="G911">
        <v>17</v>
      </c>
      <c r="H911">
        <v>3.4</v>
      </c>
      <c r="I911">
        <v>0.3125</v>
      </c>
      <c r="J911" t="s">
        <v>53</v>
      </c>
      <c r="K911">
        <v>0</v>
      </c>
      <c r="L911" s="17">
        <f t="shared" ca="1" si="28"/>
        <v>46167</v>
      </c>
      <c r="M911" s="6" t="str">
        <f t="shared" ca="1" si="29"/>
        <v>25/05/yyyy a 31/05/yyyy</v>
      </c>
    </row>
    <row r="912" spans="1:13" x14ac:dyDescent="0.3">
      <c r="A912" t="s">
        <v>15</v>
      </c>
      <c r="B912" t="s">
        <v>29</v>
      </c>
      <c r="C912">
        <v>45855</v>
      </c>
      <c r="D912">
        <v>45866</v>
      </c>
      <c r="E912">
        <v>2.5</v>
      </c>
      <c r="F912">
        <v>2.5</v>
      </c>
      <c r="G912">
        <v>17</v>
      </c>
      <c r="H912">
        <v>3.4</v>
      </c>
      <c r="I912">
        <v>0.3125</v>
      </c>
      <c r="J912" t="s">
        <v>54</v>
      </c>
      <c r="K912">
        <v>0</v>
      </c>
      <c r="L912" s="17">
        <f t="shared" ca="1" si="28"/>
        <v>46167</v>
      </c>
      <c r="M912" s="6" t="str">
        <f t="shared" ca="1" si="29"/>
        <v>25/05/yyyy a 31/05/yyyy</v>
      </c>
    </row>
    <row r="913" spans="1:13" x14ac:dyDescent="0.3">
      <c r="A913" t="s">
        <v>15</v>
      </c>
      <c r="B913" t="s">
        <v>29</v>
      </c>
      <c r="C913">
        <v>45855</v>
      </c>
      <c r="D913">
        <v>45866</v>
      </c>
      <c r="E913">
        <v>2.5</v>
      </c>
      <c r="F913">
        <v>2.5</v>
      </c>
      <c r="G913">
        <v>17</v>
      </c>
      <c r="H913">
        <v>3.4</v>
      </c>
      <c r="I913">
        <v>0.3125</v>
      </c>
      <c r="J913" t="s">
        <v>55</v>
      </c>
      <c r="K913">
        <v>0</v>
      </c>
      <c r="L913" s="17">
        <f t="shared" ca="1" si="28"/>
        <v>46167</v>
      </c>
      <c r="M913" s="6" t="str">
        <f t="shared" ca="1" si="29"/>
        <v>25/05/yyyy a 31/05/yyyy</v>
      </c>
    </row>
    <row r="914" spans="1:13" x14ac:dyDescent="0.3">
      <c r="A914" t="s">
        <v>15</v>
      </c>
      <c r="B914" t="s">
        <v>18</v>
      </c>
      <c r="C914">
        <v>45848</v>
      </c>
      <c r="D914">
        <v>45855</v>
      </c>
      <c r="E914">
        <v>3</v>
      </c>
      <c r="F914">
        <v>3</v>
      </c>
      <c r="G914">
        <v>10</v>
      </c>
      <c r="H914">
        <v>2</v>
      </c>
      <c r="I914">
        <v>0.5</v>
      </c>
      <c r="J914" t="s">
        <v>44</v>
      </c>
      <c r="K914">
        <v>0</v>
      </c>
      <c r="L914" s="17">
        <f t="shared" ca="1" si="28"/>
        <v>46167</v>
      </c>
      <c r="M914" s="6" t="str">
        <f t="shared" ca="1" si="29"/>
        <v>25/05/yyyy a 31/05/yyyy</v>
      </c>
    </row>
    <row r="915" spans="1:13" x14ac:dyDescent="0.3">
      <c r="A915" t="s">
        <v>15</v>
      </c>
      <c r="B915" t="s">
        <v>18</v>
      </c>
      <c r="C915">
        <v>45848</v>
      </c>
      <c r="D915">
        <v>45855</v>
      </c>
      <c r="E915">
        <v>3</v>
      </c>
      <c r="F915">
        <v>3</v>
      </c>
      <c r="G915">
        <v>10</v>
      </c>
      <c r="H915">
        <v>2</v>
      </c>
      <c r="I915">
        <v>0.5</v>
      </c>
      <c r="J915" t="s">
        <v>45</v>
      </c>
      <c r="K915">
        <v>1</v>
      </c>
      <c r="L915" s="17">
        <f t="shared" ca="1" si="28"/>
        <v>46174</v>
      </c>
      <c r="M915" s="6" t="str">
        <f t="shared" ca="1" si="29"/>
        <v>01/06/yyyy a 07/06/yyyy</v>
      </c>
    </row>
    <row r="916" spans="1:13" x14ac:dyDescent="0.3">
      <c r="A916" t="s">
        <v>15</v>
      </c>
      <c r="B916" t="s">
        <v>18</v>
      </c>
      <c r="C916">
        <v>45848</v>
      </c>
      <c r="D916">
        <v>45855</v>
      </c>
      <c r="E916">
        <v>3</v>
      </c>
      <c r="F916">
        <v>3</v>
      </c>
      <c r="G916">
        <v>10</v>
      </c>
      <c r="H916">
        <v>2</v>
      </c>
      <c r="I916">
        <v>0.5</v>
      </c>
      <c r="J916" t="s">
        <v>46</v>
      </c>
      <c r="K916">
        <v>2</v>
      </c>
      <c r="L916" s="17">
        <f t="shared" ca="1" si="28"/>
        <v>46181</v>
      </c>
      <c r="M916" s="6" t="str">
        <f t="shared" ca="1" si="29"/>
        <v>08/06/yyyy a 14/06/yyyy</v>
      </c>
    </row>
    <row r="917" spans="1:13" x14ac:dyDescent="0.3">
      <c r="A917" t="s">
        <v>15</v>
      </c>
      <c r="B917" t="s">
        <v>18</v>
      </c>
      <c r="C917">
        <v>45848</v>
      </c>
      <c r="D917">
        <v>45855</v>
      </c>
      <c r="E917">
        <v>3</v>
      </c>
      <c r="F917">
        <v>3</v>
      </c>
      <c r="G917">
        <v>10</v>
      </c>
      <c r="H917">
        <v>2</v>
      </c>
      <c r="I917">
        <v>0.5</v>
      </c>
      <c r="J917" t="s">
        <v>47</v>
      </c>
      <c r="K917">
        <v>0</v>
      </c>
      <c r="L917" s="17">
        <f t="shared" ca="1" si="28"/>
        <v>46188</v>
      </c>
      <c r="M917" s="6" t="str">
        <f t="shared" ca="1" si="29"/>
        <v>15/06/yyyy a 21/06/yyyy</v>
      </c>
    </row>
    <row r="918" spans="1:13" x14ac:dyDescent="0.3">
      <c r="A918" t="s">
        <v>15</v>
      </c>
      <c r="B918" t="s">
        <v>18</v>
      </c>
      <c r="C918">
        <v>45848</v>
      </c>
      <c r="D918">
        <v>45855</v>
      </c>
      <c r="E918">
        <v>3</v>
      </c>
      <c r="F918">
        <v>3</v>
      </c>
      <c r="G918">
        <v>10</v>
      </c>
      <c r="H918">
        <v>2</v>
      </c>
      <c r="I918">
        <v>0.5</v>
      </c>
      <c r="J918" t="s">
        <v>48</v>
      </c>
      <c r="K918">
        <v>0</v>
      </c>
      <c r="L918" s="17">
        <f t="shared" ca="1" si="28"/>
        <v>46195</v>
      </c>
      <c r="M918" s="6" t="str">
        <f t="shared" ca="1" si="29"/>
        <v>22/06/yyyy a 28/06/yyyy</v>
      </c>
    </row>
    <row r="919" spans="1:13" x14ac:dyDescent="0.3">
      <c r="A919" t="s">
        <v>15</v>
      </c>
      <c r="B919" t="s">
        <v>18</v>
      </c>
      <c r="C919">
        <v>45848</v>
      </c>
      <c r="D919">
        <v>45855</v>
      </c>
      <c r="E919">
        <v>3</v>
      </c>
      <c r="F919">
        <v>3</v>
      </c>
      <c r="G919">
        <v>10</v>
      </c>
      <c r="H919">
        <v>2</v>
      </c>
      <c r="I919">
        <v>0.5</v>
      </c>
      <c r="J919" t="s">
        <v>49</v>
      </c>
      <c r="K919">
        <v>0</v>
      </c>
      <c r="L919" s="17">
        <f t="shared" ca="1" si="28"/>
        <v>46202</v>
      </c>
      <c r="M919" s="6" t="str">
        <f t="shared" ca="1" si="29"/>
        <v>29/06/yyyy a 05/07/yyyy</v>
      </c>
    </row>
    <row r="920" spans="1:13" x14ac:dyDescent="0.3">
      <c r="A920" t="s">
        <v>15</v>
      </c>
      <c r="B920" t="s">
        <v>18</v>
      </c>
      <c r="C920">
        <v>45848</v>
      </c>
      <c r="D920">
        <v>45855</v>
      </c>
      <c r="E920">
        <v>3</v>
      </c>
      <c r="F920">
        <v>3</v>
      </c>
      <c r="G920">
        <v>10</v>
      </c>
      <c r="H920">
        <v>2</v>
      </c>
      <c r="I920">
        <v>0.5</v>
      </c>
      <c r="J920" t="s">
        <v>50</v>
      </c>
      <c r="K920">
        <v>0</v>
      </c>
      <c r="L920" s="17">
        <f t="shared" ca="1" si="28"/>
        <v>46209</v>
      </c>
      <c r="M920" s="6" t="str">
        <f t="shared" ca="1" si="29"/>
        <v>06/07/yyyy a 12/07/yyyy</v>
      </c>
    </row>
    <row r="921" spans="1:13" x14ac:dyDescent="0.3">
      <c r="A921" t="s">
        <v>15</v>
      </c>
      <c r="B921" t="s">
        <v>18</v>
      </c>
      <c r="C921">
        <v>45848</v>
      </c>
      <c r="D921">
        <v>45855</v>
      </c>
      <c r="E921">
        <v>3</v>
      </c>
      <c r="F921">
        <v>3</v>
      </c>
      <c r="G921">
        <v>10</v>
      </c>
      <c r="H921">
        <v>2</v>
      </c>
      <c r="I921">
        <v>0.5</v>
      </c>
      <c r="J921" t="s">
        <v>51</v>
      </c>
      <c r="K921">
        <v>0</v>
      </c>
      <c r="L921" s="17">
        <f t="shared" ca="1" si="28"/>
        <v>46216</v>
      </c>
      <c r="M921" s="6" t="str">
        <f t="shared" ca="1" si="29"/>
        <v>13/07/yyyy a 19/07/yyyy</v>
      </c>
    </row>
    <row r="922" spans="1:13" x14ac:dyDescent="0.3">
      <c r="A922" t="s">
        <v>15</v>
      </c>
      <c r="B922" t="s">
        <v>18</v>
      </c>
      <c r="C922">
        <v>45848</v>
      </c>
      <c r="D922">
        <v>45855</v>
      </c>
      <c r="E922">
        <v>3</v>
      </c>
      <c r="F922">
        <v>3</v>
      </c>
      <c r="G922">
        <v>10</v>
      </c>
      <c r="H922">
        <v>2</v>
      </c>
      <c r="I922">
        <v>0.5</v>
      </c>
      <c r="J922" t="s">
        <v>52</v>
      </c>
      <c r="K922">
        <v>0</v>
      </c>
      <c r="L922" s="17">
        <f t="shared" ca="1" si="28"/>
        <v>46223</v>
      </c>
      <c r="M922" s="6" t="str">
        <f t="shared" ca="1" si="29"/>
        <v>20/07/yyyy a 26/07/yyyy</v>
      </c>
    </row>
    <row r="923" spans="1:13" x14ac:dyDescent="0.3">
      <c r="A923" t="s">
        <v>15</v>
      </c>
      <c r="B923" t="s">
        <v>18</v>
      </c>
      <c r="C923">
        <v>45848</v>
      </c>
      <c r="D923">
        <v>45855</v>
      </c>
      <c r="E923">
        <v>3</v>
      </c>
      <c r="F923">
        <v>3</v>
      </c>
      <c r="G923">
        <v>10</v>
      </c>
      <c r="H923">
        <v>2</v>
      </c>
      <c r="I923">
        <v>0.5</v>
      </c>
      <c r="J923" t="s">
        <v>53</v>
      </c>
      <c r="K923">
        <v>0</v>
      </c>
      <c r="L923" s="17">
        <f t="shared" ca="1" si="28"/>
        <v>46167</v>
      </c>
      <c r="M923" s="6" t="str">
        <f t="shared" ca="1" si="29"/>
        <v>25/05/yyyy a 31/05/yyyy</v>
      </c>
    </row>
    <row r="924" spans="1:13" x14ac:dyDescent="0.3">
      <c r="A924" t="s">
        <v>15</v>
      </c>
      <c r="B924" t="s">
        <v>18</v>
      </c>
      <c r="C924">
        <v>45848</v>
      </c>
      <c r="D924">
        <v>45855</v>
      </c>
      <c r="E924">
        <v>3</v>
      </c>
      <c r="F924">
        <v>3</v>
      </c>
      <c r="G924">
        <v>10</v>
      </c>
      <c r="H924">
        <v>2</v>
      </c>
      <c r="I924">
        <v>0.5</v>
      </c>
      <c r="J924" t="s">
        <v>54</v>
      </c>
      <c r="K924">
        <v>0</v>
      </c>
      <c r="L924" s="17">
        <f t="shared" ca="1" si="28"/>
        <v>46167</v>
      </c>
      <c r="M924" s="6" t="str">
        <f t="shared" ca="1" si="29"/>
        <v>25/05/yyyy a 31/05/yyyy</v>
      </c>
    </row>
    <row r="925" spans="1:13" x14ac:dyDescent="0.3">
      <c r="A925" t="s">
        <v>15</v>
      </c>
      <c r="B925" t="s">
        <v>18</v>
      </c>
      <c r="C925">
        <v>45848</v>
      </c>
      <c r="D925">
        <v>45855</v>
      </c>
      <c r="E925">
        <v>3</v>
      </c>
      <c r="F925">
        <v>3</v>
      </c>
      <c r="G925">
        <v>10</v>
      </c>
      <c r="H925">
        <v>2</v>
      </c>
      <c r="I925">
        <v>0.5</v>
      </c>
      <c r="J925" t="s">
        <v>55</v>
      </c>
      <c r="K925">
        <v>0</v>
      </c>
      <c r="L925" s="17">
        <f t="shared" ca="1" si="28"/>
        <v>46167</v>
      </c>
      <c r="M925" s="6" t="str">
        <f t="shared" ca="1" si="29"/>
        <v>25/05/yyyy a 31/05/yyyy</v>
      </c>
    </row>
    <row r="926" spans="1:13" x14ac:dyDescent="0.3">
      <c r="A926" t="s">
        <v>15</v>
      </c>
      <c r="B926" t="s">
        <v>16</v>
      </c>
      <c r="C926">
        <v>45848</v>
      </c>
      <c r="D926">
        <v>45855</v>
      </c>
      <c r="E926">
        <v>2.5</v>
      </c>
      <c r="F926">
        <v>2.5</v>
      </c>
      <c r="G926">
        <v>10</v>
      </c>
      <c r="H926">
        <v>2</v>
      </c>
      <c r="I926">
        <v>0.41666666666666669</v>
      </c>
      <c r="J926" t="s">
        <v>44</v>
      </c>
      <c r="K926">
        <v>0</v>
      </c>
      <c r="L926" s="17">
        <f t="shared" ca="1" si="28"/>
        <v>46167</v>
      </c>
      <c r="M926" s="6" t="str">
        <f t="shared" ca="1" si="29"/>
        <v>25/05/yyyy a 31/05/yyyy</v>
      </c>
    </row>
    <row r="927" spans="1:13" x14ac:dyDescent="0.3">
      <c r="A927" t="s">
        <v>15</v>
      </c>
      <c r="B927" t="s">
        <v>16</v>
      </c>
      <c r="C927">
        <v>45848</v>
      </c>
      <c r="D927">
        <v>45855</v>
      </c>
      <c r="E927">
        <v>2.5</v>
      </c>
      <c r="F927">
        <v>2.5</v>
      </c>
      <c r="G927">
        <v>10</v>
      </c>
      <c r="H927">
        <v>2</v>
      </c>
      <c r="I927">
        <v>0.41666666666666669</v>
      </c>
      <c r="J927" t="s">
        <v>45</v>
      </c>
      <c r="K927">
        <v>0.83333333333333348</v>
      </c>
      <c r="L927" s="17">
        <f t="shared" ca="1" si="28"/>
        <v>46174</v>
      </c>
      <c r="M927" s="6" t="str">
        <f t="shared" ca="1" si="29"/>
        <v>01/06/yyyy a 07/06/yyyy</v>
      </c>
    </row>
    <row r="928" spans="1:13" x14ac:dyDescent="0.3">
      <c r="A928" t="s">
        <v>15</v>
      </c>
      <c r="B928" t="s">
        <v>16</v>
      </c>
      <c r="C928">
        <v>45848</v>
      </c>
      <c r="D928">
        <v>45855</v>
      </c>
      <c r="E928">
        <v>2.5</v>
      </c>
      <c r="F928">
        <v>2.5</v>
      </c>
      <c r="G928">
        <v>10</v>
      </c>
      <c r="H928">
        <v>2</v>
      </c>
      <c r="I928">
        <v>0.41666666666666669</v>
      </c>
      <c r="J928" t="s">
        <v>46</v>
      </c>
      <c r="K928">
        <v>1.6666666666666667</v>
      </c>
      <c r="L928" s="17">
        <f t="shared" ca="1" si="28"/>
        <v>46181</v>
      </c>
      <c r="M928" s="6" t="str">
        <f t="shared" ca="1" si="29"/>
        <v>08/06/yyyy a 14/06/yyyy</v>
      </c>
    </row>
    <row r="929" spans="1:13" x14ac:dyDescent="0.3">
      <c r="A929" t="s">
        <v>15</v>
      </c>
      <c r="B929" t="s">
        <v>16</v>
      </c>
      <c r="C929">
        <v>45848</v>
      </c>
      <c r="D929">
        <v>45855</v>
      </c>
      <c r="E929">
        <v>2.5</v>
      </c>
      <c r="F929">
        <v>2.5</v>
      </c>
      <c r="G929">
        <v>10</v>
      </c>
      <c r="H929">
        <v>2</v>
      </c>
      <c r="I929">
        <v>0.41666666666666669</v>
      </c>
      <c r="J929" t="s">
        <v>47</v>
      </c>
      <c r="K929">
        <v>0</v>
      </c>
      <c r="L929" s="17">
        <f t="shared" ca="1" si="28"/>
        <v>46188</v>
      </c>
      <c r="M929" s="6" t="str">
        <f t="shared" ca="1" si="29"/>
        <v>15/06/yyyy a 21/06/yyyy</v>
      </c>
    </row>
    <row r="930" spans="1:13" x14ac:dyDescent="0.3">
      <c r="A930" t="s">
        <v>15</v>
      </c>
      <c r="B930" t="s">
        <v>16</v>
      </c>
      <c r="C930">
        <v>45848</v>
      </c>
      <c r="D930">
        <v>45855</v>
      </c>
      <c r="E930">
        <v>2.5</v>
      </c>
      <c r="F930">
        <v>2.5</v>
      </c>
      <c r="G930">
        <v>10</v>
      </c>
      <c r="H930">
        <v>2</v>
      </c>
      <c r="I930">
        <v>0.41666666666666669</v>
      </c>
      <c r="J930" t="s">
        <v>48</v>
      </c>
      <c r="K930">
        <v>0</v>
      </c>
      <c r="L930" s="17">
        <f t="shared" ca="1" si="28"/>
        <v>46195</v>
      </c>
      <c r="M930" s="6" t="str">
        <f t="shared" ca="1" si="29"/>
        <v>22/06/yyyy a 28/06/yyyy</v>
      </c>
    </row>
    <row r="931" spans="1:13" x14ac:dyDescent="0.3">
      <c r="A931" t="s">
        <v>15</v>
      </c>
      <c r="B931" t="s">
        <v>16</v>
      </c>
      <c r="C931">
        <v>45848</v>
      </c>
      <c r="D931">
        <v>45855</v>
      </c>
      <c r="E931">
        <v>2.5</v>
      </c>
      <c r="F931">
        <v>2.5</v>
      </c>
      <c r="G931">
        <v>10</v>
      </c>
      <c r="H931">
        <v>2</v>
      </c>
      <c r="I931">
        <v>0.41666666666666669</v>
      </c>
      <c r="J931" t="s">
        <v>49</v>
      </c>
      <c r="K931">
        <v>0</v>
      </c>
      <c r="L931" s="17">
        <f t="shared" ca="1" si="28"/>
        <v>46202</v>
      </c>
      <c r="M931" s="6" t="str">
        <f t="shared" ca="1" si="29"/>
        <v>29/06/yyyy a 05/07/yyyy</v>
      </c>
    </row>
    <row r="932" spans="1:13" x14ac:dyDescent="0.3">
      <c r="A932" t="s">
        <v>15</v>
      </c>
      <c r="B932" t="s">
        <v>16</v>
      </c>
      <c r="C932">
        <v>45848</v>
      </c>
      <c r="D932">
        <v>45855</v>
      </c>
      <c r="E932">
        <v>2.5</v>
      </c>
      <c r="F932">
        <v>2.5</v>
      </c>
      <c r="G932">
        <v>10</v>
      </c>
      <c r="H932">
        <v>2</v>
      </c>
      <c r="I932">
        <v>0.41666666666666669</v>
      </c>
      <c r="J932" t="s">
        <v>50</v>
      </c>
      <c r="K932">
        <v>0</v>
      </c>
      <c r="L932" s="17">
        <f t="shared" ca="1" si="28"/>
        <v>46209</v>
      </c>
      <c r="M932" s="6" t="str">
        <f t="shared" ca="1" si="29"/>
        <v>06/07/yyyy a 12/07/yyyy</v>
      </c>
    </row>
    <row r="933" spans="1:13" x14ac:dyDescent="0.3">
      <c r="A933" t="s">
        <v>15</v>
      </c>
      <c r="B933" t="s">
        <v>16</v>
      </c>
      <c r="C933">
        <v>45848</v>
      </c>
      <c r="D933">
        <v>45855</v>
      </c>
      <c r="E933">
        <v>2.5</v>
      </c>
      <c r="F933">
        <v>2.5</v>
      </c>
      <c r="G933">
        <v>10</v>
      </c>
      <c r="H933">
        <v>2</v>
      </c>
      <c r="I933">
        <v>0.41666666666666669</v>
      </c>
      <c r="J933" t="s">
        <v>51</v>
      </c>
      <c r="K933">
        <v>0</v>
      </c>
      <c r="L933" s="17">
        <f t="shared" ca="1" si="28"/>
        <v>46216</v>
      </c>
      <c r="M933" s="6" t="str">
        <f t="shared" ca="1" si="29"/>
        <v>13/07/yyyy a 19/07/yyyy</v>
      </c>
    </row>
    <row r="934" spans="1:13" x14ac:dyDescent="0.3">
      <c r="A934" t="s">
        <v>15</v>
      </c>
      <c r="B934" t="s">
        <v>16</v>
      </c>
      <c r="C934">
        <v>45848</v>
      </c>
      <c r="D934">
        <v>45855</v>
      </c>
      <c r="E934">
        <v>2.5</v>
      </c>
      <c r="F934">
        <v>2.5</v>
      </c>
      <c r="G934">
        <v>10</v>
      </c>
      <c r="H934">
        <v>2</v>
      </c>
      <c r="I934">
        <v>0.41666666666666669</v>
      </c>
      <c r="J934" t="s">
        <v>52</v>
      </c>
      <c r="K934">
        <v>0</v>
      </c>
      <c r="L934" s="17">
        <f t="shared" ca="1" si="28"/>
        <v>46223</v>
      </c>
      <c r="M934" s="6" t="str">
        <f t="shared" ca="1" si="29"/>
        <v>20/07/yyyy a 26/07/yyyy</v>
      </c>
    </row>
    <row r="935" spans="1:13" x14ac:dyDescent="0.3">
      <c r="A935" t="s">
        <v>15</v>
      </c>
      <c r="B935" t="s">
        <v>16</v>
      </c>
      <c r="C935">
        <v>45848</v>
      </c>
      <c r="D935">
        <v>45855</v>
      </c>
      <c r="E935">
        <v>2.5</v>
      </c>
      <c r="F935">
        <v>2.5</v>
      </c>
      <c r="G935">
        <v>10</v>
      </c>
      <c r="H935">
        <v>2</v>
      </c>
      <c r="I935">
        <v>0.41666666666666669</v>
      </c>
      <c r="J935" t="s">
        <v>53</v>
      </c>
      <c r="K935">
        <v>0</v>
      </c>
      <c r="L935" s="17">
        <f t="shared" ca="1" si="28"/>
        <v>46167</v>
      </c>
      <c r="M935" s="6" t="str">
        <f t="shared" ca="1" si="29"/>
        <v>25/05/yyyy a 31/05/yyyy</v>
      </c>
    </row>
    <row r="936" spans="1:13" x14ac:dyDescent="0.3">
      <c r="A936" t="s">
        <v>15</v>
      </c>
      <c r="B936" t="s">
        <v>16</v>
      </c>
      <c r="C936">
        <v>45848</v>
      </c>
      <c r="D936">
        <v>45855</v>
      </c>
      <c r="E936">
        <v>2.5</v>
      </c>
      <c r="F936">
        <v>2.5</v>
      </c>
      <c r="G936">
        <v>10</v>
      </c>
      <c r="H936">
        <v>2</v>
      </c>
      <c r="I936">
        <v>0.41666666666666669</v>
      </c>
      <c r="J936" t="s">
        <v>54</v>
      </c>
      <c r="K936">
        <v>0</v>
      </c>
      <c r="L936" s="17">
        <f t="shared" ca="1" si="28"/>
        <v>46167</v>
      </c>
      <c r="M936" s="6" t="str">
        <f t="shared" ca="1" si="29"/>
        <v>25/05/yyyy a 31/05/yyyy</v>
      </c>
    </row>
    <row r="937" spans="1:13" x14ac:dyDescent="0.3">
      <c r="A937" t="s">
        <v>15</v>
      </c>
      <c r="B937" t="s">
        <v>16</v>
      </c>
      <c r="C937">
        <v>45848</v>
      </c>
      <c r="D937">
        <v>45855</v>
      </c>
      <c r="E937">
        <v>2.5</v>
      </c>
      <c r="F937">
        <v>2.5</v>
      </c>
      <c r="G937">
        <v>10</v>
      </c>
      <c r="H937">
        <v>2</v>
      </c>
      <c r="I937">
        <v>0.41666666666666669</v>
      </c>
      <c r="J937" t="s">
        <v>55</v>
      </c>
      <c r="K937">
        <v>0</v>
      </c>
      <c r="L937" s="17">
        <f t="shared" ca="1" si="28"/>
        <v>46167</v>
      </c>
      <c r="M937" s="6" t="str">
        <f t="shared" ca="1" si="29"/>
        <v>25/05/yyyy a 31/05/yyyy</v>
      </c>
    </row>
    <row r="938" spans="1:13" x14ac:dyDescent="0.3">
      <c r="A938" t="s">
        <v>15</v>
      </c>
      <c r="B938" t="s">
        <v>20</v>
      </c>
      <c r="C938">
        <v>45848</v>
      </c>
      <c r="D938">
        <v>45855</v>
      </c>
      <c r="E938">
        <v>9</v>
      </c>
      <c r="F938">
        <v>9</v>
      </c>
      <c r="G938">
        <v>10</v>
      </c>
      <c r="H938">
        <v>2</v>
      </c>
      <c r="I938">
        <v>1.5</v>
      </c>
      <c r="J938" t="s">
        <v>44</v>
      </c>
      <c r="K938">
        <v>0</v>
      </c>
      <c r="L938" s="17">
        <f t="shared" ca="1" si="28"/>
        <v>46167</v>
      </c>
      <c r="M938" s="6" t="str">
        <f t="shared" ca="1" si="29"/>
        <v>25/05/yyyy a 31/05/yyyy</v>
      </c>
    </row>
    <row r="939" spans="1:13" x14ac:dyDescent="0.3">
      <c r="A939" t="s">
        <v>15</v>
      </c>
      <c r="B939" t="s">
        <v>20</v>
      </c>
      <c r="C939">
        <v>45848</v>
      </c>
      <c r="D939">
        <v>45855</v>
      </c>
      <c r="E939">
        <v>9</v>
      </c>
      <c r="F939">
        <v>9</v>
      </c>
      <c r="G939">
        <v>10</v>
      </c>
      <c r="H939">
        <v>2</v>
      </c>
      <c r="I939">
        <v>1.5</v>
      </c>
      <c r="J939" t="s">
        <v>45</v>
      </c>
      <c r="K939">
        <v>3</v>
      </c>
      <c r="L939" s="17">
        <f t="shared" ca="1" si="28"/>
        <v>46174</v>
      </c>
      <c r="M939" s="6" t="str">
        <f t="shared" ca="1" si="29"/>
        <v>01/06/yyyy a 07/06/yyyy</v>
      </c>
    </row>
    <row r="940" spans="1:13" x14ac:dyDescent="0.3">
      <c r="A940" t="s">
        <v>15</v>
      </c>
      <c r="B940" t="s">
        <v>20</v>
      </c>
      <c r="C940">
        <v>45848</v>
      </c>
      <c r="D940">
        <v>45855</v>
      </c>
      <c r="E940">
        <v>9</v>
      </c>
      <c r="F940">
        <v>9</v>
      </c>
      <c r="G940">
        <v>10</v>
      </c>
      <c r="H940">
        <v>2</v>
      </c>
      <c r="I940">
        <v>1.5</v>
      </c>
      <c r="J940" t="s">
        <v>46</v>
      </c>
      <c r="K940">
        <v>6</v>
      </c>
      <c r="L940" s="17">
        <f t="shared" ca="1" si="28"/>
        <v>46181</v>
      </c>
      <c r="M940" s="6" t="str">
        <f t="shared" ca="1" si="29"/>
        <v>08/06/yyyy a 14/06/yyyy</v>
      </c>
    </row>
    <row r="941" spans="1:13" x14ac:dyDescent="0.3">
      <c r="A941" t="s">
        <v>15</v>
      </c>
      <c r="B941" t="s">
        <v>20</v>
      </c>
      <c r="C941">
        <v>45848</v>
      </c>
      <c r="D941">
        <v>45855</v>
      </c>
      <c r="E941">
        <v>9</v>
      </c>
      <c r="F941">
        <v>9</v>
      </c>
      <c r="G941">
        <v>10</v>
      </c>
      <c r="H941">
        <v>2</v>
      </c>
      <c r="I941">
        <v>1.5</v>
      </c>
      <c r="J941" t="s">
        <v>47</v>
      </c>
      <c r="K941">
        <v>0</v>
      </c>
      <c r="L941" s="17">
        <f t="shared" ca="1" si="28"/>
        <v>46188</v>
      </c>
      <c r="M941" s="6" t="str">
        <f t="shared" ca="1" si="29"/>
        <v>15/06/yyyy a 21/06/yyyy</v>
      </c>
    </row>
    <row r="942" spans="1:13" x14ac:dyDescent="0.3">
      <c r="A942" t="s">
        <v>15</v>
      </c>
      <c r="B942" t="s">
        <v>20</v>
      </c>
      <c r="C942">
        <v>45848</v>
      </c>
      <c r="D942">
        <v>45855</v>
      </c>
      <c r="E942">
        <v>9</v>
      </c>
      <c r="F942">
        <v>9</v>
      </c>
      <c r="G942">
        <v>10</v>
      </c>
      <c r="H942">
        <v>2</v>
      </c>
      <c r="I942">
        <v>1.5</v>
      </c>
      <c r="J942" t="s">
        <v>48</v>
      </c>
      <c r="K942">
        <v>0</v>
      </c>
      <c r="L942" s="17">
        <f t="shared" ca="1" si="28"/>
        <v>46195</v>
      </c>
      <c r="M942" s="6" t="str">
        <f t="shared" ca="1" si="29"/>
        <v>22/06/yyyy a 28/06/yyyy</v>
      </c>
    </row>
    <row r="943" spans="1:13" x14ac:dyDescent="0.3">
      <c r="A943" t="s">
        <v>15</v>
      </c>
      <c r="B943" t="s">
        <v>20</v>
      </c>
      <c r="C943">
        <v>45848</v>
      </c>
      <c r="D943">
        <v>45855</v>
      </c>
      <c r="E943">
        <v>9</v>
      </c>
      <c r="F943">
        <v>9</v>
      </c>
      <c r="G943">
        <v>10</v>
      </c>
      <c r="H943">
        <v>2</v>
      </c>
      <c r="I943">
        <v>1.5</v>
      </c>
      <c r="J943" t="s">
        <v>49</v>
      </c>
      <c r="K943">
        <v>0</v>
      </c>
      <c r="L943" s="17">
        <f t="shared" ca="1" si="28"/>
        <v>46202</v>
      </c>
      <c r="M943" s="6" t="str">
        <f t="shared" ca="1" si="29"/>
        <v>29/06/yyyy a 05/07/yyyy</v>
      </c>
    </row>
    <row r="944" spans="1:13" x14ac:dyDescent="0.3">
      <c r="A944" t="s">
        <v>15</v>
      </c>
      <c r="B944" t="s">
        <v>20</v>
      </c>
      <c r="C944">
        <v>45848</v>
      </c>
      <c r="D944">
        <v>45855</v>
      </c>
      <c r="E944">
        <v>9</v>
      </c>
      <c r="F944">
        <v>9</v>
      </c>
      <c r="G944">
        <v>10</v>
      </c>
      <c r="H944">
        <v>2</v>
      </c>
      <c r="I944">
        <v>1.5</v>
      </c>
      <c r="J944" t="s">
        <v>50</v>
      </c>
      <c r="K944">
        <v>0</v>
      </c>
      <c r="L944" s="17">
        <f t="shared" ca="1" si="28"/>
        <v>46209</v>
      </c>
      <c r="M944" s="6" t="str">
        <f t="shared" ca="1" si="29"/>
        <v>06/07/yyyy a 12/07/yyyy</v>
      </c>
    </row>
    <row r="945" spans="1:13" x14ac:dyDescent="0.3">
      <c r="A945" t="s">
        <v>15</v>
      </c>
      <c r="B945" t="s">
        <v>20</v>
      </c>
      <c r="C945">
        <v>45848</v>
      </c>
      <c r="D945">
        <v>45855</v>
      </c>
      <c r="E945">
        <v>9</v>
      </c>
      <c r="F945">
        <v>9</v>
      </c>
      <c r="G945">
        <v>10</v>
      </c>
      <c r="H945">
        <v>2</v>
      </c>
      <c r="I945">
        <v>1.5</v>
      </c>
      <c r="J945" t="s">
        <v>51</v>
      </c>
      <c r="K945">
        <v>0</v>
      </c>
      <c r="L945" s="17">
        <f t="shared" ca="1" si="28"/>
        <v>46216</v>
      </c>
      <c r="M945" s="6" t="str">
        <f t="shared" ca="1" si="29"/>
        <v>13/07/yyyy a 19/07/yyyy</v>
      </c>
    </row>
    <row r="946" spans="1:13" x14ac:dyDescent="0.3">
      <c r="A946" t="s">
        <v>15</v>
      </c>
      <c r="B946" t="s">
        <v>20</v>
      </c>
      <c r="C946">
        <v>45848</v>
      </c>
      <c r="D946">
        <v>45855</v>
      </c>
      <c r="E946">
        <v>9</v>
      </c>
      <c r="F946">
        <v>9</v>
      </c>
      <c r="G946">
        <v>10</v>
      </c>
      <c r="H946">
        <v>2</v>
      </c>
      <c r="I946">
        <v>1.5</v>
      </c>
      <c r="J946" t="s">
        <v>52</v>
      </c>
      <c r="K946">
        <v>0</v>
      </c>
      <c r="L946" s="17">
        <f t="shared" ca="1" si="28"/>
        <v>46223</v>
      </c>
      <c r="M946" s="6" t="str">
        <f t="shared" ca="1" si="29"/>
        <v>20/07/yyyy a 26/07/yyyy</v>
      </c>
    </row>
    <row r="947" spans="1:13" x14ac:dyDescent="0.3">
      <c r="A947" t="s">
        <v>15</v>
      </c>
      <c r="B947" t="s">
        <v>20</v>
      </c>
      <c r="C947">
        <v>45848</v>
      </c>
      <c r="D947">
        <v>45855</v>
      </c>
      <c r="E947">
        <v>9</v>
      </c>
      <c r="F947">
        <v>9</v>
      </c>
      <c r="G947">
        <v>10</v>
      </c>
      <c r="H947">
        <v>2</v>
      </c>
      <c r="I947">
        <v>1.5</v>
      </c>
      <c r="J947" t="s">
        <v>53</v>
      </c>
      <c r="K947">
        <v>0</v>
      </c>
      <c r="L947" s="17">
        <f t="shared" ca="1" si="28"/>
        <v>46167</v>
      </c>
      <c r="M947" s="6" t="str">
        <f t="shared" ca="1" si="29"/>
        <v>25/05/yyyy a 31/05/yyyy</v>
      </c>
    </row>
    <row r="948" spans="1:13" x14ac:dyDescent="0.3">
      <c r="A948" t="s">
        <v>15</v>
      </c>
      <c r="B948" t="s">
        <v>20</v>
      </c>
      <c r="C948">
        <v>45848</v>
      </c>
      <c r="D948">
        <v>45855</v>
      </c>
      <c r="E948">
        <v>9</v>
      </c>
      <c r="F948">
        <v>9</v>
      </c>
      <c r="G948">
        <v>10</v>
      </c>
      <c r="H948">
        <v>2</v>
      </c>
      <c r="I948">
        <v>1.5</v>
      </c>
      <c r="J948" t="s">
        <v>54</v>
      </c>
      <c r="K948">
        <v>0</v>
      </c>
      <c r="L948" s="17">
        <f t="shared" ca="1" si="28"/>
        <v>46167</v>
      </c>
      <c r="M948" s="6" t="str">
        <f t="shared" ca="1" si="29"/>
        <v>25/05/yyyy a 31/05/yyyy</v>
      </c>
    </row>
    <row r="949" spans="1:13" x14ac:dyDescent="0.3">
      <c r="A949" t="s">
        <v>15</v>
      </c>
      <c r="B949" t="s">
        <v>20</v>
      </c>
      <c r="C949">
        <v>45848</v>
      </c>
      <c r="D949">
        <v>45855</v>
      </c>
      <c r="E949">
        <v>9</v>
      </c>
      <c r="F949">
        <v>9</v>
      </c>
      <c r="G949">
        <v>10</v>
      </c>
      <c r="H949">
        <v>2</v>
      </c>
      <c r="I949">
        <v>1.5</v>
      </c>
      <c r="J949" t="s">
        <v>55</v>
      </c>
      <c r="K949">
        <v>0</v>
      </c>
      <c r="L949" s="17">
        <f t="shared" ca="1" si="28"/>
        <v>46167</v>
      </c>
      <c r="M949" s="6" t="str">
        <f t="shared" ca="1" si="29"/>
        <v>25/05/yyyy a 31/05/yyyy</v>
      </c>
    </row>
    <row r="950" spans="1:13" x14ac:dyDescent="0.3">
      <c r="A950" t="s">
        <v>15</v>
      </c>
      <c r="B950" t="s">
        <v>28</v>
      </c>
      <c r="C950">
        <v>45862</v>
      </c>
      <c r="D950">
        <v>45869</v>
      </c>
      <c r="E950">
        <v>4</v>
      </c>
      <c r="F950">
        <v>4</v>
      </c>
      <c r="G950">
        <v>20</v>
      </c>
      <c r="H950">
        <v>4</v>
      </c>
      <c r="I950">
        <v>0.66666666666666663</v>
      </c>
      <c r="J950" t="s">
        <v>44</v>
      </c>
      <c r="K950">
        <v>0</v>
      </c>
      <c r="L950" s="17">
        <f t="shared" ca="1" si="28"/>
        <v>46167</v>
      </c>
      <c r="M950" s="6" t="str">
        <f t="shared" ca="1" si="29"/>
        <v>25/05/yyyy a 31/05/yyyy</v>
      </c>
    </row>
    <row r="951" spans="1:13" x14ac:dyDescent="0.3">
      <c r="A951" t="s">
        <v>15</v>
      </c>
      <c r="B951" t="s">
        <v>28</v>
      </c>
      <c r="C951">
        <v>45862</v>
      </c>
      <c r="D951">
        <v>45869</v>
      </c>
      <c r="E951">
        <v>4</v>
      </c>
      <c r="F951">
        <v>4</v>
      </c>
      <c r="G951">
        <v>20</v>
      </c>
      <c r="H951">
        <v>4</v>
      </c>
      <c r="I951">
        <v>0.66666666666666663</v>
      </c>
      <c r="J951" t="s">
        <v>45</v>
      </c>
      <c r="K951">
        <v>0</v>
      </c>
      <c r="L951" s="17">
        <f t="shared" ca="1" si="28"/>
        <v>46174</v>
      </c>
      <c r="M951" s="6" t="str">
        <f t="shared" ca="1" si="29"/>
        <v>01/06/yyyy a 07/06/yyyy</v>
      </c>
    </row>
    <row r="952" spans="1:13" x14ac:dyDescent="0.3">
      <c r="A952" t="s">
        <v>15</v>
      </c>
      <c r="B952" t="s">
        <v>28</v>
      </c>
      <c r="C952">
        <v>45862</v>
      </c>
      <c r="D952">
        <v>45869</v>
      </c>
      <c r="E952">
        <v>4</v>
      </c>
      <c r="F952">
        <v>4</v>
      </c>
      <c r="G952">
        <v>20</v>
      </c>
      <c r="H952">
        <v>4</v>
      </c>
      <c r="I952">
        <v>0.66666666666666663</v>
      </c>
      <c r="J952" t="s">
        <v>46</v>
      </c>
      <c r="K952">
        <v>0</v>
      </c>
      <c r="L952" s="17">
        <f t="shared" ca="1" si="28"/>
        <v>46181</v>
      </c>
      <c r="M952" s="6" t="str">
        <f t="shared" ca="1" si="29"/>
        <v>08/06/yyyy a 14/06/yyyy</v>
      </c>
    </row>
    <row r="953" spans="1:13" x14ac:dyDescent="0.3">
      <c r="A953" t="s">
        <v>15</v>
      </c>
      <c r="B953" t="s">
        <v>28</v>
      </c>
      <c r="C953">
        <v>45862</v>
      </c>
      <c r="D953">
        <v>45869</v>
      </c>
      <c r="E953">
        <v>4</v>
      </c>
      <c r="F953">
        <v>4</v>
      </c>
      <c r="G953">
        <v>20</v>
      </c>
      <c r="H953">
        <v>4</v>
      </c>
      <c r="I953">
        <v>0.66666666666666663</v>
      </c>
      <c r="J953" t="s">
        <v>47</v>
      </c>
      <c r="K953">
        <v>1.333333333333333</v>
      </c>
      <c r="L953" s="17">
        <f t="shared" ca="1" si="28"/>
        <v>46188</v>
      </c>
      <c r="M953" s="6" t="str">
        <f t="shared" ca="1" si="29"/>
        <v>15/06/yyyy a 21/06/yyyy</v>
      </c>
    </row>
    <row r="954" spans="1:13" x14ac:dyDescent="0.3">
      <c r="A954" t="s">
        <v>15</v>
      </c>
      <c r="B954" t="s">
        <v>28</v>
      </c>
      <c r="C954">
        <v>45862</v>
      </c>
      <c r="D954">
        <v>45869</v>
      </c>
      <c r="E954">
        <v>4</v>
      </c>
      <c r="F954">
        <v>4</v>
      </c>
      <c r="G954">
        <v>20</v>
      </c>
      <c r="H954">
        <v>4</v>
      </c>
      <c r="I954">
        <v>0.66666666666666663</v>
      </c>
      <c r="J954" t="s">
        <v>48</v>
      </c>
      <c r="K954">
        <v>2.6666666666666665</v>
      </c>
      <c r="L954" s="17">
        <f t="shared" ca="1" si="28"/>
        <v>46195</v>
      </c>
      <c r="M954" s="6" t="str">
        <f t="shared" ca="1" si="29"/>
        <v>22/06/yyyy a 28/06/yyyy</v>
      </c>
    </row>
    <row r="955" spans="1:13" x14ac:dyDescent="0.3">
      <c r="A955" t="s">
        <v>15</v>
      </c>
      <c r="B955" t="s">
        <v>28</v>
      </c>
      <c r="C955">
        <v>45862</v>
      </c>
      <c r="D955">
        <v>45869</v>
      </c>
      <c r="E955">
        <v>4</v>
      </c>
      <c r="F955">
        <v>4</v>
      </c>
      <c r="G955">
        <v>20</v>
      </c>
      <c r="H955">
        <v>4</v>
      </c>
      <c r="I955">
        <v>0.66666666666666663</v>
      </c>
      <c r="J955" t="s">
        <v>49</v>
      </c>
      <c r="K955">
        <v>0</v>
      </c>
      <c r="L955" s="17">
        <f t="shared" ca="1" si="28"/>
        <v>46202</v>
      </c>
      <c r="M955" s="6" t="str">
        <f t="shared" ca="1" si="29"/>
        <v>29/06/yyyy a 05/07/yyyy</v>
      </c>
    </row>
    <row r="956" spans="1:13" x14ac:dyDescent="0.3">
      <c r="A956" t="s">
        <v>15</v>
      </c>
      <c r="B956" t="s">
        <v>28</v>
      </c>
      <c r="C956">
        <v>45862</v>
      </c>
      <c r="D956">
        <v>45869</v>
      </c>
      <c r="E956">
        <v>4</v>
      </c>
      <c r="F956">
        <v>4</v>
      </c>
      <c r="G956">
        <v>20</v>
      </c>
      <c r="H956">
        <v>4</v>
      </c>
      <c r="I956">
        <v>0.66666666666666663</v>
      </c>
      <c r="J956" t="s">
        <v>50</v>
      </c>
      <c r="K956">
        <v>0</v>
      </c>
      <c r="L956" s="17">
        <f t="shared" ca="1" si="28"/>
        <v>46209</v>
      </c>
      <c r="M956" s="6" t="str">
        <f t="shared" ca="1" si="29"/>
        <v>06/07/yyyy a 12/07/yyyy</v>
      </c>
    </row>
    <row r="957" spans="1:13" x14ac:dyDescent="0.3">
      <c r="A957" t="s">
        <v>15</v>
      </c>
      <c r="B957" t="s">
        <v>28</v>
      </c>
      <c r="C957">
        <v>45862</v>
      </c>
      <c r="D957">
        <v>45869</v>
      </c>
      <c r="E957">
        <v>4</v>
      </c>
      <c r="F957">
        <v>4</v>
      </c>
      <c r="G957">
        <v>20</v>
      </c>
      <c r="H957">
        <v>4</v>
      </c>
      <c r="I957">
        <v>0.66666666666666663</v>
      </c>
      <c r="J957" t="s">
        <v>51</v>
      </c>
      <c r="K957">
        <v>0</v>
      </c>
      <c r="L957" s="17">
        <f t="shared" ca="1" si="28"/>
        <v>46216</v>
      </c>
      <c r="M957" s="6" t="str">
        <f t="shared" ca="1" si="29"/>
        <v>13/07/yyyy a 19/07/yyyy</v>
      </c>
    </row>
    <row r="958" spans="1:13" x14ac:dyDescent="0.3">
      <c r="A958" t="s">
        <v>15</v>
      </c>
      <c r="B958" t="s">
        <v>28</v>
      </c>
      <c r="C958">
        <v>45862</v>
      </c>
      <c r="D958">
        <v>45869</v>
      </c>
      <c r="E958">
        <v>4</v>
      </c>
      <c r="F958">
        <v>4</v>
      </c>
      <c r="G958">
        <v>20</v>
      </c>
      <c r="H958">
        <v>4</v>
      </c>
      <c r="I958">
        <v>0.66666666666666663</v>
      </c>
      <c r="J958" t="s">
        <v>52</v>
      </c>
      <c r="K958">
        <v>0</v>
      </c>
      <c r="L958" s="17">
        <f t="shared" ca="1" si="28"/>
        <v>46223</v>
      </c>
      <c r="M958" s="6" t="str">
        <f t="shared" ca="1" si="29"/>
        <v>20/07/yyyy a 26/07/yyyy</v>
      </c>
    </row>
    <row r="959" spans="1:13" x14ac:dyDescent="0.3">
      <c r="A959" t="s">
        <v>15</v>
      </c>
      <c r="B959" t="s">
        <v>28</v>
      </c>
      <c r="C959">
        <v>45862</v>
      </c>
      <c r="D959">
        <v>45869</v>
      </c>
      <c r="E959">
        <v>4</v>
      </c>
      <c r="F959">
        <v>4</v>
      </c>
      <c r="G959">
        <v>20</v>
      </c>
      <c r="H959">
        <v>4</v>
      </c>
      <c r="I959">
        <v>0.66666666666666663</v>
      </c>
      <c r="J959" t="s">
        <v>53</v>
      </c>
      <c r="K959">
        <v>0</v>
      </c>
      <c r="L959" s="17">
        <f t="shared" ca="1" si="28"/>
        <v>46167</v>
      </c>
      <c r="M959" s="6" t="str">
        <f t="shared" ca="1" si="29"/>
        <v>25/05/yyyy a 31/05/yyyy</v>
      </c>
    </row>
    <row r="960" spans="1:13" x14ac:dyDescent="0.3">
      <c r="A960" t="s">
        <v>15</v>
      </c>
      <c r="B960" t="s">
        <v>28</v>
      </c>
      <c r="C960">
        <v>45862</v>
      </c>
      <c r="D960">
        <v>45869</v>
      </c>
      <c r="E960">
        <v>4</v>
      </c>
      <c r="F960">
        <v>4</v>
      </c>
      <c r="G960">
        <v>20</v>
      </c>
      <c r="H960">
        <v>4</v>
      </c>
      <c r="I960">
        <v>0.66666666666666663</v>
      </c>
      <c r="J960" t="s">
        <v>54</v>
      </c>
      <c r="K960">
        <v>0</v>
      </c>
      <c r="L960" s="17">
        <f t="shared" ca="1" si="28"/>
        <v>46167</v>
      </c>
      <c r="M960" s="6" t="str">
        <f t="shared" ca="1" si="29"/>
        <v>25/05/yyyy a 31/05/yyyy</v>
      </c>
    </row>
    <row r="961" spans="1:13" x14ac:dyDescent="0.3">
      <c r="A961" t="s">
        <v>15</v>
      </c>
      <c r="B961" t="s">
        <v>28</v>
      </c>
      <c r="C961">
        <v>45862</v>
      </c>
      <c r="D961">
        <v>45869</v>
      </c>
      <c r="E961">
        <v>4</v>
      </c>
      <c r="F961">
        <v>4</v>
      </c>
      <c r="G961">
        <v>20</v>
      </c>
      <c r="H961">
        <v>4</v>
      </c>
      <c r="I961">
        <v>0.66666666666666663</v>
      </c>
      <c r="J961" t="s">
        <v>55</v>
      </c>
      <c r="K961">
        <v>0</v>
      </c>
      <c r="L961" s="17">
        <f t="shared" ca="1" si="28"/>
        <v>46167</v>
      </c>
      <c r="M961" s="6" t="str">
        <f t="shared" ca="1" si="29"/>
        <v>25/05/yyyy a 31/05/yyyy</v>
      </c>
    </row>
    <row r="962" spans="1:13" x14ac:dyDescent="0.3">
      <c r="A962" t="s">
        <v>15</v>
      </c>
      <c r="B962" t="s">
        <v>22</v>
      </c>
      <c r="C962">
        <v>45848</v>
      </c>
      <c r="D962">
        <v>45855</v>
      </c>
      <c r="E962">
        <v>3</v>
      </c>
      <c r="F962">
        <v>3</v>
      </c>
      <c r="G962">
        <v>10</v>
      </c>
      <c r="H962">
        <v>2</v>
      </c>
      <c r="I962">
        <v>0.5</v>
      </c>
      <c r="J962" t="s">
        <v>44</v>
      </c>
      <c r="K962">
        <v>0</v>
      </c>
      <c r="L962" s="17">
        <f t="shared" ref="L962:L1009" ca="1" si="30">IFERROR(VLOOKUP(J962,$O$2:$P$13,2),"")</f>
        <v>46167</v>
      </c>
      <c r="M962" s="6" t="str">
        <f t="shared" ref="M962:M1009" ca="1" si="31">IFERROR(TEXT(L962,"dd/mm/yyyy")&amp; " a " &amp; (TEXT(L962+6,"dd/mm/yyyy")),"")</f>
        <v>25/05/yyyy a 31/05/yyyy</v>
      </c>
    </row>
    <row r="963" spans="1:13" x14ac:dyDescent="0.3">
      <c r="A963" t="s">
        <v>15</v>
      </c>
      <c r="B963" t="s">
        <v>22</v>
      </c>
      <c r="C963">
        <v>45848</v>
      </c>
      <c r="D963">
        <v>45855</v>
      </c>
      <c r="E963">
        <v>3</v>
      </c>
      <c r="F963">
        <v>3</v>
      </c>
      <c r="G963">
        <v>10</v>
      </c>
      <c r="H963">
        <v>2</v>
      </c>
      <c r="I963">
        <v>0.5</v>
      </c>
      <c r="J963" t="s">
        <v>45</v>
      </c>
      <c r="K963">
        <v>1</v>
      </c>
      <c r="L963" s="17">
        <f t="shared" ca="1" si="30"/>
        <v>46174</v>
      </c>
      <c r="M963" s="6" t="str">
        <f t="shared" ca="1" si="31"/>
        <v>01/06/yyyy a 07/06/yyyy</v>
      </c>
    </row>
    <row r="964" spans="1:13" x14ac:dyDescent="0.3">
      <c r="A964" t="s">
        <v>15</v>
      </c>
      <c r="B964" t="s">
        <v>22</v>
      </c>
      <c r="C964">
        <v>45848</v>
      </c>
      <c r="D964">
        <v>45855</v>
      </c>
      <c r="E964">
        <v>3</v>
      </c>
      <c r="F964">
        <v>3</v>
      </c>
      <c r="G964">
        <v>10</v>
      </c>
      <c r="H964">
        <v>2</v>
      </c>
      <c r="I964">
        <v>0.5</v>
      </c>
      <c r="J964" t="s">
        <v>46</v>
      </c>
      <c r="K964">
        <v>2</v>
      </c>
      <c r="L964" s="17">
        <f t="shared" ca="1" si="30"/>
        <v>46181</v>
      </c>
      <c r="M964" s="6" t="str">
        <f t="shared" ca="1" si="31"/>
        <v>08/06/yyyy a 14/06/yyyy</v>
      </c>
    </row>
    <row r="965" spans="1:13" x14ac:dyDescent="0.3">
      <c r="A965" t="s">
        <v>15</v>
      </c>
      <c r="B965" t="s">
        <v>22</v>
      </c>
      <c r="C965">
        <v>45848</v>
      </c>
      <c r="D965">
        <v>45855</v>
      </c>
      <c r="E965">
        <v>3</v>
      </c>
      <c r="F965">
        <v>3</v>
      </c>
      <c r="G965">
        <v>10</v>
      </c>
      <c r="H965">
        <v>2</v>
      </c>
      <c r="I965">
        <v>0.5</v>
      </c>
      <c r="J965" t="s">
        <v>47</v>
      </c>
      <c r="K965">
        <v>0</v>
      </c>
      <c r="L965" s="17">
        <f t="shared" ca="1" si="30"/>
        <v>46188</v>
      </c>
      <c r="M965" s="6" t="str">
        <f t="shared" ca="1" si="31"/>
        <v>15/06/yyyy a 21/06/yyyy</v>
      </c>
    </row>
    <row r="966" spans="1:13" x14ac:dyDescent="0.3">
      <c r="A966" t="s">
        <v>15</v>
      </c>
      <c r="B966" t="s">
        <v>22</v>
      </c>
      <c r="C966">
        <v>45848</v>
      </c>
      <c r="D966">
        <v>45855</v>
      </c>
      <c r="E966">
        <v>3</v>
      </c>
      <c r="F966">
        <v>3</v>
      </c>
      <c r="G966">
        <v>10</v>
      </c>
      <c r="H966">
        <v>2</v>
      </c>
      <c r="I966">
        <v>0.5</v>
      </c>
      <c r="J966" t="s">
        <v>48</v>
      </c>
      <c r="K966">
        <v>0</v>
      </c>
      <c r="L966" s="17">
        <f t="shared" ca="1" si="30"/>
        <v>46195</v>
      </c>
      <c r="M966" s="6" t="str">
        <f t="shared" ca="1" si="31"/>
        <v>22/06/yyyy a 28/06/yyyy</v>
      </c>
    </row>
    <row r="967" spans="1:13" x14ac:dyDescent="0.3">
      <c r="A967" t="s">
        <v>15</v>
      </c>
      <c r="B967" t="s">
        <v>22</v>
      </c>
      <c r="C967">
        <v>45848</v>
      </c>
      <c r="D967">
        <v>45855</v>
      </c>
      <c r="E967">
        <v>3</v>
      </c>
      <c r="F967">
        <v>3</v>
      </c>
      <c r="G967">
        <v>10</v>
      </c>
      <c r="H967">
        <v>2</v>
      </c>
      <c r="I967">
        <v>0.5</v>
      </c>
      <c r="J967" t="s">
        <v>49</v>
      </c>
      <c r="K967">
        <v>0</v>
      </c>
      <c r="L967" s="17">
        <f t="shared" ca="1" si="30"/>
        <v>46202</v>
      </c>
      <c r="M967" s="6" t="str">
        <f t="shared" ca="1" si="31"/>
        <v>29/06/yyyy a 05/07/yyyy</v>
      </c>
    </row>
    <row r="968" spans="1:13" x14ac:dyDescent="0.3">
      <c r="A968" t="s">
        <v>15</v>
      </c>
      <c r="B968" t="s">
        <v>22</v>
      </c>
      <c r="C968">
        <v>45848</v>
      </c>
      <c r="D968">
        <v>45855</v>
      </c>
      <c r="E968">
        <v>3</v>
      </c>
      <c r="F968">
        <v>3</v>
      </c>
      <c r="G968">
        <v>10</v>
      </c>
      <c r="H968">
        <v>2</v>
      </c>
      <c r="I968">
        <v>0.5</v>
      </c>
      <c r="J968" t="s">
        <v>50</v>
      </c>
      <c r="K968">
        <v>0</v>
      </c>
      <c r="L968" s="17">
        <f t="shared" ca="1" si="30"/>
        <v>46209</v>
      </c>
      <c r="M968" s="6" t="str">
        <f t="shared" ca="1" si="31"/>
        <v>06/07/yyyy a 12/07/yyyy</v>
      </c>
    </row>
    <row r="969" spans="1:13" x14ac:dyDescent="0.3">
      <c r="A969" t="s">
        <v>15</v>
      </c>
      <c r="B969" t="s">
        <v>22</v>
      </c>
      <c r="C969">
        <v>45848</v>
      </c>
      <c r="D969">
        <v>45855</v>
      </c>
      <c r="E969">
        <v>3</v>
      </c>
      <c r="F969">
        <v>3</v>
      </c>
      <c r="G969">
        <v>10</v>
      </c>
      <c r="H969">
        <v>2</v>
      </c>
      <c r="I969">
        <v>0.5</v>
      </c>
      <c r="J969" t="s">
        <v>51</v>
      </c>
      <c r="K969">
        <v>0</v>
      </c>
      <c r="L969" s="17">
        <f t="shared" ca="1" si="30"/>
        <v>46216</v>
      </c>
      <c r="M969" s="6" t="str">
        <f t="shared" ca="1" si="31"/>
        <v>13/07/yyyy a 19/07/yyyy</v>
      </c>
    </row>
    <row r="970" spans="1:13" x14ac:dyDescent="0.3">
      <c r="A970" t="s">
        <v>15</v>
      </c>
      <c r="B970" t="s">
        <v>22</v>
      </c>
      <c r="C970">
        <v>45848</v>
      </c>
      <c r="D970">
        <v>45855</v>
      </c>
      <c r="E970">
        <v>3</v>
      </c>
      <c r="F970">
        <v>3</v>
      </c>
      <c r="G970">
        <v>10</v>
      </c>
      <c r="H970">
        <v>2</v>
      </c>
      <c r="I970">
        <v>0.5</v>
      </c>
      <c r="J970" t="s">
        <v>52</v>
      </c>
      <c r="K970">
        <v>0</v>
      </c>
      <c r="L970" s="17">
        <f t="shared" ca="1" si="30"/>
        <v>46223</v>
      </c>
      <c r="M970" s="6" t="str">
        <f t="shared" ca="1" si="31"/>
        <v>20/07/yyyy a 26/07/yyyy</v>
      </c>
    </row>
    <row r="971" spans="1:13" x14ac:dyDescent="0.3">
      <c r="A971" t="s">
        <v>15</v>
      </c>
      <c r="B971" t="s">
        <v>22</v>
      </c>
      <c r="C971">
        <v>45848</v>
      </c>
      <c r="D971">
        <v>45855</v>
      </c>
      <c r="E971">
        <v>3</v>
      </c>
      <c r="F971">
        <v>3</v>
      </c>
      <c r="G971">
        <v>10</v>
      </c>
      <c r="H971">
        <v>2</v>
      </c>
      <c r="I971">
        <v>0.5</v>
      </c>
      <c r="J971" t="s">
        <v>53</v>
      </c>
      <c r="K971">
        <v>0</v>
      </c>
      <c r="L971" s="17">
        <f t="shared" ca="1" si="30"/>
        <v>46167</v>
      </c>
      <c r="M971" s="6" t="str">
        <f t="shared" ca="1" si="31"/>
        <v>25/05/yyyy a 31/05/yyyy</v>
      </c>
    </row>
    <row r="972" spans="1:13" x14ac:dyDescent="0.3">
      <c r="A972" t="s">
        <v>15</v>
      </c>
      <c r="B972" t="s">
        <v>22</v>
      </c>
      <c r="C972">
        <v>45848</v>
      </c>
      <c r="D972">
        <v>45855</v>
      </c>
      <c r="E972">
        <v>3</v>
      </c>
      <c r="F972">
        <v>3</v>
      </c>
      <c r="G972">
        <v>10</v>
      </c>
      <c r="H972">
        <v>2</v>
      </c>
      <c r="I972">
        <v>0.5</v>
      </c>
      <c r="J972" t="s">
        <v>54</v>
      </c>
      <c r="K972">
        <v>0</v>
      </c>
      <c r="L972" s="17">
        <f t="shared" ca="1" si="30"/>
        <v>46167</v>
      </c>
      <c r="M972" s="6" t="str">
        <f t="shared" ca="1" si="31"/>
        <v>25/05/yyyy a 31/05/yyyy</v>
      </c>
    </row>
    <row r="973" spans="1:13" x14ac:dyDescent="0.3">
      <c r="A973" t="s">
        <v>15</v>
      </c>
      <c r="B973" t="s">
        <v>22</v>
      </c>
      <c r="C973">
        <v>45848</v>
      </c>
      <c r="D973">
        <v>45855</v>
      </c>
      <c r="E973">
        <v>3</v>
      </c>
      <c r="F973">
        <v>3</v>
      </c>
      <c r="G973">
        <v>10</v>
      </c>
      <c r="H973">
        <v>2</v>
      </c>
      <c r="I973">
        <v>0.5</v>
      </c>
      <c r="J973" t="s">
        <v>55</v>
      </c>
      <c r="K973">
        <v>0</v>
      </c>
      <c r="L973" s="17">
        <f t="shared" ca="1" si="30"/>
        <v>46167</v>
      </c>
      <c r="M973" s="6" t="str">
        <f t="shared" ca="1" si="31"/>
        <v>25/05/yyyy a 31/05/yyyy</v>
      </c>
    </row>
    <row r="974" spans="1:13" x14ac:dyDescent="0.3">
      <c r="A974" t="s">
        <v>15</v>
      </c>
      <c r="B974" t="s">
        <v>16</v>
      </c>
      <c r="C974">
        <v>45848</v>
      </c>
      <c r="D974">
        <v>45855</v>
      </c>
      <c r="E974">
        <v>2.5</v>
      </c>
      <c r="F974">
        <v>2.5</v>
      </c>
      <c r="G974">
        <v>10</v>
      </c>
      <c r="H974">
        <v>2</v>
      </c>
      <c r="I974">
        <v>0.41666666666666669</v>
      </c>
      <c r="J974" t="s">
        <v>44</v>
      </c>
      <c r="K974">
        <v>0</v>
      </c>
      <c r="L974" s="17">
        <f t="shared" ca="1" si="30"/>
        <v>46167</v>
      </c>
      <c r="M974" s="6" t="str">
        <f t="shared" ca="1" si="31"/>
        <v>25/05/yyyy a 31/05/yyyy</v>
      </c>
    </row>
    <row r="975" spans="1:13" x14ac:dyDescent="0.3">
      <c r="A975" t="s">
        <v>15</v>
      </c>
      <c r="B975" t="s">
        <v>16</v>
      </c>
      <c r="C975">
        <v>45848</v>
      </c>
      <c r="D975">
        <v>45855</v>
      </c>
      <c r="E975">
        <v>2.5</v>
      </c>
      <c r="F975">
        <v>2.5</v>
      </c>
      <c r="G975">
        <v>10</v>
      </c>
      <c r="H975">
        <v>2</v>
      </c>
      <c r="I975">
        <v>0.41666666666666669</v>
      </c>
      <c r="J975" t="s">
        <v>45</v>
      </c>
      <c r="K975">
        <v>0.83333333333333348</v>
      </c>
      <c r="L975" s="17">
        <f t="shared" ca="1" si="30"/>
        <v>46174</v>
      </c>
      <c r="M975" s="6" t="str">
        <f t="shared" ca="1" si="31"/>
        <v>01/06/yyyy a 07/06/yyyy</v>
      </c>
    </row>
    <row r="976" spans="1:13" x14ac:dyDescent="0.3">
      <c r="A976" t="s">
        <v>15</v>
      </c>
      <c r="B976" t="s">
        <v>16</v>
      </c>
      <c r="C976">
        <v>45848</v>
      </c>
      <c r="D976">
        <v>45855</v>
      </c>
      <c r="E976">
        <v>2.5</v>
      </c>
      <c r="F976">
        <v>2.5</v>
      </c>
      <c r="G976">
        <v>10</v>
      </c>
      <c r="H976">
        <v>2</v>
      </c>
      <c r="I976">
        <v>0.41666666666666669</v>
      </c>
      <c r="J976" t="s">
        <v>46</v>
      </c>
      <c r="K976">
        <v>1.6666666666666667</v>
      </c>
      <c r="L976" s="17">
        <f t="shared" ca="1" si="30"/>
        <v>46181</v>
      </c>
      <c r="M976" s="6" t="str">
        <f t="shared" ca="1" si="31"/>
        <v>08/06/yyyy a 14/06/yyyy</v>
      </c>
    </row>
    <row r="977" spans="1:13" x14ac:dyDescent="0.3">
      <c r="A977" t="s">
        <v>15</v>
      </c>
      <c r="B977" t="s">
        <v>16</v>
      </c>
      <c r="C977">
        <v>45848</v>
      </c>
      <c r="D977">
        <v>45855</v>
      </c>
      <c r="E977">
        <v>2.5</v>
      </c>
      <c r="F977">
        <v>2.5</v>
      </c>
      <c r="G977">
        <v>10</v>
      </c>
      <c r="H977">
        <v>2</v>
      </c>
      <c r="I977">
        <v>0.41666666666666669</v>
      </c>
      <c r="J977" t="s">
        <v>47</v>
      </c>
      <c r="K977">
        <v>0</v>
      </c>
      <c r="L977" s="17">
        <f t="shared" ca="1" si="30"/>
        <v>46188</v>
      </c>
      <c r="M977" s="6" t="str">
        <f t="shared" ca="1" si="31"/>
        <v>15/06/yyyy a 21/06/yyyy</v>
      </c>
    </row>
    <row r="978" spans="1:13" x14ac:dyDescent="0.3">
      <c r="A978" t="s">
        <v>15</v>
      </c>
      <c r="B978" t="s">
        <v>16</v>
      </c>
      <c r="C978">
        <v>45848</v>
      </c>
      <c r="D978">
        <v>45855</v>
      </c>
      <c r="E978">
        <v>2.5</v>
      </c>
      <c r="F978">
        <v>2.5</v>
      </c>
      <c r="G978">
        <v>10</v>
      </c>
      <c r="H978">
        <v>2</v>
      </c>
      <c r="I978">
        <v>0.41666666666666669</v>
      </c>
      <c r="J978" t="s">
        <v>48</v>
      </c>
      <c r="K978">
        <v>0</v>
      </c>
      <c r="L978" s="17">
        <f t="shared" ca="1" si="30"/>
        <v>46195</v>
      </c>
      <c r="M978" s="6" t="str">
        <f t="shared" ca="1" si="31"/>
        <v>22/06/yyyy a 28/06/yyyy</v>
      </c>
    </row>
    <row r="979" spans="1:13" x14ac:dyDescent="0.3">
      <c r="A979" t="s">
        <v>15</v>
      </c>
      <c r="B979" t="s">
        <v>16</v>
      </c>
      <c r="C979">
        <v>45848</v>
      </c>
      <c r="D979">
        <v>45855</v>
      </c>
      <c r="E979">
        <v>2.5</v>
      </c>
      <c r="F979">
        <v>2.5</v>
      </c>
      <c r="G979">
        <v>10</v>
      </c>
      <c r="H979">
        <v>2</v>
      </c>
      <c r="I979">
        <v>0.41666666666666669</v>
      </c>
      <c r="J979" t="s">
        <v>49</v>
      </c>
      <c r="K979">
        <v>0</v>
      </c>
      <c r="L979" s="17">
        <f t="shared" ca="1" si="30"/>
        <v>46202</v>
      </c>
      <c r="M979" s="6" t="str">
        <f t="shared" ca="1" si="31"/>
        <v>29/06/yyyy a 05/07/yyyy</v>
      </c>
    </row>
    <row r="980" spans="1:13" x14ac:dyDescent="0.3">
      <c r="A980" t="s">
        <v>15</v>
      </c>
      <c r="B980" t="s">
        <v>16</v>
      </c>
      <c r="C980">
        <v>45848</v>
      </c>
      <c r="D980">
        <v>45855</v>
      </c>
      <c r="E980">
        <v>2.5</v>
      </c>
      <c r="F980">
        <v>2.5</v>
      </c>
      <c r="G980">
        <v>10</v>
      </c>
      <c r="H980">
        <v>2</v>
      </c>
      <c r="I980">
        <v>0.41666666666666669</v>
      </c>
      <c r="J980" t="s">
        <v>50</v>
      </c>
      <c r="K980">
        <v>0</v>
      </c>
      <c r="L980" s="17">
        <f t="shared" ca="1" si="30"/>
        <v>46209</v>
      </c>
      <c r="M980" s="6" t="str">
        <f t="shared" ca="1" si="31"/>
        <v>06/07/yyyy a 12/07/yyyy</v>
      </c>
    </row>
    <row r="981" spans="1:13" x14ac:dyDescent="0.3">
      <c r="A981" t="s">
        <v>15</v>
      </c>
      <c r="B981" t="s">
        <v>16</v>
      </c>
      <c r="C981">
        <v>45848</v>
      </c>
      <c r="D981">
        <v>45855</v>
      </c>
      <c r="E981">
        <v>2.5</v>
      </c>
      <c r="F981">
        <v>2.5</v>
      </c>
      <c r="G981">
        <v>10</v>
      </c>
      <c r="H981">
        <v>2</v>
      </c>
      <c r="I981">
        <v>0.41666666666666669</v>
      </c>
      <c r="J981" t="s">
        <v>51</v>
      </c>
      <c r="K981">
        <v>0</v>
      </c>
      <c r="L981" s="17">
        <f t="shared" ca="1" si="30"/>
        <v>46216</v>
      </c>
      <c r="M981" s="6" t="str">
        <f t="shared" ca="1" si="31"/>
        <v>13/07/yyyy a 19/07/yyyy</v>
      </c>
    </row>
    <row r="982" spans="1:13" x14ac:dyDescent="0.3">
      <c r="A982" t="s">
        <v>15</v>
      </c>
      <c r="B982" t="s">
        <v>16</v>
      </c>
      <c r="C982">
        <v>45848</v>
      </c>
      <c r="D982">
        <v>45855</v>
      </c>
      <c r="E982">
        <v>2.5</v>
      </c>
      <c r="F982">
        <v>2.5</v>
      </c>
      <c r="G982">
        <v>10</v>
      </c>
      <c r="H982">
        <v>2</v>
      </c>
      <c r="I982">
        <v>0.41666666666666669</v>
      </c>
      <c r="J982" t="s">
        <v>52</v>
      </c>
      <c r="K982">
        <v>0</v>
      </c>
      <c r="L982" s="17">
        <f t="shared" ca="1" si="30"/>
        <v>46223</v>
      </c>
      <c r="M982" s="6" t="str">
        <f t="shared" ca="1" si="31"/>
        <v>20/07/yyyy a 26/07/yyyy</v>
      </c>
    </row>
    <row r="983" spans="1:13" x14ac:dyDescent="0.3">
      <c r="A983" t="s">
        <v>15</v>
      </c>
      <c r="B983" t="s">
        <v>16</v>
      </c>
      <c r="C983">
        <v>45848</v>
      </c>
      <c r="D983">
        <v>45855</v>
      </c>
      <c r="E983">
        <v>2.5</v>
      </c>
      <c r="F983">
        <v>2.5</v>
      </c>
      <c r="G983">
        <v>10</v>
      </c>
      <c r="H983">
        <v>2</v>
      </c>
      <c r="I983">
        <v>0.41666666666666669</v>
      </c>
      <c r="J983" t="s">
        <v>53</v>
      </c>
      <c r="K983">
        <v>0</v>
      </c>
      <c r="L983" s="17">
        <f t="shared" ca="1" si="30"/>
        <v>46167</v>
      </c>
      <c r="M983" s="6" t="str">
        <f t="shared" ca="1" si="31"/>
        <v>25/05/yyyy a 31/05/yyyy</v>
      </c>
    </row>
    <row r="984" spans="1:13" x14ac:dyDescent="0.3">
      <c r="A984" t="s">
        <v>15</v>
      </c>
      <c r="B984" t="s">
        <v>16</v>
      </c>
      <c r="C984">
        <v>45848</v>
      </c>
      <c r="D984">
        <v>45855</v>
      </c>
      <c r="E984">
        <v>2.5</v>
      </c>
      <c r="F984">
        <v>2.5</v>
      </c>
      <c r="G984">
        <v>10</v>
      </c>
      <c r="H984">
        <v>2</v>
      </c>
      <c r="I984">
        <v>0.41666666666666669</v>
      </c>
      <c r="J984" t="s">
        <v>54</v>
      </c>
      <c r="K984">
        <v>0</v>
      </c>
      <c r="L984" s="17">
        <f t="shared" ca="1" si="30"/>
        <v>46167</v>
      </c>
      <c r="M984" s="6" t="str">
        <f t="shared" ca="1" si="31"/>
        <v>25/05/yyyy a 31/05/yyyy</v>
      </c>
    </row>
    <row r="985" spans="1:13" x14ac:dyDescent="0.3">
      <c r="A985" t="s">
        <v>15</v>
      </c>
      <c r="B985" t="s">
        <v>16</v>
      </c>
      <c r="C985">
        <v>45848</v>
      </c>
      <c r="D985">
        <v>45855</v>
      </c>
      <c r="E985">
        <v>2.5</v>
      </c>
      <c r="F985">
        <v>2.5</v>
      </c>
      <c r="G985">
        <v>10</v>
      </c>
      <c r="H985">
        <v>2</v>
      </c>
      <c r="I985">
        <v>0.41666666666666669</v>
      </c>
      <c r="J985" t="s">
        <v>55</v>
      </c>
      <c r="K985">
        <v>0</v>
      </c>
      <c r="L985" s="17">
        <f t="shared" ca="1" si="30"/>
        <v>46167</v>
      </c>
      <c r="M985" s="6" t="str">
        <f t="shared" ca="1" si="31"/>
        <v>25/05/yyyy a 31/05/yyyy</v>
      </c>
    </row>
    <row r="986" spans="1:13" x14ac:dyDescent="0.3">
      <c r="A986" t="s">
        <v>15</v>
      </c>
      <c r="B986" t="s">
        <v>25</v>
      </c>
      <c r="C986">
        <v>45848</v>
      </c>
      <c r="D986">
        <v>45855</v>
      </c>
      <c r="E986">
        <v>10</v>
      </c>
      <c r="F986">
        <v>10</v>
      </c>
      <c r="G986">
        <v>10</v>
      </c>
      <c r="H986">
        <v>2</v>
      </c>
      <c r="I986">
        <v>1.6666666666666667</v>
      </c>
      <c r="J986" t="s">
        <v>44</v>
      </c>
      <c r="K986">
        <v>0</v>
      </c>
      <c r="L986" s="17">
        <f t="shared" ca="1" si="30"/>
        <v>46167</v>
      </c>
      <c r="M986" s="6" t="str">
        <f t="shared" ca="1" si="31"/>
        <v>25/05/yyyy a 31/05/yyyy</v>
      </c>
    </row>
    <row r="987" spans="1:13" x14ac:dyDescent="0.3">
      <c r="A987" t="s">
        <v>15</v>
      </c>
      <c r="B987" t="s">
        <v>25</v>
      </c>
      <c r="C987">
        <v>45848</v>
      </c>
      <c r="D987">
        <v>45855</v>
      </c>
      <c r="E987">
        <v>10</v>
      </c>
      <c r="F987">
        <v>10</v>
      </c>
      <c r="G987">
        <v>10</v>
      </c>
      <c r="H987">
        <v>2</v>
      </c>
      <c r="I987">
        <v>1.6666666666666667</v>
      </c>
      <c r="J987" t="s">
        <v>45</v>
      </c>
      <c r="K987">
        <v>3.3333333333333339</v>
      </c>
      <c r="L987" s="17">
        <f t="shared" ca="1" si="30"/>
        <v>46174</v>
      </c>
      <c r="M987" s="6" t="str">
        <f t="shared" ca="1" si="31"/>
        <v>01/06/yyyy a 07/06/yyyy</v>
      </c>
    </row>
    <row r="988" spans="1:13" x14ac:dyDescent="0.3">
      <c r="A988" t="s">
        <v>15</v>
      </c>
      <c r="B988" t="s">
        <v>25</v>
      </c>
      <c r="C988">
        <v>45848</v>
      </c>
      <c r="D988">
        <v>45855</v>
      </c>
      <c r="E988">
        <v>10</v>
      </c>
      <c r="F988">
        <v>10</v>
      </c>
      <c r="G988">
        <v>10</v>
      </c>
      <c r="H988">
        <v>2</v>
      </c>
      <c r="I988">
        <v>1.6666666666666667</v>
      </c>
      <c r="J988" t="s">
        <v>46</v>
      </c>
      <c r="K988">
        <v>6.666666666666667</v>
      </c>
      <c r="L988" s="17">
        <f t="shared" ca="1" si="30"/>
        <v>46181</v>
      </c>
      <c r="M988" s="6" t="str">
        <f t="shared" ca="1" si="31"/>
        <v>08/06/yyyy a 14/06/yyyy</v>
      </c>
    </row>
    <row r="989" spans="1:13" x14ac:dyDescent="0.3">
      <c r="A989" t="s">
        <v>15</v>
      </c>
      <c r="B989" t="s">
        <v>25</v>
      </c>
      <c r="C989">
        <v>45848</v>
      </c>
      <c r="D989">
        <v>45855</v>
      </c>
      <c r="E989">
        <v>10</v>
      </c>
      <c r="F989">
        <v>10</v>
      </c>
      <c r="G989">
        <v>10</v>
      </c>
      <c r="H989">
        <v>2</v>
      </c>
      <c r="I989">
        <v>1.6666666666666667</v>
      </c>
      <c r="J989" t="s">
        <v>47</v>
      </c>
      <c r="K989">
        <v>0</v>
      </c>
      <c r="L989" s="17">
        <f t="shared" ca="1" si="30"/>
        <v>46188</v>
      </c>
      <c r="M989" s="6" t="str">
        <f t="shared" ca="1" si="31"/>
        <v>15/06/yyyy a 21/06/yyyy</v>
      </c>
    </row>
    <row r="990" spans="1:13" x14ac:dyDescent="0.3">
      <c r="A990" t="s">
        <v>15</v>
      </c>
      <c r="B990" t="s">
        <v>25</v>
      </c>
      <c r="C990">
        <v>45848</v>
      </c>
      <c r="D990">
        <v>45855</v>
      </c>
      <c r="E990">
        <v>10</v>
      </c>
      <c r="F990">
        <v>10</v>
      </c>
      <c r="G990">
        <v>10</v>
      </c>
      <c r="H990">
        <v>2</v>
      </c>
      <c r="I990">
        <v>1.6666666666666667</v>
      </c>
      <c r="J990" t="s">
        <v>48</v>
      </c>
      <c r="K990">
        <v>0</v>
      </c>
      <c r="L990" s="17">
        <f t="shared" ca="1" si="30"/>
        <v>46195</v>
      </c>
      <c r="M990" s="6" t="str">
        <f t="shared" ca="1" si="31"/>
        <v>22/06/yyyy a 28/06/yyyy</v>
      </c>
    </row>
    <row r="991" spans="1:13" x14ac:dyDescent="0.3">
      <c r="A991" t="s">
        <v>15</v>
      </c>
      <c r="B991" t="s">
        <v>25</v>
      </c>
      <c r="C991">
        <v>45848</v>
      </c>
      <c r="D991">
        <v>45855</v>
      </c>
      <c r="E991">
        <v>10</v>
      </c>
      <c r="F991">
        <v>10</v>
      </c>
      <c r="G991">
        <v>10</v>
      </c>
      <c r="H991">
        <v>2</v>
      </c>
      <c r="I991">
        <v>1.6666666666666667</v>
      </c>
      <c r="J991" t="s">
        <v>49</v>
      </c>
      <c r="K991">
        <v>0</v>
      </c>
      <c r="L991" s="17">
        <f t="shared" ca="1" si="30"/>
        <v>46202</v>
      </c>
      <c r="M991" s="6" t="str">
        <f t="shared" ca="1" si="31"/>
        <v>29/06/yyyy a 05/07/yyyy</v>
      </c>
    </row>
    <row r="992" spans="1:13" x14ac:dyDescent="0.3">
      <c r="A992" t="s">
        <v>15</v>
      </c>
      <c r="B992" t="s">
        <v>25</v>
      </c>
      <c r="C992">
        <v>45848</v>
      </c>
      <c r="D992">
        <v>45855</v>
      </c>
      <c r="E992">
        <v>10</v>
      </c>
      <c r="F992">
        <v>10</v>
      </c>
      <c r="G992">
        <v>10</v>
      </c>
      <c r="H992">
        <v>2</v>
      </c>
      <c r="I992">
        <v>1.6666666666666667</v>
      </c>
      <c r="J992" t="s">
        <v>50</v>
      </c>
      <c r="K992">
        <v>0</v>
      </c>
      <c r="L992" s="17">
        <f t="shared" ca="1" si="30"/>
        <v>46209</v>
      </c>
      <c r="M992" s="6" t="str">
        <f t="shared" ca="1" si="31"/>
        <v>06/07/yyyy a 12/07/yyyy</v>
      </c>
    </row>
    <row r="993" spans="1:13" x14ac:dyDescent="0.3">
      <c r="A993" t="s">
        <v>15</v>
      </c>
      <c r="B993" t="s">
        <v>25</v>
      </c>
      <c r="C993">
        <v>45848</v>
      </c>
      <c r="D993">
        <v>45855</v>
      </c>
      <c r="E993">
        <v>10</v>
      </c>
      <c r="F993">
        <v>10</v>
      </c>
      <c r="G993">
        <v>10</v>
      </c>
      <c r="H993">
        <v>2</v>
      </c>
      <c r="I993">
        <v>1.6666666666666667</v>
      </c>
      <c r="J993" t="s">
        <v>51</v>
      </c>
      <c r="K993">
        <v>0</v>
      </c>
      <c r="L993" s="17">
        <f t="shared" ca="1" si="30"/>
        <v>46216</v>
      </c>
      <c r="M993" s="6" t="str">
        <f t="shared" ca="1" si="31"/>
        <v>13/07/yyyy a 19/07/yyyy</v>
      </c>
    </row>
    <row r="994" spans="1:13" x14ac:dyDescent="0.3">
      <c r="A994" t="s">
        <v>15</v>
      </c>
      <c r="B994" t="s">
        <v>25</v>
      </c>
      <c r="C994">
        <v>45848</v>
      </c>
      <c r="D994">
        <v>45855</v>
      </c>
      <c r="E994">
        <v>10</v>
      </c>
      <c r="F994">
        <v>10</v>
      </c>
      <c r="G994">
        <v>10</v>
      </c>
      <c r="H994">
        <v>2</v>
      </c>
      <c r="I994">
        <v>1.6666666666666667</v>
      </c>
      <c r="J994" t="s">
        <v>52</v>
      </c>
      <c r="K994">
        <v>0</v>
      </c>
      <c r="L994" s="17">
        <f t="shared" ca="1" si="30"/>
        <v>46223</v>
      </c>
      <c r="M994" s="6" t="str">
        <f t="shared" ca="1" si="31"/>
        <v>20/07/yyyy a 26/07/yyyy</v>
      </c>
    </row>
    <row r="995" spans="1:13" x14ac:dyDescent="0.3">
      <c r="A995" t="s">
        <v>15</v>
      </c>
      <c r="B995" t="s">
        <v>25</v>
      </c>
      <c r="C995">
        <v>45848</v>
      </c>
      <c r="D995">
        <v>45855</v>
      </c>
      <c r="E995">
        <v>10</v>
      </c>
      <c r="F995">
        <v>10</v>
      </c>
      <c r="G995">
        <v>10</v>
      </c>
      <c r="H995">
        <v>2</v>
      </c>
      <c r="I995">
        <v>1.6666666666666667</v>
      </c>
      <c r="J995" t="s">
        <v>53</v>
      </c>
      <c r="K995">
        <v>0</v>
      </c>
      <c r="L995" s="17">
        <f t="shared" ca="1" si="30"/>
        <v>46167</v>
      </c>
      <c r="M995" s="6" t="str">
        <f t="shared" ca="1" si="31"/>
        <v>25/05/yyyy a 31/05/yyyy</v>
      </c>
    </row>
    <row r="996" spans="1:13" x14ac:dyDescent="0.3">
      <c r="A996" t="s">
        <v>15</v>
      </c>
      <c r="B996" t="s">
        <v>25</v>
      </c>
      <c r="C996">
        <v>45848</v>
      </c>
      <c r="D996">
        <v>45855</v>
      </c>
      <c r="E996">
        <v>10</v>
      </c>
      <c r="F996">
        <v>10</v>
      </c>
      <c r="G996">
        <v>10</v>
      </c>
      <c r="H996">
        <v>2</v>
      </c>
      <c r="I996">
        <v>1.6666666666666667</v>
      </c>
      <c r="J996" t="s">
        <v>54</v>
      </c>
      <c r="K996">
        <v>0</v>
      </c>
      <c r="L996" s="17">
        <f t="shared" ca="1" si="30"/>
        <v>46167</v>
      </c>
      <c r="M996" s="6" t="str">
        <f t="shared" ca="1" si="31"/>
        <v>25/05/yyyy a 31/05/yyyy</v>
      </c>
    </row>
    <row r="997" spans="1:13" x14ac:dyDescent="0.3">
      <c r="A997" t="s">
        <v>15</v>
      </c>
      <c r="B997" t="s">
        <v>25</v>
      </c>
      <c r="C997">
        <v>45848</v>
      </c>
      <c r="D997">
        <v>45855</v>
      </c>
      <c r="E997">
        <v>10</v>
      </c>
      <c r="F997">
        <v>10</v>
      </c>
      <c r="G997">
        <v>10</v>
      </c>
      <c r="H997">
        <v>2</v>
      </c>
      <c r="I997">
        <v>1.6666666666666667</v>
      </c>
      <c r="J997" t="s">
        <v>55</v>
      </c>
      <c r="K997">
        <v>0</v>
      </c>
      <c r="L997" s="17">
        <f t="shared" ca="1" si="30"/>
        <v>46167</v>
      </c>
      <c r="M997" s="6" t="str">
        <f t="shared" ca="1" si="31"/>
        <v>25/05/yyyy a 31/05/yyyy</v>
      </c>
    </row>
    <row r="998" spans="1:13" x14ac:dyDescent="0.3">
      <c r="A998" t="s">
        <v>15</v>
      </c>
      <c r="B998" t="s">
        <v>18</v>
      </c>
      <c r="C998">
        <v>45862</v>
      </c>
      <c r="D998">
        <v>45869</v>
      </c>
      <c r="E998">
        <v>3</v>
      </c>
      <c r="F998">
        <v>3</v>
      </c>
      <c r="G998">
        <v>20</v>
      </c>
      <c r="H998">
        <v>4</v>
      </c>
      <c r="I998">
        <v>0.5</v>
      </c>
      <c r="J998" t="s">
        <v>44</v>
      </c>
      <c r="K998">
        <v>0</v>
      </c>
      <c r="L998" s="17">
        <f t="shared" ca="1" si="30"/>
        <v>46167</v>
      </c>
      <c r="M998" s="6" t="str">
        <f t="shared" ca="1" si="31"/>
        <v>25/05/yyyy a 31/05/yyyy</v>
      </c>
    </row>
    <row r="999" spans="1:13" x14ac:dyDescent="0.3">
      <c r="A999" t="s">
        <v>15</v>
      </c>
      <c r="B999" t="s">
        <v>18</v>
      </c>
      <c r="C999">
        <v>45862</v>
      </c>
      <c r="D999">
        <v>45869</v>
      </c>
      <c r="E999">
        <v>3</v>
      </c>
      <c r="F999">
        <v>3</v>
      </c>
      <c r="G999">
        <v>20</v>
      </c>
      <c r="H999">
        <v>4</v>
      </c>
      <c r="I999">
        <v>0.5</v>
      </c>
      <c r="J999" t="s">
        <v>45</v>
      </c>
      <c r="K999">
        <v>0</v>
      </c>
      <c r="L999" s="17">
        <f t="shared" ca="1" si="30"/>
        <v>46174</v>
      </c>
      <c r="M999" s="6" t="str">
        <f t="shared" ca="1" si="31"/>
        <v>01/06/yyyy a 07/06/yyyy</v>
      </c>
    </row>
    <row r="1000" spans="1:13" x14ac:dyDescent="0.3">
      <c r="A1000" t="s">
        <v>15</v>
      </c>
      <c r="B1000" t="s">
        <v>18</v>
      </c>
      <c r="C1000">
        <v>45862</v>
      </c>
      <c r="D1000">
        <v>45869</v>
      </c>
      <c r="E1000">
        <v>3</v>
      </c>
      <c r="F1000">
        <v>3</v>
      </c>
      <c r="G1000">
        <v>20</v>
      </c>
      <c r="H1000">
        <v>4</v>
      </c>
      <c r="I1000">
        <v>0.5</v>
      </c>
      <c r="J1000" t="s">
        <v>46</v>
      </c>
      <c r="K1000">
        <v>0</v>
      </c>
      <c r="L1000" s="17">
        <f t="shared" ca="1" si="30"/>
        <v>46181</v>
      </c>
      <c r="M1000" s="6" t="str">
        <f t="shared" ca="1" si="31"/>
        <v>08/06/yyyy a 14/06/yyyy</v>
      </c>
    </row>
    <row r="1001" spans="1:13" x14ac:dyDescent="0.3">
      <c r="A1001" t="s">
        <v>15</v>
      </c>
      <c r="B1001" t="s">
        <v>18</v>
      </c>
      <c r="C1001">
        <v>45862</v>
      </c>
      <c r="D1001">
        <v>45869</v>
      </c>
      <c r="E1001">
        <v>3</v>
      </c>
      <c r="F1001">
        <v>3</v>
      </c>
      <c r="G1001">
        <v>20</v>
      </c>
      <c r="H1001">
        <v>4</v>
      </c>
      <c r="I1001">
        <v>0.5</v>
      </c>
      <c r="J1001" t="s">
        <v>47</v>
      </c>
      <c r="K1001">
        <v>1</v>
      </c>
      <c r="L1001" s="17">
        <f t="shared" ca="1" si="30"/>
        <v>46188</v>
      </c>
      <c r="M1001" s="6" t="str">
        <f t="shared" ca="1" si="31"/>
        <v>15/06/yyyy a 21/06/yyyy</v>
      </c>
    </row>
    <row r="1002" spans="1:13" x14ac:dyDescent="0.3">
      <c r="A1002" t="s">
        <v>15</v>
      </c>
      <c r="B1002" t="s">
        <v>18</v>
      </c>
      <c r="C1002">
        <v>45862</v>
      </c>
      <c r="D1002">
        <v>45869</v>
      </c>
      <c r="E1002">
        <v>3</v>
      </c>
      <c r="F1002">
        <v>3</v>
      </c>
      <c r="G1002">
        <v>20</v>
      </c>
      <c r="H1002">
        <v>4</v>
      </c>
      <c r="I1002">
        <v>0.5</v>
      </c>
      <c r="J1002" t="s">
        <v>48</v>
      </c>
      <c r="K1002">
        <v>2</v>
      </c>
      <c r="L1002" s="17">
        <f t="shared" ca="1" si="30"/>
        <v>46195</v>
      </c>
      <c r="M1002" s="6" t="str">
        <f t="shared" ca="1" si="31"/>
        <v>22/06/yyyy a 28/06/yyyy</v>
      </c>
    </row>
    <row r="1003" spans="1:13" x14ac:dyDescent="0.3">
      <c r="A1003" t="s">
        <v>15</v>
      </c>
      <c r="B1003" t="s">
        <v>18</v>
      </c>
      <c r="C1003">
        <v>45862</v>
      </c>
      <c r="D1003">
        <v>45869</v>
      </c>
      <c r="E1003">
        <v>3</v>
      </c>
      <c r="F1003">
        <v>3</v>
      </c>
      <c r="G1003">
        <v>20</v>
      </c>
      <c r="H1003">
        <v>4</v>
      </c>
      <c r="I1003">
        <v>0.5</v>
      </c>
      <c r="J1003" t="s">
        <v>49</v>
      </c>
      <c r="K1003">
        <v>0</v>
      </c>
      <c r="L1003" s="17">
        <f t="shared" ca="1" si="30"/>
        <v>46202</v>
      </c>
      <c r="M1003" s="6" t="str">
        <f t="shared" ca="1" si="31"/>
        <v>29/06/yyyy a 05/07/yyyy</v>
      </c>
    </row>
    <row r="1004" spans="1:13" x14ac:dyDescent="0.3">
      <c r="A1004" t="s">
        <v>15</v>
      </c>
      <c r="B1004" t="s">
        <v>18</v>
      </c>
      <c r="C1004">
        <v>45862</v>
      </c>
      <c r="D1004">
        <v>45869</v>
      </c>
      <c r="E1004">
        <v>3</v>
      </c>
      <c r="F1004">
        <v>3</v>
      </c>
      <c r="G1004">
        <v>20</v>
      </c>
      <c r="H1004">
        <v>4</v>
      </c>
      <c r="I1004">
        <v>0.5</v>
      </c>
      <c r="J1004" t="s">
        <v>50</v>
      </c>
      <c r="K1004">
        <v>0</v>
      </c>
      <c r="L1004" s="17">
        <f t="shared" ca="1" si="30"/>
        <v>46209</v>
      </c>
      <c r="M1004" s="6" t="str">
        <f t="shared" ca="1" si="31"/>
        <v>06/07/yyyy a 12/07/yyyy</v>
      </c>
    </row>
    <row r="1005" spans="1:13" x14ac:dyDescent="0.3">
      <c r="A1005" t="s">
        <v>15</v>
      </c>
      <c r="B1005" t="s">
        <v>18</v>
      </c>
      <c r="C1005">
        <v>45862</v>
      </c>
      <c r="D1005">
        <v>45869</v>
      </c>
      <c r="E1005">
        <v>3</v>
      </c>
      <c r="F1005">
        <v>3</v>
      </c>
      <c r="G1005">
        <v>20</v>
      </c>
      <c r="H1005">
        <v>4</v>
      </c>
      <c r="I1005">
        <v>0.5</v>
      </c>
      <c r="J1005" t="s">
        <v>51</v>
      </c>
      <c r="K1005">
        <v>0</v>
      </c>
      <c r="L1005" s="17">
        <f t="shared" ca="1" si="30"/>
        <v>46216</v>
      </c>
      <c r="M1005" s="6" t="str">
        <f t="shared" ca="1" si="31"/>
        <v>13/07/yyyy a 19/07/yyyy</v>
      </c>
    </row>
    <row r="1006" spans="1:13" x14ac:dyDescent="0.3">
      <c r="A1006" t="s">
        <v>15</v>
      </c>
      <c r="B1006" t="s">
        <v>18</v>
      </c>
      <c r="C1006">
        <v>45862</v>
      </c>
      <c r="D1006">
        <v>45869</v>
      </c>
      <c r="E1006">
        <v>3</v>
      </c>
      <c r="F1006">
        <v>3</v>
      </c>
      <c r="G1006">
        <v>20</v>
      </c>
      <c r="H1006">
        <v>4</v>
      </c>
      <c r="I1006">
        <v>0.5</v>
      </c>
      <c r="J1006" t="s">
        <v>52</v>
      </c>
      <c r="K1006">
        <v>0</v>
      </c>
      <c r="L1006" s="17">
        <f t="shared" ca="1" si="30"/>
        <v>46223</v>
      </c>
      <c r="M1006" s="6" t="str">
        <f t="shared" ca="1" si="31"/>
        <v>20/07/yyyy a 26/07/yyyy</v>
      </c>
    </row>
    <row r="1007" spans="1:13" x14ac:dyDescent="0.3">
      <c r="A1007" t="s">
        <v>15</v>
      </c>
      <c r="B1007" t="s">
        <v>18</v>
      </c>
      <c r="C1007">
        <v>45862</v>
      </c>
      <c r="D1007">
        <v>45869</v>
      </c>
      <c r="E1007">
        <v>3</v>
      </c>
      <c r="F1007">
        <v>3</v>
      </c>
      <c r="G1007">
        <v>20</v>
      </c>
      <c r="H1007">
        <v>4</v>
      </c>
      <c r="I1007">
        <v>0.5</v>
      </c>
      <c r="J1007" t="s">
        <v>53</v>
      </c>
      <c r="K1007">
        <v>0</v>
      </c>
      <c r="L1007" s="17">
        <f t="shared" ca="1" si="30"/>
        <v>46167</v>
      </c>
      <c r="M1007" s="6" t="str">
        <f t="shared" ca="1" si="31"/>
        <v>25/05/yyyy a 31/05/yyyy</v>
      </c>
    </row>
    <row r="1008" spans="1:13" x14ac:dyDescent="0.3">
      <c r="A1008" t="s">
        <v>15</v>
      </c>
      <c r="B1008" t="s">
        <v>18</v>
      </c>
      <c r="C1008">
        <v>45862</v>
      </c>
      <c r="D1008">
        <v>45869</v>
      </c>
      <c r="E1008">
        <v>3</v>
      </c>
      <c r="F1008">
        <v>3</v>
      </c>
      <c r="G1008">
        <v>20</v>
      </c>
      <c r="H1008">
        <v>4</v>
      </c>
      <c r="I1008">
        <v>0.5</v>
      </c>
      <c r="J1008" t="s">
        <v>54</v>
      </c>
      <c r="K1008">
        <v>0</v>
      </c>
      <c r="L1008" s="17">
        <f t="shared" ca="1" si="30"/>
        <v>46167</v>
      </c>
      <c r="M1008" s="6" t="str">
        <f t="shared" ca="1" si="31"/>
        <v>25/05/yyyy a 31/05/yyyy</v>
      </c>
    </row>
    <row r="1009" spans="1:13" x14ac:dyDescent="0.3">
      <c r="A1009" t="s">
        <v>15</v>
      </c>
      <c r="B1009" t="s">
        <v>18</v>
      </c>
      <c r="C1009">
        <v>45862</v>
      </c>
      <c r="D1009">
        <v>45869</v>
      </c>
      <c r="E1009">
        <v>3</v>
      </c>
      <c r="F1009">
        <v>3</v>
      </c>
      <c r="G1009">
        <v>20</v>
      </c>
      <c r="H1009">
        <v>4</v>
      </c>
      <c r="I1009">
        <v>0.5</v>
      </c>
      <c r="J1009" t="s">
        <v>55</v>
      </c>
      <c r="K1009">
        <v>0</v>
      </c>
      <c r="L1009" s="17">
        <f t="shared" ca="1" si="30"/>
        <v>46167</v>
      </c>
      <c r="M1009" s="6" t="str">
        <f t="shared" ca="1" si="31"/>
        <v>25/05/yyyy a 31/05/yyyy</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C469-1EFD-4D00-B323-4D17718533AE}">
  <dimension ref="A1:X300"/>
  <sheetViews>
    <sheetView topLeftCell="B3" zoomScale="102" zoomScaleNormal="100" workbookViewId="0">
      <selection activeCell="H11" sqref="H11"/>
    </sheetView>
  </sheetViews>
  <sheetFormatPr baseColWidth="10" defaultColWidth="11.44140625" defaultRowHeight="14.4" x14ac:dyDescent="0.3"/>
  <cols>
    <col min="1" max="1" width="22.6640625" bestFit="1" customWidth="1"/>
    <col min="2" max="2" width="37" bestFit="1" customWidth="1"/>
    <col min="3" max="3" width="17.6640625" style="79" bestFit="1" customWidth="1"/>
    <col min="4" max="4" width="14.5546875" style="79" customWidth="1"/>
    <col min="5" max="6" width="18.109375" customWidth="1"/>
    <col min="7" max="7" width="11.6640625" bestFit="1" customWidth="1"/>
    <col min="8" max="9" width="11.33203125" style="1" customWidth="1"/>
    <col min="10" max="10" width="7.5546875" bestFit="1" customWidth="1"/>
    <col min="11" max="11" width="6.6640625" customWidth="1"/>
    <col min="12" max="12" width="7.88671875" bestFit="1" customWidth="1"/>
    <col min="13" max="21" width="5.6640625" customWidth="1"/>
    <col min="22" max="22" width="5.6640625" style="90" customWidth="1"/>
    <col min="23" max="23" width="0" style="90" hidden="1" customWidth="1"/>
    <col min="24" max="24" width="11.5546875" style="90" hidden="1" customWidth="1"/>
    <col min="25" max="25" width="10.44140625" style="90" customWidth="1"/>
    <col min="26" max="26" width="15.88671875" style="90" customWidth="1"/>
    <col min="27" max="27" width="23" style="90" bestFit="1" customWidth="1"/>
    <col min="28" max="16384" width="11.44140625" style="90"/>
  </cols>
  <sheetData>
    <row r="1" spans="1:24" hidden="1" x14ac:dyDescent="0.3">
      <c r="A1" s="90"/>
      <c r="B1" s="90"/>
      <c r="C1" s="90"/>
      <c r="D1" s="90"/>
      <c r="E1" s="90"/>
      <c r="F1" s="90"/>
      <c r="G1" s="90"/>
      <c r="H1" s="90"/>
      <c r="I1" s="90"/>
      <c r="J1" s="90"/>
      <c r="K1" s="90"/>
      <c r="L1" s="90"/>
      <c r="M1" s="90"/>
      <c r="N1" s="90"/>
      <c r="O1" s="90"/>
      <c r="P1" s="90"/>
      <c r="Q1" s="90"/>
      <c r="R1" s="90"/>
      <c r="S1" s="90"/>
      <c r="T1" s="90"/>
      <c r="U1" s="90"/>
    </row>
    <row r="2" spans="1:24" ht="49.5" hidden="1" customHeight="1" thickBot="1" x14ac:dyDescent="0.35">
      <c r="A2" s="90"/>
      <c r="B2" s="90"/>
      <c r="C2" s="90"/>
      <c r="D2" s="90"/>
      <c r="E2" s="90"/>
      <c r="F2" s="90"/>
      <c r="G2" s="90"/>
      <c r="H2" s="91"/>
      <c r="I2" s="91"/>
      <c r="J2" s="91"/>
      <c r="K2" s="91"/>
      <c r="L2" s="91"/>
      <c r="M2" s="91"/>
      <c r="N2" s="91"/>
      <c r="O2" s="91"/>
      <c r="P2" s="91"/>
      <c r="Q2" s="91"/>
      <c r="R2" s="91"/>
      <c r="S2" s="91"/>
      <c r="T2" s="91"/>
      <c r="U2" s="91"/>
      <c r="V2" s="91"/>
      <c r="W2" s="91"/>
    </row>
    <row r="3" spans="1:24" ht="46.2" customHeight="1" thickBot="1" x14ac:dyDescent="0.35">
      <c r="A3" s="114" t="s">
        <v>58</v>
      </c>
      <c r="B3" s="115"/>
      <c r="C3" s="115"/>
      <c r="D3" s="115"/>
      <c r="E3" s="116"/>
      <c r="F3" s="115" t="s">
        <v>59</v>
      </c>
      <c r="G3" s="115"/>
      <c r="H3" s="115"/>
      <c r="I3" s="116"/>
      <c r="J3" s="39">
        <f ca="1">TODAY()-MOD(TODAY()-2,7)</f>
        <v>46167</v>
      </c>
      <c r="K3" s="40">
        <f t="shared" ref="K3:U3" ca="1" si="0">J3+7</f>
        <v>46174</v>
      </c>
      <c r="L3" s="40">
        <f t="shared" ca="1" si="0"/>
        <v>46181</v>
      </c>
      <c r="M3" s="41">
        <f t="shared" ca="1" si="0"/>
        <v>46188</v>
      </c>
      <c r="N3" s="42">
        <f t="shared" ca="1" si="0"/>
        <v>46195</v>
      </c>
      <c r="O3" s="40">
        <f t="shared" ca="1" si="0"/>
        <v>46202</v>
      </c>
      <c r="P3" s="40">
        <f t="shared" ca="1" si="0"/>
        <v>46209</v>
      </c>
      <c r="Q3" s="41">
        <f t="shared" ca="1" si="0"/>
        <v>46216</v>
      </c>
      <c r="R3" s="42">
        <f t="shared" ca="1" si="0"/>
        <v>46223</v>
      </c>
      <c r="S3" s="40">
        <f t="shared" ca="1" si="0"/>
        <v>46230</v>
      </c>
      <c r="T3" s="40">
        <f t="shared" ca="1" si="0"/>
        <v>46237</v>
      </c>
      <c r="U3" s="41">
        <f t="shared" ca="1" si="0"/>
        <v>46244</v>
      </c>
      <c r="V3" s="92"/>
    </row>
    <row r="4" spans="1:24" ht="37.950000000000003" customHeight="1" thickBot="1" x14ac:dyDescent="0.35">
      <c r="A4" s="43" t="s">
        <v>4</v>
      </c>
      <c r="B4" s="44" t="s">
        <v>5</v>
      </c>
      <c r="C4" s="45" t="s">
        <v>6</v>
      </c>
      <c r="D4" s="44" t="s">
        <v>7</v>
      </c>
      <c r="E4" s="46" t="s">
        <v>8</v>
      </c>
      <c r="F4" s="47" t="s">
        <v>34</v>
      </c>
      <c r="G4" s="48" t="s">
        <v>35</v>
      </c>
      <c r="H4" s="48" t="s">
        <v>36</v>
      </c>
      <c r="I4" s="48" t="s">
        <v>37</v>
      </c>
      <c r="J4" s="49" t="s">
        <v>44</v>
      </c>
      <c r="K4" s="50" t="s">
        <v>45</v>
      </c>
      <c r="L4" s="50" t="s">
        <v>46</v>
      </c>
      <c r="M4" s="50" t="s">
        <v>47</v>
      </c>
      <c r="N4" s="50" t="s">
        <v>48</v>
      </c>
      <c r="O4" s="50" t="s">
        <v>49</v>
      </c>
      <c r="P4" s="50" t="s">
        <v>50</v>
      </c>
      <c r="Q4" s="50" t="s">
        <v>51</v>
      </c>
      <c r="R4" s="50" t="s">
        <v>52</v>
      </c>
      <c r="S4" s="50" t="s">
        <v>53</v>
      </c>
      <c r="T4" s="50" t="s">
        <v>54</v>
      </c>
      <c r="U4" s="50" t="s">
        <v>55</v>
      </c>
      <c r="V4" s="93"/>
    </row>
    <row r="5" spans="1:24" ht="15" thickBot="1" x14ac:dyDescent="0.35">
      <c r="A5" s="51" t="str" cm="1">
        <f t="array" ref="A5:E87">_xlfn._xlws.SORT(_xlfn._xlws.FILTER(CHOOSE({1,2,3,4,5}, Registro!A2:A99986, Registro!B2:B99986,Registro!C2:C99986,Registro!D2:D99986, Registro!E2:E99986), Registro!F2:F99986="Vigente"), 1, TRUE)</f>
        <v>Camila González</v>
      </c>
      <c r="B5" s="52" t="str">
        <v>Reclutamiento y selección</v>
      </c>
      <c r="C5" s="53">
        <v>45841</v>
      </c>
      <c r="D5" s="53">
        <v>45848</v>
      </c>
      <c r="E5" s="54">
        <v>6</v>
      </c>
      <c r="F5" s="55">
        <f ca="1">IF(E5="","",E5-IF(TODAY()&lt;C5,0,(TODAY()-C5)*I5))</f>
        <v>-321</v>
      </c>
      <c r="G5" s="56">
        <f ca="1">IF(E5="","",NETWORKDAYS(TODAY(),D5)+1)</f>
        <v>-228</v>
      </c>
      <c r="H5" s="57">
        <f ca="1">IF(E5="","",G5/5)</f>
        <v>-45.6</v>
      </c>
      <c r="I5" s="58">
        <f>IF(E5="","",E5/((NETWORKDAYS(C5,D5))))</f>
        <v>1</v>
      </c>
      <c r="J5" s="59">
        <f ca="1">IF($A5="","",
IF($C5&gt;J$3+6,0,IF($D5&gt;=J$3,$I5*5,0)
-IF($D5&gt;=J$3,IF(K$3&gt;$D5,NETWORKDAYS($D5,K$3)-2,0)*$I5,0)
-IF(AND($C5&gt;=J$3,$C5&lt;K$3),($C5-J$3)*$I5,0))
-IF(AND(TODAY()&gt;=J$3,TODAY()&lt;K$3),IF(TODAY()&gt;$C5,NETWORKDAYS($C5,TODAY()-1)*$I5,0),0)
)</f>
        <v>-233</v>
      </c>
      <c r="K5" s="59">
        <f t="shared" ref="K5:U5" ca="1" si="1">IF($A5="","",
IF($C5&gt;K$3+6,0,IF($D5&gt;=K$3,$I5*5,0)
-IF($D5&gt;=K$3,IF(L$3&gt;$D5,NETWORKDAYS($D5,L$3)-2,0)*$I5,0)
-IF(AND($C5&gt;=K$3,$C5&lt;L$3),($C5-K$3)*$I5,0))
-IF(AND(TODAY()&gt;=K$3,TODAY()&lt;L$3),IF(TODAY()&gt;$C5,NETWORKDAYS($C5,TODAY()-1)*$I5,0),0)
)</f>
        <v>0</v>
      </c>
      <c r="L5" s="59">
        <f t="shared" ca="1" si="1"/>
        <v>0</v>
      </c>
      <c r="M5" s="59">
        <f t="shared" ca="1" si="1"/>
        <v>0</v>
      </c>
      <c r="N5" s="59">
        <f t="shared" ca="1" si="1"/>
        <v>0</v>
      </c>
      <c r="O5" s="59">
        <f t="shared" ca="1" si="1"/>
        <v>0</v>
      </c>
      <c r="P5" s="59">
        <f t="shared" ca="1" si="1"/>
        <v>0</v>
      </c>
      <c r="Q5" s="59">
        <f t="shared" ca="1" si="1"/>
        <v>0</v>
      </c>
      <c r="R5" s="59">
        <f t="shared" ca="1" si="1"/>
        <v>0</v>
      </c>
      <c r="S5" s="59">
        <f t="shared" ca="1" si="1"/>
        <v>0</v>
      </c>
      <c r="T5" s="59">
        <f t="shared" ca="1" si="1"/>
        <v>0</v>
      </c>
      <c r="U5" s="59">
        <f t="shared" ca="1" si="1"/>
        <v>0</v>
      </c>
      <c r="V5" s="94"/>
      <c r="W5" s="94">
        <f ca="1">SUM(J5:U5)</f>
        <v>-233</v>
      </c>
      <c r="X5" s="94" t="b">
        <f ca="1">W5=F5</f>
        <v>0</v>
      </c>
    </row>
    <row r="6" spans="1:24" ht="15" thickBot="1" x14ac:dyDescent="0.35">
      <c r="A6" s="60" t="str">
        <v>Camila González</v>
      </c>
      <c r="B6" s="21" t="str">
        <v>Capacitación y desarrollo</v>
      </c>
      <c r="C6" s="61">
        <v>45855</v>
      </c>
      <c r="D6" s="61">
        <v>45870</v>
      </c>
      <c r="E6" s="62">
        <v>3</v>
      </c>
      <c r="F6" s="63">
        <f t="shared" ref="F6:F69" ca="1" si="2">IF(E6="","",E6-IF(TODAY()&lt;C6,0,(TODAY()-C6)*I6))</f>
        <v>-75.25</v>
      </c>
      <c r="G6" s="64">
        <f t="shared" ref="G6:G69" ca="1" si="3">IF(E6="","",NETWORKDAYS(TODAY(),D6)+1)</f>
        <v>-212</v>
      </c>
      <c r="H6" s="65">
        <f t="shared" ref="H6:H69" ca="1" si="4">IF(E6="","",G6/5)</f>
        <v>-42.4</v>
      </c>
      <c r="I6" s="66">
        <f t="shared" ref="I6:I69" si="5">IF(E6="","",E6/((NETWORKDAYS(C6,D6))))</f>
        <v>0.25</v>
      </c>
      <c r="J6" s="59">
        <f t="shared" ref="J6:U6" ca="1" si="6">IF($A6="","",
IF($C6&gt;J$3+6,0,IF($D6&gt;=J$3,$I6*5,0)
-IF($D6&gt;=J$3,IF(K$3&gt;$D6,NETWORKDAYS($D6,K$3)-2,0)*$I6,0)
-IF(AND($C6&gt;=J$3,$C6&lt;K$3),($C6-J$3)*$I6,0))
-IF(AND(TODAY()&gt;=J$3,TODAY()&lt;K$3),IF(TODAY()&gt;$C6,NETWORKDAYS($C6,TODAY()-1)*$I6,0),0)
)</f>
        <v>-55.75</v>
      </c>
      <c r="K6" s="59">
        <f t="shared" ca="1" si="6"/>
        <v>0</v>
      </c>
      <c r="L6" s="59">
        <f t="shared" ca="1" si="6"/>
        <v>0</v>
      </c>
      <c r="M6" s="59">
        <f t="shared" ca="1" si="6"/>
        <v>0</v>
      </c>
      <c r="N6" s="59">
        <f t="shared" ca="1" si="6"/>
        <v>0</v>
      </c>
      <c r="O6" s="59">
        <f t="shared" ca="1" si="6"/>
        <v>0</v>
      </c>
      <c r="P6" s="59">
        <f t="shared" ca="1" si="6"/>
        <v>0</v>
      </c>
      <c r="Q6" s="59">
        <f t="shared" ca="1" si="6"/>
        <v>0</v>
      </c>
      <c r="R6" s="59">
        <f t="shared" ca="1" si="6"/>
        <v>0</v>
      </c>
      <c r="S6" s="59">
        <f t="shared" ca="1" si="6"/>
        <v>0</v>
      </c>
      <c r="T6" s="59">
        <f t="shared" ca="1" si="6"/>
        <v>0</v>
      </c>
      <c r="U6" s="59">
        <f t="shared" ca="1" si="6"/>
        <v>0</v>
      </c>
      <c r="V6" s="94"/>
      <c r="W6" s="94">
        <f t="shared" ref="W6:W69" ca="1" si="7">SUM(J6:U6)</f>
        <v>-55.75</v>
      </c>
      <c r="X6" s="94" t="b">
        <f t="shared" ref="X6:X69" ca="1" si="8">W6=F6</f>
        <v>0</v>
      </c>
    </row>
    <row r="7" spans="1:24" ht="15" thickBot="1" x14ac:dyDescent="0.35">
      <c r="A7" s="60" t="str">
        <v>Camila González</v>
      </c>
      <c r="B7" s="21" t="str">
        <v>Reclutamiento y selección</v>
      </c>
      <c r="C7" s="61">
        <v>45855</v>
      </c>
      <c r="D7" s="61">
        <v>45862</v>
      </c>
      <c r="E7" s="62">
        <v>6</v>
      </c>
      <c r="F7" s="63">
        <f t="shared" ca="1" si="2"/>
        <v>-307</v>
      </c>
      <c r="G7" s="64">
        <f t="shared" ca="1" si="3"/>
        <v>-218</v>
      </c>
      <c r="H7" s="65">
        <f t="shared" ca="1" si="4"/>
        <v>-43.6</v>
      </c>
      <c r="I7" s="66">
        <f t="shared" si="5"/>
        <v>1</v>
      </c>
      <c r="J7" s="59">
        <f t="shared" ref="J7:U7" ca="1" si="9">IF($A7="","",
IF($C7&gt;J$3+6,0,IF($D7&gt;=J$3,$I7*5,0)
-IF($D7&gt;=J$3,IF(K$3&gt;$D7,NETWORKDAYS($D7,K$3)-2,0)*$I7,0)
-IF(AND($C7&gt;=J$3,$C7&lt;K$3),($C7-J$3)*$I7,0))
-IF(AND(TODAY()&gt;=J$3,TODAY()&lt;K$3),IF(TODAY()&gt;$C7,NETWORKDAYS($C7,TODAY()-1)*$I7,0),0)
)</f>
        <v>-223</v>
      </c>
      <c r="K7" s="59">
        <f t="shared" ca="1" si="9"/>
        <v>0</v>
      </c>
      <c r="L7" s="59">
        <f t="shared" ca="1" si="9"/>
        <v>0</v>
      </c>
      <c r="M7" s="59">
        <f t="shared" ca="1" si="9"/>
        <v>0</v>
      </c>
      <c r="N7" s="59">
        <f t="shared" ca="1" si="9"/>
        <v>0</v>
      </c>
      <c r="O7" s="59">
        <f t="shared" ca="1" si="9"/>
        <v>0</v>
      </c>
      <c r="P7" s="59">
        <f t="shared" ca="1" si="9"/>
        <v>0</v>
      </c>
      <c r="Q7" s="59">
        <f t="shared" ca="1" si="9"/>
        <v>0</v>
      </c>
      <c r="R7" s="59">
        <f t="shared" ca="1" si="9"/>
        <v>0</v>
      </c>
      <c r="S7" s="59">
        <f t="shared" ca="1" si="9"/>
        <v>0</v>
      </c>
      <c r="T7" s="59">
        <f t="shared" ca="1" si="9"/>
        <v>0</v>
      </c>
      <c r="U7" s="59">
        <f t="shared" ca="1" si="9"/>
        <v>0</v>
      </c>
      <c r="V7" s="94"/>
      <c r="W7" s="94">
        <f t="shared" ca="1" si="7"/>
        <v>-223</v>
      </c>
      <c r="X7" s="94" t="b">
        <f t="shared" ca="1" si="8"/>
        <v>0</v>
      </c>
    </row>
    <row r="8" spans="1:24" ht="15" thickBot="1" x14ac:dyDescent="0.35">
      <c r="A8" s="60" t="str">
        <v>Camila González</v>
      </c>
      <c r="B8" s="21" t="str">
        <v>Cumplimiento legal y normativo</v>
      </c>
      <c r="C8" s="61">
        <v>45848</v>
      </c>
      <c r="D8" s="61">
        <v>45855</v>
      </c>
      <c r="E8" s="62">
        <v>3</v>
      </c>
      <c r="F8" s="63">
        <f t="shared" ca="1" si="2"/>
        <v>-157</v>
      </c>
      <c r="G8" s="64">
        <f t="shared" ca="1" si="3"/>
        <v>-223</v>
      </c>
      <c r="H8" s="65">
        <f t="shared" ca="1" si="4"/>
        <v>-44.6</v>
      </c>
      <c r="I8" s="66">
        <f t="shared" si="5"/>
        <v>0.5</v>
      </c>
      <c r="J8" s="59">
        <f t="shared" ref="J8:U8" ca="1" si="10">IF($A8="","",
IF($C8&gt;J$3+6,0,IF($D8&gt;=J$3,$I8*5,0)
-IF($D8&gt;=J$3,IF(K$3&gt;$D8,NETWORKDAYS($D8,K$3)-2,0)*$I8,0)
-IF(AND($C8&gt;=J$3,$C8&lt;K$3),($C8-J$3)*$I8,0))
-IF(AND(TODAY()&gt;=J$3,TODAY()&lt;K$3),IF(TODAY()&gt;$C8,NETWORKDAYS($C8,TODAY()-1)*$I8,0),0)
)</f>
        <v>-114</v>
      </c>
      <c r="K8" s="59">
        <f t="shared" ca="1" si="10"/>
        <v>0</v>
      </c>
      <c r="L8" s="59">
        <f t="shared" ca="1" si="10"/>
        <v>0</v>
      </c>
      <c r="M8" s="59">
        <f t="shared" ca="1" si="10"/>
        <v>0</v>
      </c>
      <c r="N8" s="59">
        <f t="shared" ca="1" si="10"/>
        <v>0</v>
      </c>
      <c r="O8" s="59">
        <f t="shared" ca="1" si="10"/>
        <v>0</v>
      </c>
      <c r="P8" s="59">
        <f t="shared" ca="1" si="10"/>
        <v>0</v>
      </c>
      <c r="Q8" s="59">
        <f t="shared" ca="1" si="10"/>
        <v>0</v>
      </c>
      <c r="R8" s="59">
        <f t="shared" ca="1" si="10"/>
        <v>0</v>
      </c>
      <c r="S8" s="59">
        <f t="shared" ca="1" si="10"/>
        <v>0</v>
      </c>
      <c r="T8" s="59">
        <f t="shared" ca="1" si="10"/>
        <v>0</v>
      </c>
      <c r="U8" s="59">
        <f t="shared" ca="1" si="10"/>
        <v>0</v>
      </c>
      <c r="V8" s="94"/>
      <c r="W8" s="94">
        <f t="shared" ca="1" si="7"/>
        <v>-114</v>
      </c>
      <c r="X8" s="94" t="b">
        <f t="shared" ca="1" si="8"/>
        <v>0</v>
      </c>
    </row>
    <row r="9" spans="1:24" ht="15" thickBot="1" x14ac:dyDescent="0.35">
      <c r="A9" s="60" t="str">
        <v>Camila González</v>
      </c>
      <c r="B9" s="21" t="str">
        <v>Gestión de salud y seguridad ocupacional</v>
      </c>
      <c r="C9" s="61">
        <v>45848</v>
      </c>
      <c r="D9" s="61">
        <v>45855</v>
      </c>
      <c r="E9" s="62">
        <v>2.5</v>
      </c>
      <c r="F9" s="63">
        <f t="shared" ca="1" si="2"/>
        <v>-130.83333333333334</v>
      </c>
      <c r="G9" s="64">
        <f t="shared" ca="1" si="3"/>
        <v>-223</v>
      </c>
      <c r="H9" s="65">
        <f t="shared" ca="1" si="4"/>
        <v>-44.6</v>
      </c>
      <c r="I9" s="66">
        <f t="shared" si="5"/>
        <v>0.41666666666666669</v>
      </c>
      <c r="J9" s="59">
        <f t="shared" ref="J9:U9" ca="1" si="11">IF($A9="","",
IF($C9&gt;J$3+6,0,IF($D9&gt;=J$3,$I9*5,0)
-IF($D9&gt;=J$3,IF(K$3&gt;$D9,NETWORKDAYS($D9,K$3)-2,0)*$I9,0)
-IF(AND($C9&gt;=J$3,$C9&lt;K$3),($C9-J$3)*$I9,0))
-IF(AND(TODAY()&gt;=J$3,TODAY()&lt;K$3),IF(TODAY()&gt;$C9,NETWORKDAYS($C9,TODAY()-1)*$I9,0),0)
)</f>
        <v>-95</v>
      </c>
      <c r="K9" s="59">
        <f t="shared" ca="1" si="11"/>
        <v>0</v>
      </c>
      <c r="L9" s="59">
        <f t="shared" ca="1" si="11"/>
        <v>0</v>
      </c>
      <c r="M9" s="59">
        <f t="shared" ca="1" si="11"/>
        <v>0</v>
      </c>
      <c r="N9" s="59">
        <f t="shared" ca="1" si="11"/>
        <v>0</v>
      </c>
      <c r="O9" s="59">
        <f t="shared" ca="1" si="11"/>
        <v>0</v>
      </c>
      <c r="P9" s="59">
        <f t="shared" ca="1" si="11"/>
        <v>0</v>
      </c>
      <c r="Q9" s="59">
        <f t="shared" ca="1" si="11"/>
        <v>0</v>
      </c>
      <c r="R9" s="59">
        <f t="shared" ca="1" si="11"/>
        <v>0</v>
      </c>
      <c r="S9" s="59">
        <f t="shared" ca="1" si="11"/>
        <v>0</v>
      </c>
      <c r="T9" s="59">
        <f t="shared" ca="1" si="11"/>
        <v>0</v>
      </c>
      <c r="U9" s="59">
        <f t="shared" ca="1" si="11"/>
        <v>0</v>
      </c>
      <c r="V9" s="94"/>
      <c r="W9" s="94">
        <f t="shared" ca="1" si="7"/>
        <v>-95</v>
      </c>
      <c r="X9" s="94" t="b">
        <f t="shared" ca="1" si="8"/>
        <v>0</v>
      </c>
    </row>
    <row r="10" spans="1:24" ht="15" thickBot="1" x14ac:dyDescent="0.35">
      <c r="A10" s="60" t="str">
        <v>Camila González</v>
      </c>
      <c r="B10" s="21" t="str">
        <v>Cumplimiento legal y normativo</v>
      </c>
      <c r="C10" s="61">
        <v>45862</v>
      </c>
      <c r="D10" s="61">
        <v>45869</v>
      </c>
      <c r="E10" s="62">
        <v>3</v>
      </c>
      <c r="F10" s="63">
        <f t="shared" ca="1" si="2"/>
        <v>-150</v>
      </c>
      <c r="G10" s="64">
        <f t="shared" ca="1" si="3"/>
        <v>-213</v>
      </c>
      <c r="H10" s="65">
        <f t="shared" ca="1" si="4"/>
        <v>-42.6</v>
      </c>
      <c r="I10" s="66">
        <f t="shared" si="5"/>
        <v>0.5</v>
      </c>
      <c r="J10" s="59">
        <f t="shared" ref="J10:U10" ca="1" si="12">IF($A10="","",
IF($C10&gt;J$3+6,0,IF($D10&gt;=J$3,$I10*5,0)
-IF($D10&gt;=J$3,IF(K$3&gt;$D10,NETWORKDAYS($D10,K$3)-2,0)*$I10,0)
-IF(AND($C10&gt;=J$3,$C10&lt;K$3),($C10-J$3)*$I10,0))
-IF(AND(TODAY()&gt;=J$3,TODAY()&lt;K$3),IF(TODAY()&gt;$C10,NETWORKDAYS($C10,TODAY()-1)*$I10,0),0)
)</f>
        <v>-109</v>
      </c>
      <c r="K10" s="59">
        <f t="shared" ca="1" si="12"/>
        <v>0</v>
      </c>
      <c r="L10" s="59">
        <f t="shared" ca="1" si="12"/>
        <v>0</v>
      </c>
      <c r="M10" s="59">
        <f t="shared" ca="1" si="12"/>
        <v>0</v>
      </c>
      <c r="N10" s="59">
        <f t="shared" ca="1" si="12"/>
        <v>0</v>
      </c>
      <c r="O10" s="59">
        <f t="shared" ca="1" si="12"/>
        <v>0</v>
      </c>
      <c r="P10" s="59">
        <f t="shared" ca="1" si="12"/>
        <v>0</v>
      </c>
      <c r="Q10" s="59">
        <f t="shared" ca="1" si="12"/>
        <v>0</v>
      </c>
      <c r="R10" s="59">
        <f t="shared" ca="1" si="12"/>
        <v>0</v>
      </c>
      <c r="S10" s="59">
        <f t="shared" ca="1" si="12"/>
        <v>0</v>
      </c>
      <c r="T10" s="59">
        <f t="shared" ca="1" si="12"/>
        <v>0</v>
      </c>
      <c r="U10" s="59">
        <f t="shared" ca="1" si="12"/>
        <v>0</v>
      </c>
      <c r="V10" s="94"/>
      <c r="W10" s="94">
        <f t="shared" ca="1" si="7"/>
        <v>-109</v>
      </c>
      <c r="X10" s="94" t="b">
        <f t="shared" ca="1" si="8"/>
        <v>0</v>
      </c>
    </row>
    <row r="11" spans="1:24" ht="15" thickBot="1" x14ac:dyDescent="0.35">
      <c r="A11" s="60" t="str">
        <v>Camila González</v>
      </c>
      <c r="B11" s="21" t="str">
        <v>Capacitación y desarrollo</v>
      </c>
      <c r="C11" s="61">
        <v>45862</v>
      </c>
      <c r="D11" s="61">
        <v>45869</v>
      </c>
      <c r="E11" s="62">
        <v>3</v>
      </c>
      <c r="F11" s="63">
        <f t="shared" ca="1" si="2"/>
        <v>-150</v>
      </c>
      <c r="G11" s="64">
        <f t="shared" ca="1" si="3"/>
        <v>-213</v>
      </c>
      <c r="H11" s="65">
        <f t="shared" ca="1" si="4"/>
        <v>-42.6</v>
      </c>
      <c r="I11" s="66">
        <f t="shared" si="5"/>
        <v>0.5</v>
      </c>
      <c r="J11" s="59">
        <f t="shared" ref="J11:U11" ca="1" si="13">IF($A11="","",
IF($C11&gt;J$3+6,0,IF($D11&gt;=J$3,$I11*5,0)
-IF($D11&gt;=J$3,IF(K$3&gt;$D11,NETWORKDAYS($D11,K$3)-2,0)*$I11,0)
-IF(AND($C11&gt;=J$3,$C11&lt;K$3),($C11-J$3)*$I11,0))
-IF(AND(TODAY()&gt;=J$3,TODAY()&lt;K$3),IF(TODAY()&gt;$C11,NETWORKDAYS($C11,TODAY()-1)*$I11,0),0)
)</f>
        <v>-109</v>
      </c>
      <c r="K11" s="59">
        <f t="shared" ca="1" si="13"/>
        <v>0</v>
      </c>
      <c r="L11" s="59">
        <f t="shared" ca="1" si="13"/>
        <v>0</v>
      </c>
      <c r="M11" s="59">
        <f t="shared" ca="1" si="13"/>
        <v>0</v>
      </c>
      <c r="N11" s="59">
        <f t="shared" ca="1" si="13"/>
        <v>0</v>
      </c>
      <c r="O11" s="59">
        <f t="shared" ca="1" si="13"/>
        <v>0</v>
      </c>
      <c r="P11" s="59">
        <f t="shared" ca="1" si="13"/>
        <v>0</v>
      </c>
      <c r="Q11" s="59">
        <f t="shared" ca="1" si="13"/>
        <v>0</v>
      </c>
      <c r="R11" s="59">
        <f t="shared" ca="1" si="13"/>
        <v>0</v>
      </c>
      <c r="S11" s="59">
        <f t="shared" ca="1" si="13"/>
        <v>0</v>
      </c>
      <c r="T11" s="59">
        <f t="shared" ca="1" si="13"/>
        <v>0</v>
      </c>
      <c r="U11" s="59">
        <f t="shared" ca="1" si="13"/>
        <v>0</v>
      </c>
      <c r="V11" s="94"/>
      <c r="W11" s="94">
        <f t="shared" ca="1" si="7"/>
        <v>-109</v>
      </c>
      <c r="X11" s="94" t="b">
        <f t="shared" ca="1" si="8"/>
        <v>0</v>
      </c>
    </row>
    <row r="12" spans="1:24" ht="15" thickBot="1" x14ac:dyDescent="0.35">
      <c r="A12" s="60" t="str">
        <v>Camila González</v>
      </c>
      <c r="B12" s="21" t="str">
        <v>Administración de personal</v>
      </c>
      <c r="C12" s="61">
        <v>45848</v>
      </c>
      <c r="D12" s="61">
        <v>45855</v>
      </c>
      <c r="E12" s="62">
        <v>3</v>
      </c>
      <c r="F12" s="63">
        <f t="shared" ca="1" si="2"/>
        <v>-157</v>
      </c>
      <c r="G12" s="64">
        <f t="shared" ca="1" si="3"/>
        <v>-223</v>
      </c>
      <c r="H12" s="65">
        <f t="shared" ca="1" si="4"/>
        <v>-44.6</v>
      </c>
      <c r="I12" s="66">
        <f t="shared" si="5"/>
        <v>0.5</v>
      </c>
      <c r="J12" s="59">
        <f t="shared" ref="J12:U12" ca="1" si="14">IF($A12="","",
IF($C12&gt;J$3+6,0,IF($D12&gt;=J$3,$I12*5,0)
-IF($D12&gt;=J$3,IF(K$3&gt;$D12,NETWORKDAYS($D12,K$3)-2,0)*$I12,0)
-IF(AND($C12&gt;=J$3,$C12&lt;K$3),($C12-J$3)*$I12,0))
-IF(AND(TODAY()&gt;=J$3,TODAY()&lt;K$3),IF(TODAY()&gt;$C12,NETWORKDAYS($C12,TODAY()-1)*$I12,0),0)
)</f>
        <v>-114</v>
      </c>
      <c r="K12" s="59">
        <f t="shared" ca="1" si="14"/>
        <v>0</v>
      </c>
      <c r="L12" s="59">
        <f t="shared" ca="1" si="14"/>
        <v>0</v>
      </c>
      <c r="M12" s="59">
        <f t="shared" ca="1" si="14"/>
        <v>0</v>
      </c>
      <c r="N12" s="59">
        <f t="shared" ca="1" si="14"/>
        <v>0</v>
      </c>
      <c r="O12" s="59">
        <f t="shared" ca="1" si="14"/>
        <v>0</v>
      </c>
      <c r="P12" s="59">
        <f t="shared" ca="1" si="14"/>
        <v>0</v>
      </c>
      <c r="Q12" s="59">
        <f t="shared" ca="1" si="14"/>
        <v>0</v>
      </c>
      <c r="R12" s="59">
        <f t="shared" ca="1" si="14"/>
        <v>0</v>
      </c>
      <c r="S12" s="59">
        <f t="shared" ca="1" si="14"/>
        <v>0</v>
      </c>
      <c r="T12" s="59">
        <f t="shared" ca="1" si="14"/>
        <v>0</v>
      </c>
      <c r="U12" s="59">
        <f t="shared" ca="1" si="14"/>
        <v>0</v>
      </c>
      <c r="V12" s="94"/>
      <c r="W12" s="94">
        <f t="shared" ca="1" si="7"/>
        <v>-114</v>
      </c>
      <c r="X12" s="94" t="b">
        <f t="shared" ca="1" si="8"/>
        <v>0</v>
      </c>
    </row>
    <row r="13" spans="1:24" ht="15" thickBot="1" x14ac:dyDescent="0.35">
      <c r="A13" s="60" t="str">
        <v>Camila González</v>
      </c>
      <c r="B13" s="21" t="str">
        <v>Gestión de remuneraciones y beneficios</v>
      </c>
      <c r="C13" s="61">
        <v>45848</v>
      </c>
      <c r="D13" s="61">
        <v>45855</v>
      </c>
      <c r="E13" s="62">
        <v>9</v>
      </c>
      <c r="F13" s="63">
        <f t="shared" ca="1" si="2"/>
        <v>-471</v>
      </c>
      <c r="G13" s="64">
        <f t="shared" ca="1" si="3"/>
        <v>-223</v>
      </c>
      <c r="H13" s="65">
        <f t="shared" ca="1" si="4"/>
        <v>-44.6</v>
      </c>
      <c r="I13" s="66">
        <f t="shared" si="5"/>
        <v>1.5</v>
      </c>
      <c r="J13" s="59">
        <f t="shared" ref="J13:U13" ca="1" si="15">IF($A13="","",
IF($C13&gt;J$3+6,0,IF($D13&gt;=J$3,$I13*5,0)
-IF($D13&gt;=J$3,IF(K$3&gt;$D13,NETWORKDAYS($D13,K$3)-2,0)*$I13,0)
-IF(AND($C13&gt;=J$3,$C13&lt;K$3),($C13-J$3)*$I13,0))
-IF(AND(TODAY()&gt;=J$3,TODAY()&lt;K$3),IF(TODAY()&gt;$C13,NETWORKDAYS($C13,TODAY()-1)*$I13,0),0)
)</f>
        <v>-342</v>
      </c>
      <c r="K13" s="59">
        <f t="shared" ca="1" si="15"/>
        <v>0</v>
      </c>
      <c r="L13" s="59">
        <f t="shared" ca="1" si="15"/>
        <v>0</v>
      </c>
      <c r="M13" s="59">
        <f t="shared" ca="1" si="15"/>
        <v>0</v>
      </c>
      <c r="N13" s="59">
        <f t="shared" ca="1" si="15"/>
        <v>0</v>
      </c>
      <c r="O13" s="59">
        <f t="shared" ca="1" si="15"/>
        <v>0</v>
      </c>
      <c r="P13" s="59">
        <f t="shared" ca="1" si="15"/>
        <v>0</v>
      </c>
      <c r="Q13" s="59">
        <f t="shared" ca="1" si="15"/>
        <v>0</v>
      </c>
      <c r="R13" s="59">
        <f t="shared" ca="1" si="15"/>
        <v>0</v>
      </c>
      <c r="S13" s="59">
        <f t="shared" ca="1" si="15"/>
        <v>0</v>
      </c>
      <c r="T13" s="59">
        <f t="shared" ca="1" si="15"/>
        <v>0</v>
      </c>
      <c r="U13" s="59">
        <f t="shared" ca="1" si="15"/>
        <v>0</v>
      </c>
      <c r="V13" s="94"/>
      <c r="W13" s="94">
        <f t="shared" ca="1" si="7"/>
        <v>-342</v>
      </c>
      <c r="X13" s="94" t="b">
        <f t="shared" ca="1" si="8"/>
        <v>0</v>
      </c>
    </row>
    <row r="14" spans="1:24" ht="15" thickBot="1" x14ac:dyDescent="0.35">
      <c r="A14" s="60" t="str">
        <v>Camila González</v>
      </c>
      <c r="B14" s="21" t="str">
        <v>Administración de personal</v>
      </c>
      <c r="C14" s="61">
        <v>45862</v>
      </c>
      <c r="D14" s="61">
        <v>45869</v>
      </c>
      <c r="E14" s="62">
        <v>3</v>
      </c>
      <c r="F14" s="63">
        <f t="shared" ca="1" si="2"/>
        <v>-150</v>
      </c>
      <c r="G14" s="64">
        <f t="shared" ca="1" si="3"/>
        <v>-213</v>
      </c>
      <c r="H14" s="65">
        <f t="shared" ca="1" si="4"/>
        <v>-42.6</v>
      </c>
      <c r="I14" s="66">
        <f t="shared" si="5"/>
        <v>0.5</v>
      </c>
      <c r="J14" s="59">
        <f t="shared" ref="J14:U14" ca="1" si="16">IF($A14="","",
IF($C14&gt;J$3+6,0,IF($D14&gt;=J$3,$I14*5,0)
-IF($D14&gt;=J$3,IF(K$3&gt;$D14,NETWORKDAYS($D14,K$3)-2,0)*$I14,0)
-IF(AND($C14&gt;=J$3,$C14&lt;K$3),($C14-J$3)*$I14,0))
-IF(AND(TODAY()&gt;=J$3,TODAY()&lt;K$3),IF(TODAY()&gt;$C14,NETWORKDAYS($C14,TODAY()-1)*$I14,0),0)
)</f>
        <v>-109</v>
      </c>
      <c r="K14" s="59">
        <f t="shared" ca="1" si="16"/>
        <v>0</v>
      </c>
      <c r="L14" s="59">
        <f t="shared" ca="1" si="16"/>
        <v>0</v>
      </c>
      <c r="M14" s="59">
        <f t="shared" ca="1" si="16"/>
        <v>0</v>
      </c>
      <c r="N14" s="59">
        <f t="shared" ca="1" si="16"/>
        <v>0</v>
      </c>
      <c r="O14" s="59">
        <f t="shared" ca="1" si="16"/>
        <v>0</v>
      </c>
      <c r="P14" s="59">
        <f t="shared" ca="1" si="16"/>
        <v>0</v>
      </c>
      <c r="Q14" s="59">
        <f t="shared" ca="1" si="16"/>
        <v>0</v>
      </c>
      <c r="R14" s="59">
        <f t="shared" ca="1" si="16"/>
        <v>0</v>
      </c>
      <c r="S14" s="59">
        <f t="shared" ca="1" si="16"/>
        <v>0</v>
      </c>
      <c r="T14" s="59">
        <f t="shared" ca="1" si="16"/>
        <v>0</v>
      </c>
      <c r="U14" s="59">
        <f t="shared" ca="1" si="16"/>
        <v>0</v>
      </c>
      <c r="V14" s="94"/>
      <c r="W14" s="94">
        <f t="shared" ca="1" si="7"/>
        <v>-109</v>
      </c>
      <c r="X14" s="94" t="b">
        <f t="shared" ca="1" si="8"/>
        <v>0</v>
      </c>
    </row>
    <row r="15" spans="1:24" ht="15" thickBot="1" x14ac:dyDescent="0.35">
      <c r="A15" s="60" t="str">
        <v>Camila González</v>
      </c>
      <c r="B15" s="21" t="str">
        <v>Reclutamiento y selección</v>
      </c>
      <c r="C15" s="61">
        <v>45862</v>
      </c>
      <c r="D15" s="61">
        <v>45869</v>
      </c>
      <c r="E15" s="62">
        <v>6</v>
      </c>
      <c r="F15" s="63">
        <f t="shared" ca="1" si="2"/>
        <v>-300</v>
      </c>
      <c r="G15" s="64">
        <f t="shared" ca="1" si="3"/>
        <v>-213</v>
      </c>
      <c r="H15" s="65">
        <f t="shared" ca="1" si="4"/>
        <v>-42.6</v>
      </c>
      <c r="I15" s="66">
        <f t="shared" si="5"/>
        <v>1</v>
      </c>
      <c r="J15" s="59">
        <f t="shared" ref="J15:U15" ca="1" si="17">IF($A15="","",
IF($C15&gt;J$3+6,0,IF($D15&gt;=J$3,$I15*5,0)
-IF($D15&gt;=J$3,IF(K$3&gt;$D15,NETWORKDAYS($D15,K$3)-2,0)*$I15,0)
-IF(AND($C15&gt;=J$3,$C15&lt;K$3),($C15-J$3)*$I15,0))
-IF(AND(TODAY()&gt;=J$3,TODAY()&lt;K$3),IF(TODAY()&gt;$C15,NETWORKDAYS($C15,TODAY()-1)*$I15,0),0)
)</f>
        <v>-218</v>
      </c>
      <c r="K15" s="59">
        <f t="shared" ca="1" si="17"/>
        <v>0</v>
      </c>
      <c r="L15" s="59">
        <f t="shared" ca="1" si="17"/>
        <v>0</v>
      </c>
      <c r="M15" s="59">
        <f t="shared" ca="1" si="17"/>
        <v>0</v>
      </c>
      <c r="N15" s="59">
        <f t="shared" ca="1" si="17"/>
        <v>0</v>
      </c>
      <c r="O15" s="59">
        <f t="shared" ca="1" si="17"/>
        <v>0</v>
      </c>
      <c r="P15" s="59">
        <f t="shared" ca="1" si="17"/>
        <v>0</v>
      </c>
      <c r="Q15" s="59">
        <f t="shared" ca="1" si="17"/>
        <v>0</v>
      </c>
      <c r="R15" s="59">
        <f t="shared" ca="1" si="17"/>
        <v>0</v>
      </c>
      <c r="S15" s="59">
        <f t="shared" ca="1" si="17"/>
        <v>0</v>
      </c>
      <c r="T15" s="59">
        <f t="shared" ca="1" si="17"/>
        <v>0</v>
      </c>
      <c r="U15" s="59">
        <f t="shared" ca="1" si="17"/>
        <v>0</v>
      </c>
      <c r="V15" s="94"/>
      <c r="W15" s="94">
        <f t="shared" ca="1" si="7"/>
        <v>-218</v>
      </c>
      <c r="X15" s="94" t="b">
        <f t="shared" ca="1" si="8"/>
        <v>0</v>
      </c>
    </row>
    <row r="16" spans="1:24" ht="15" thickBot="1" x14ac:dyDescent="0.35">
      <c r="A16" s="60" t="str">
        <v>Daniela Rojas</v>
      </c>
      <c r="B16" s="21" t="str">
        <v>Reclutamiento y selección</v>
      </c>
      <c r="C16" s="61">
        <v>45841</v>
      </c>
      <c r="D16" s="61">
        <v>45847</v>
      </c>
      <c r="E16" s="62">
        <v>6</v>
      </c>
      <c r="F16" s="63">
        <f t="shared" ca="1" si="2"/>
        <v>-386.4</v>
      </c>
      <c r="G16" s="64">
        <f t="shared" ca="1" si="3"/>
        <v>-229</v>
      </c>
      <c r="H16" s="65">
        <f t="shared" ca="1" si="4"/>
        <v>-45.8</v>
      </c>
      <c r="I16" s="66">
        <f t="shared" si="5"/>
        <v>1.2</v>
      </c>
      <c r="J16" s="59">
        <f t="shared" ref="J16:U16" ca="1" si="18">IF($A16="","",
IF($C16&gt;J$3+6,0,IF($D16&gt;=J$3,$I16*5,0)
-IF($D16&gt;=J$3,IF(K$3&gt;$D16,NETWORKDAYS($D16,K$3)-2,0)*$I16,0)
-IF(AND($C16&gt;=J$3,$C16&lt;K$3),($C16-J$3)*$I16,0))
-IF(AND(TODAY()&gt;=J$3,TODAY()&lt;K$3),IF(TODAY()&gt;$C16,NETWORKDAYS($C16,TODAY()-1)*$I16,0),0)
)</f>
        <v>-279.59999999999997</v>
      </c>
      <c r="K16" s="59">
        <f t="shared" ca="1" si="18"/>
        <v>0</v>
      </c>
      <c r="L16" s="59">
        <f t="shared" ca="1" si="18"/>
        <v>0</v>
      </c>
      <c r="M16" s="59">
        <f t="shared" ca="1" si="18"/>
        <v>0</v>
      </c>
      <c r="N16" s="59">
        <f t="shared" ca="1" si="18"/>
        <v>0</v>
      </c>
      <c r="O16" s="59">
        <f t="shared" ca="1" si="18"/>
        <v>0</v>
      </c>
      <c r="P16" s="59">
        <f t="shared" ca="1" si="18"/>
        <v>0</v>
      </c>
      <c r="Q16" s="59">
        <f t="shared" ca="1" si="18"/>
        <v>0</v>
      </c>
      <c r="R16" s="59">
        <f t="shared" ca="1" si="18"/>
        <v>0</v>
      </c>
      <c r="S16" s="59">
        <f t="shared" ca="1" si="18"/>
        <v>0</v>
      </c>
      <c r="T16" s="59">
        <f t="shared" ca="1" si="18"/>
        <v>0</v>
      </c>
      <c r="U16" s="59">
        <f t="shared" ca="1" si="18"/>
        <v>0</v>
      </c>
      <c r="V16" s="94"/>
      <c r="W16" s="94">
        <f t="shared" ca="1" si="7"/>
        <v>-279.59999999999997</v>
      </c>
      <c r="X16" s="94" t="b">
        <f t="shared" ca="1" si="8"/>
        <v>0</v>
      </c>
    </row>
    <row r="17" spans="1:24" ht="15" thickBot="1" x14ac:dyDescent="0.35">
      <c r="A17" s="60" t="str">
        <v>Daniela Rojas</v>
      </c>
      <c r="B17" s="21" t="str">
        <v>Gestión de conflictos y relaciones laborales</v>
      </c>
      <c r="C17" s="61">
        <v>45841</v>
      </c>
      <c r="D17" s="61">
        <v>45852</v>
      </c>
      <c r="E17" s="62">
        <v>4</v>
      </c>
      <c r="F17" s="63">
        <f t="shared" ca="1" si="2"/>
        <v>-159.5</v>
      </c>
      <c r="G17" s="64">
        <f t="shared" ca="1" si="3"/>
        <v>-226</v>
      </c>
      <c r="H17" s="65">
        <f t="shared" ca="1" si="4"/>
        <v>-45.2</v>
      </c>
      <c r="I17" s="66">
        <f t="shared" si="5"/>
        <v>0.5</v>
      </c>
      <c r="J17" s="59">
        <f t="shared" ref="J17:U17" ca="1" si="19">IF($A17="","",
IF($C17&gt;J$3+6,0,IF($D17&gt;=J$3,$I17*5,0)
-IF($D17&gt;=J$3,IF(K$3&gt;$D17,NETWORKDAYS($D17,K$3)-2,0)*$I17,0)
-IF(AND($C17&gt;=J$3,$C17&lt;K$3),($C17-J$3)*$I17,0))
-IF(AND(TODAY()&gt;=J$3,TODAY()&lt;K$3),IF(TODAY()&gt;$C17,NETWORKDAYS($C17,TODAY()-1)*$I17,0),0)
)</f>
        <v>-116.5</v>
      </c>
      <c r="K17" s="59">
        <f t="shared" ca="1" si="19"/>
        <v>0</v>
      </c>
      <c r="L17" s="59">
        <f t="shared" ca="1" si="19"/>
        <v>0</v>
      </c>
      <c r="M17" s="59">
        <f t="shared" ca="1" si="19"/>
        <v>0</v>
      </c>
      <c r="N17" s="59">
        <f t="shared" ca="1" si="19"/>
        <v>0</v>
      </c>
      <c r="O17" s="59">
        <f t="shared" ca="1" si="19"/>
        <v>0</v>
      </c>
      <c r="P17" s="59">
        <f t="shared" ca="1" si="19"/>
        <v>0</v>
      </c>
      <c r="Q17" s="59">
        <f t="shared" ca="1" si="19"/>
        <v>0</v>
      </c>
      <c r="R17" s="59">
        <f t="shared" ca="1" si="19"/>
        <v>0</v>
      </c>
      <c r="S17" s="59">
        <f t="shared" ca="1" si="19"/>
        <v>0</v>
      </c>
      <c r="T17" s="59">
        <f t="shared" ca="1" si="19"/>
        <v>0</v>
      </c>
      <c r="U17" s="59">
        <f t="shared" ca="1" si="19"/>
        <v>0</v>
      </c>
      <c r="V17" s="94"/>
      <c r="W17" s="94">
        <f t="shared" ca="1" si="7"/>
        <v>-116.5</v>
      </c>
      <c r="X17" s="94" t="b">
        <f t="shared" ca="1" si="8"/>
        <v>0</v>
      </c>
    </row>
    <row r="18" spans="1:24" ht="15" thickBot="1" x14ac:dyDescent="0.35">
      <c r="A18" s="60" t="str">
        <v>Daniela Rojas</v>
      </c>
      <c r="B18" s="21" t="str">
        <v>Gestión de remuneraciones y beneficios</v>
      </c>
      <c r="C18" s="61">
        <v>45841</v>
      </c>
      <c r="D18" s="61">
        <v>45849</v>
      </c>
      <c r="E18" s="62">
        <v>9</v>
      </c>
      <c r="F18" s="63">
        <f t="shared" ca="1" si="2"/>
        <v>-411.42857142857144</v>
      </c>
      <c r="G18" s="64">
        <f t="shared" ca="1" si="3"/>
        <v>-227</v>
      </c>
      <c r="H18" s="65">
        <f t="shared" ca="1" si="4"/>
        <v>-45.4</v>
      </c>
      <c r="I18" s="66">
        <f t="shared" si="5"/>
        <v>1.2857142857142858</v>
      </c>
      <c r="J18" s="59">
        <f t="shared" ref="J18:U18" ca="1" si="20">IF($A18="","",
IF($C18&gt;J$3+6,0,IF($D18&gt;=J$3,$I18*5,0)
-IF($D18&gt;=J$3,IF(K$3&gt;$D18,NETWORKDAYS($D18,K$3)-2,0)*$I18,0)
-IF(AND($C18&gt;=J$3,$C18&lt;K$3),($C18-J$3)*$I18,0))
-IF(AND(TODAY()&gt;=J$3,TODAY()&lt;K$3),IF(TODAY()&gt;$C18,NETWORKDAYS($C18,TODAY()-1)*$I18,0),0)
)</f>
        <v>-299.57142857142861</v>
      </c>
      <c r="K18" s="59">
        <f t="shared" ca="1" si="20"/>
        <v>0</v>
      </c>
      <c r="L18" s="59">
        <f t="shared" ca="1" si="20"/>
        <v>0</v>
      </c>
      <c r="M18" s="59">
        <f t="shared" ca="1" si="20"/>
        <v>0</v>
      </c>
      <c r="N18" s="59">
        <f t="shared" ca="1" si="20"/>
        <v>0</v>
      </c>
      <c r="O18" s="59">
        <f t="shared" ca="1" si="20"/>
        <v>0</v>
      </c>
      <c r="P18" s="59">
        <f t="shared" ca="1" si="20"/>
        <v>0</v>
      </c>
      <c r="Q18" s="59">
        <f t="shared" ca="1" si="20"/>
        <v>0</v>
      </c>
      <c r="R18" s="59">
        <f t="shared" ca="1" si="20"/>
        <v>0</v>
      </c>
      <c r="S18" s="59">
        <f t="shared" ca="1" si="20"/>
        <v>0</v>
      </c>
      <c r="T18" s="59">
        <f t="shared" ca="1" si="20"/>
        <v>0</v>
      </c>
      <c r="U18" s="59">
        <f t="shared" ca="1" si="20"/>
        <v>0</v>
      </c>
      <c r="V18" s="94"/>
      <c r="W18" s="94">
        <f t="shared" ca="1" si="7"/>
        <v>-299.57142857142861</v>
      </c>
      <c r="X18" s="94" t="b">
        <f t="shared" ca="1" si="8"/>
        <v>0</v>
      </c>
    </row>
    <row r="19" spans="1:24" ht="15" thickBot="1" x14ac:dyDescent="0.35">
      <c r="A19" s="60" t="str">
        <v>Daniela Rojas</v>
      </c>
      <c r="B19" s="21" t="str">
        <v>Reclutamiento y selección</v>
      </c>
      <c r="C19" s="61">
        <v>45855</v>
      </c>
      <c r="D19" s="61">
        <v>45861</v>
      </c>
      <c r="E19" s="62">
        <v>6</v>
      </c>
      <c r="F19" s="63">
        <f t="shared" ca="1" si="2"/>
        <v>-369.59999999999997</v>
      </c>
      <c r="G19" s="64">
        <f t="shared" ca="1" si="3"/>
        <v>-219</v>
      </c>
      <c r="H19" s="65">
        <f t="shared" ca="1" si="4"/>
        <v>-43.8</v>
      </c>
      <c r="I19" s="66">
        <f t="shared" si="5"/>
        <v>1.2</v>
      </c>
      <c r="J19" s="59">
        <f t="shared" ref="J19:U19" ca="1" si="21">IF($A19="","",
IF($C19&gt;J$3+6,0,IF($D19&gt;=J$3,$I19*5,0)
-IF($D19&gt;=J$3,IF(K$3&gt;$D19,NETWORKDAYS($D19,K$3)-2,0)*$I19,0)
-IF(AND($C19&gt;=J$3,$C19&lt;K$3),($C19-J$3)*$I19,0))
-IF(AND(TODAY()&gt;=J$3,TODAY()&lt;K$3),IF(TODAY()&gt;$C19,NETWORKDAYS($C19,TODAY()-1)*$I19,0),0)
)</f>
        <v>-267.59999999999997</v>
      </c>
      <c r="K19" s="59">
        <f t="shared" ca="1" si="21"/>
        <v>0</v>
      </c>
      <c r="L19" s="59">
        <f t="shared" ca="1" si="21"/>
        <v>0</v>
      </c>
      <c r="M19" s="59">
        <f t="shared" ca="1" si="21"/>
        <v>0</v>
      </c>
      <c r="N19" s="59">
        <f t="shared" ca="1" si="21"/>
        <v>0</v>
      </c>
      <c r="O19" s="59">
        <f t="shared" ca="1" si="21"/>
        <v>0</v>
      </c>
      <c r="P19" s="59">
        <f t="shared" ca="1" si="21"/>
        <v>0</v>
      </c>
      <c r="Q19" s="59">
        <f t="shared" ca="1" si="21"/>
        <v>0</v>
      </c>
      <c r="R19" s="59">
        <f t="shared" ca="1" si="21"/>
        <v>0</v>
      </c>
      <c r="S19" s="59">
        <f t="shared" ca="1" si="21"/>
        <v>0</v>
      </c>
      <c r="T19" s="59">
        <f t="shared" ca="1" si="21"/>
        <v>0</v>
      </c>
      <c r="U19" s="59">
        <f t="shared" ca="1" si="21"/>
        <v>0</v>
      </c>
      <c r="V19" s="94"/>
      <c r="W19" s="94">
        <f t="shared" ca="1" si="7"/>
        <v>-267.59999999999997</v>
      </c>
      <c r="X19" s="94" t="b">
        <f t="shared" ca="1" si="8"/>
        <v>0</v>
      </c>
    </row>
    <row r="20" spans="1:24" ht="15" thickBot="1" x14ac:dyDescent="0.35">
      <c r="A20" s="60" t="str">
        <v>Daniela Rojas</v>
      </c>
      <c r="B20" s="21" t="str">
        <v>Gestión de conflictos y relaciones laborales</v>
      </c>
      <c r="C20" s="61">
        <v>45855</v>
      </c>
      <c r="D20" s="61">
        <v>45866</v>
      </c>
      <c r="E20" s="62">
        <v>4</v>
      </c>
      <c r="F20" s="63">
        <f t="shared" ca="1" si="2"/>
        <v>-152.5</v>
      </c>
      <c r="G20" s="64">
        <f t="shared" ca="1" si="3"/>
        <v>-216</v>
      </c>
      <c r="H20" s="65">
        <f t="shared" ca="1" si="4"/>
        <v>-43.2</v>
      </c>
      <c r="I20" s="66">
        <f t="shared" si="5"/>
        <v>0.5</v>
      </c>
      <c r="J20" s="59">
        <f t="shared" ref="J20:U20" ca="1" si="22">IF($A20="","",
IF($C20&gt;J$3+6,0,IF($D20&gt;=J$3,$I20*5,0)
-IF($D20&gt;=J$3,IF(K$3&gt;$D20,NETWORKDAYS($D20,K$3)-2,0)*$I20,0)
-IF(AND($C20&gt;=J$3,$C20&lt;K$3),($C20-J$3)*$I20,0))
-IF(AND(TODAY()&gt;=J$3,TODAY()&lt;K$3),IF(TODAY()&gt;$C20,NETWORKDAYS($C20,TODAY()-1)*$I20,0),0)
)</f>
        <v>-111.5</v>
      </c>
      <c r="K20" s="59">
        <f t="shared" ca="1" si="22"/>
        <v>0</v>
      </c>
      <c r="L20" s="59">
        <f t="shared" ca="1" si="22"/>
        <v>0</v>
      </c>
      <c r="M20" s="59">
        <f t="shared" ca="1" si="22"/>
        <v>0</v>
      </c>
      <c r="N20" s="59">
        <f t="shared" ca="1" si="22"/>
        <v>0</v>
      </c>
      <c r="O20" s="59">
        <f t="shared" ca="1" si="22"/>
        <v>0</v>
      </c>
      <c r="P20" s="59">
        <f t="shared" ca="1" si="22"/>
        <v>0</v>
      </c>
      <c r="Q20" s="59">
        <f t="shared" ca="1" si="22"/>
        <v>0</v>
      </c>
      <c r="R20" s="59">
        <f t="shared" ca="1" si="22"/>
        <v>0</v>
      </c>
      <c r="S20" s="59">
        <f t="shared" ca="1" si="22"/>
        <v>0</v>
      </c>
      <c r="T20" s="59">
        <f t="shared" ca="1" si="22"/>
        <v>0</v>
      </c>
      <c r="U20" s="59">
        <f t="shared" ca="1" si="22"/>
        <v>0</v>
      </c>
      <c r="V20" s="94"/>
      <c r="W20" s="94">
        <f t="shared" ca="1" si="7"/>
        <v>-111.5</v>
      </c>
      <c r="X20" s="94" t="b">
        <f t="shared" ca="1" si="8"/>
        <v>0</v>
      </c>
    </row>
    <row r="21" spans="1:24" ht="15" thickBot="1" x14ac:dyDescent="0.35">
      <c r="A21" s="60" t="str">
        <v>Daniela Rojas</v>
      </c>
      <c r="B21" s="21" t="str">
        <v>Gestión de remuneraciones y beneficios</v>
      </c>
      <c r="C21" s="61">
        <v>45855</v>
      </c>
      <c r="D21" s="61">
        <v>45863</v>
      </c>
      <c r="E21" s="62">
        <v>9</v>
      </c>
      <c r="F21" s="63">
        <f t="shared" ca="1" si="2"/>
        <v>-393.42857142857144</v>
      </c>
      <c r="G21" s="64">
        <f t="shared" ca="1" si="3"/>
        <v>-217</v>
      </c>
      <c r="H21" s="65">
        <f t="shared" ca="1" si="4"/>
        <v>-43.4</v>
      </c>
      <c r="I21" s="66">
        <f t="shared" si="5"/>
        <v>1.2857142857142858</v>
      </c>
      <c r="J21" s="59">
        <f t="shared" ref="J21:U21" ca="1" si="23">IF($A21="","",
IF($C21&gt;J$3+6,0,IF($D21&gt;=J$3,$I21*5,0)
-IF($D21&gt;=J$3,IF(K$3&gt;$D21,NETWORKDAYS($D21,K$3)-2,0)*$I21,0)
-IF(AND($C21&gt;=J$3,$C21&lt;K$3),($C21-J$3)*$I21,0))
-IF(AND(TODAY()&gt;=J$3,TODAY()&lt;K$3),IF(TODAY()&gt;$C21,NETWORKDAYS($C21,TODAY()-1)*$I21,0),0)
)</f>
        <v>-286.71428571428572</v>
      </c>
      <c r="K21" s="59">
        <f t="shared" ca="1" si="23"/>
        <v>0</v>
      </c>
      <c r="L21" s="59">
        <f t="shared" ca="1" si="23"/>
        <v>0</v>
      </c>
      <c r="M21" s="59">
        <f t="shared" ca="1" si="23"/>
        <v>0</v>
      </c>
      <c r="N21" s="59">
        <f t="shared" ca="1" si="23"/>
        <v>0</v>
      </c>
      <c r="O21" s="59">
        <f t="shared" ca="1" si="23"/>
        <v>0</v>
      </c>
      <c r="P21" s="59">
        <f t="shared" ca="1" si="23"/>
        <v>0</v>
      </c>
      <c r="Q21" s="59">
        <f t="shared" ca="1" si="23"/>
        <v>0</v>
      </c>
      <c r="R21" s="59">
        <f t="shared" ca="1" si="23"/>
        <v>0</v>
      </c>
      <c r="S21" s="59">
        <f t="shared" ca="1" si="23"/>
        <v>0</v>
      </c>
      <c r="T21" s="59">
        <f t="shared" ca="1" si="23"/>
        <v>0</v>
      </c>
      <c r="U21" s="59">
        <f t="shared" ca="1" si="23"/>
        <v>0</v>
      </c>
      <c r="V21" s="94"/>
      <c r="W21" s="94">
        <f t="shared" ca="1" si="7"/>
        <v>-286.71428571428572</v>
      </c>
      <c r="X21" s="94" t="b">
        <f t="shared" ca="1" si="8"/>
        <v>0</v>
      </c>
    </row>
    <row r="22" spans="1:24" ht="15" thickBot="1" x14ac:dyDescent="0.35">
      <c r="A22" s="60" t="str">
        <v>Daniela Rojas</v>
      </c>
      <c r="B22" s="21" t="str">
        <v>Gestión de remuneraciones y beneficios</v>
      </c>
      <c r="C22" s="61">
        <v>45848</v>
      </c>
      <c r="D22" s="61">
        <v>45855</v>
      </c>
      <c r="E22" s="62">
        <v>9</v>
      </c>
      <c r="F22" s="63">
        <f t="shared" ca="1" si="2"/>
        <v>-471</v>
      </c>
      <c r="G22" s="64">
        <f t="shared" ca="1" si="3"/>
        <v>-223</v>
      </c>
      <c r="H22" s="65">
        <f t="shared" ca="1" si="4"/>
        <v>-44.6</v>
      </c>
      <c r="I22" s="66">
        <f t="shared" si="5"/>
        <v>1.5</v>
      </c>
      <c r="J22" s="59">
        <f t="shared" ref="J22:U22" ca="1" si="24">IF($A22="","",
IF($C22&gt;J$3+6,0,IF($D22&gt;=J$3,$I22*5,0)
-IF($D22&gt;=J$3,IF(K$3&gt;$D22,NETWORKDAYS($D22,K$3)-2,0)*$I22,0)
-IF(AND($C22&gt;=J$3,$C22&lt;K$3),($C22-J$3)*$I22,0))
-IF(AND(TODAY()&gt;=J$3,TODAY()&lt;K$3),IF(TODAY()&gt;$C22,NETWORKDAYS($C22,TODAY()-1)*$I22,0),0)
)</f>
        <v>-342</v>
      </c>
      <c r="K22" s="59">
        <f t="shared" ca="1" si="24"/>
        <v>0</v>
      </c>
      <c r="L22" s="59">
        <f t="shared" ca="1" si="24"/>
        <v>0</v>
      </c>
      <c r="M22" s="59">
        <f t="shared" ca="1" si="24"/>
        <v>0</v>
      </c>
      <c r="N22" s="59">
        <f t="shared" ca="1" si="24"/>
        <v>0</v>
      </c>
      <c r="O22" s="59">
        <f t="shared" ca="1" si="24"/>
        <v>0</v>
      </c>
      <c r="P22" s="59">
        <f t="shared" ca="1" si="24"/>
        <v>0</v>
      </c>
      <c r="Q22" s="59">
        <f t="shared" ca="1" si="24"/>
        <v>0</v>
      </c>
      <c r="R22" s="59">
        <f t="shared" ca="1" si="24"/>
        <v>0</v>
      </c>
      <c r="S22" s="59">
        <f t="shared" ca="1" si="24"/>
        <v>0</v>
      </c>
      <c r="T22" s="59">
        <f t="shared" ca="1" si="24"/>
        <v>0</v>
      </c>
      <c r="U22" s="59">
        <f t="shared" ca="1" si="24"/>
        <v>0</v>
      </c>
      <c r="V22" s="94"/>
      <c r="W22" s="94">
        <f t="shared" ca="1" si="7"/>
        <v>-342</v>
      </c>
      <c r="X22" s="94" t="b">
        <f t="shared" ca="1" si="8"/>
        <v>0</v>
      </c>
    </row>
    <row r="23" spans="1:24" ht="15" thickBot="1" x14ac:dyDescent="0.35">
      <c r="A23" s="60" t="str">
        <v>Daniela Rojas</v>
      </c>
      <c r="B23" s="21" t="str">
        <v>Gestión del clima laboral</v>
      </c>
      <c r="C23" s="61">
        <v>45848</v>
      </c>
      <c r="D23" s="61">
        <v>45855</v>
      </c>
      <c r="E23" s="62">
        <v>3.5</v>
      </c>
      <c r="F23" s="63">
        <f t="shared" ca="1" si="2"/>
        <v>-183.16666666666669</v>
      </c>
      <c r="G23" s="64">
        <f t="shared" ca="1" si="3"/>
        <v>-223</v>
      </c>
      <c r="H23" s="65">
        <f t="shared" ca="1" si="4"/>
        <v>-44.6</v>
      </c>
      <c r="I23" s="66">
        <f t="shared" si="5"/>
        <v>0.58333333333333337</v>
      </c>
      <c r="J23" s="59">
        <f t="shared" ref="J23:U23" ca="1" si="25">IF($A23="","",
IF($C23&gt;J$3+6,0,IF($D23&gt;=J$3,$I23*5,0)
-IF($D23&gt;=J$3,IF(K$3&gt;$D23,NETWORKDAYS($D23,K$3)-2,0)*$I23,0)
-IF(AND($C23&gt;=J$3,$C23&lt;K$3),($C23-J$3)*$I23,0))
-IF(AND(TODAY()&gt;=J$3,TODAY()&lt;K$3),IF(TODAY()&gt;$C23,NETWORKDAYS($C23,TODAY()-1)*$I23,0),0)
)</f>
        <v>-133</v>
      </c>
      <c r="K23" s="59">
        <f t="shared" ca="1" si="25"/>
        <v>0</v>
      </c>
      <c r="L23" s="59">
        <f t="shared" ca="1" si="25"/>
        <v>0</v>
      </c>
      <c r="M23" s="59">
        <f t="shared" ca="1" si="25"/>
        <v>0</v>
      </c>
      <c r="N23" s="59">
        <f t="shared" ca="1" si="25"/>
        <v>0</v>
      </c>
      <c r="O23" s="59">
        <f t="shared" ca="1" si="25"/>
        <v>0</v>
      </c>
      <c r="P23" s="59">
        <f t="shared" ca="1" si="25"/>
        <v>0</v>
      </c>
      <c r="Q23" s="59">
        <f t="shared" ca="1" si="25"/>
        <v>0</v>
      </c>
      <c r="R23" s="59">
        <f t="shared" ca="1" si="25"/>
        <v>0</v>
      </c>
      <c r="S23" s="59">
        <f t="shared" ca="1" si="25"/>
        <v>0</v>
      </c>
      <c r="T23" s="59">
        <f t="shared" ca="1" si="25"/>
        <v>0</v>
      </c>
      <c r="U23" s="59">
        <f t="shared" ca="1" si="25"/>
        <v>0</v>
      </c>
      <c r="V23" s="94"/>
      <c r="W23" s="94">
        <f t="shared" ca="1" si="7"/>
        <v>-133</v>
      </c>
      <c r="X23" s="94" t="b">
        <f t="shared" ca="1" si="8"/>
        <v>0</v>
      </c>
    </row>
    <row r="24" spans="1:24" ht="15" thickBot="1" x14ac:dyDescent="0.35">
      <c r="A24" s="60" t="str">
        <v>Daniela Rojas</v>
      </c>
      <c r="B24" s="21" t="str">
        <v>Gestión de salud y seguridad ocupacional</v>
      </c>
      <c r="C24" s="61">
        <v>45848</v>
      </c>
      <c r="D24" s="61">
        <v>45855</v>
      </c>
      <c r="E24" s="62">
        <v>2.5</v>
      </c>
      <c r="F24" s="63">
        <f t="shared" ca="1" si="2"/>
        <v>-130.83333333333334</v>
      </c>
      <c r="G24" s="64">
        <f t="shared" ca="1" si="3"/>
        <v>-223</v>
      </c>
      <c r="H24" s="65">
        <f t="shared" ca="1" si="4"/>
        <v>-44.6</v>
      </c>
      <c r="I24" s="66">
        <f t="shared" si="5"/>
        <v>0.41666666666666669</v>
      </c>
      <c r="J24" s="59">
        <f t="shared" ref="J24:U24" ca="1" si="26">IF($A24="","",
IF($C24&gt;J$3+6,0,IF($D24&gt;=J$3,$I24*5,0)
-IF($D24&gt;=J$3,IF(K$3&gt;$D24,NETWORKDAYS($D24,K$3)-2,0)*$I24,0)
-IF(AND($C24&gt;=J$3,$C24&lt;K$3),($C24-J$3)*$I24,0))
-IF(AND(TODAY()&gt;=J$3,TODAY()&lt;K$3),IF(TODAY()&gt;$C24,NETWORKDAYS($C24,TODAY()-1)*$I24,0),0)
)</f>
        <v>-95</v>
      </c>
      <c r="K24" s="59">
        <f t="shared" ca="1" si="26"/>
        <v>0</v>
      </c>
      <c r="L24" s="59">
        <f t="shared" ca="1" si="26"/>
        <v>0</v>
      </c>
      <c r="M24" s="59">
        <f t="shared" ca="1" si="26"/>
        <v>0</v>
      </c>
      <c r="N24" s="59">
        <f t="shared" ca="1" si="26"/>
        <v>0</v>
      </c>
      <c r="O24" s="59">
        <f t="shared" ca="1" si="26"/>
        <v>0</v>
      </c>
      <c r="P24" s="59">
        <f t="shared" ca="1" si="26"/>
        <v>0</v>
      </c>
      <c r="Q24" s="59">
        <f t="shared" ca="1" si="26"/>
        <v>0</v>
      </c>
      <c r="R24" s="59">
        <f t="shared" ca="1" si="26"/>
        <v>0</v>
      </c>
      <c r="S24" s="59">
        <f t="shared" ca="1" si="26"/>
        <v>0</v>
      </c>
      <c r="T24" s="59">
        <f t="shared" ca="1" si="26"/>
        <v>0</v>
      </c>
      <c r="U24" s="59">
        <f t="shared" ca="1" si="26"/>
        <v>0</v>
      </c>
      <c r="V24" s="94"/>
      <c r="W24" s="94">
        <f t="shared" ca="1" si="7"/>
        <v>-95</v>
      </c>
      <c r="X24" s="94" t="b">
        <f t="shared" ca="1" si="8"/>
        <v>0</v>
      </c>
    </row>
    <row r="25" spans="1:24" ht="15" thickBot="1" x14ac:dyDescent="0.35">
      <c r="A25" s="60" t="str">
        <v>Daniela Rojas</v>
      </c>
      <c r="B25" s="21" t="str">
        <v>Evaluación del desempeño</v>
      </c>
      <c r="C25" s="61">
        <v>45862</v>
      </c>
      <c r="D25" s="61">
        <v>45869</v>
      </c>
      <c r="E25" s="62">
        <v>10</v>
      </c>
      <c r="F25" s="63">
        <f t="shared" ca="1" si="2"/>
        <v>-500</v>
      </c>
      <c r="G25" s="64">
        <f t="shared" ca="1" si="3"/>
        <v>-213</v>
      </c>
      <c r="H25" s="65">
        <f t="shared" ca="1" si="4"/>
        <v>-42.6</v>
      </c>
      <c r="I25" s="66">
        <f t="shared" si="5"/>
        <v>1.6666666666666667</v>
      </c>
      <c r="J25" s="59">
        <f t="shared" ref="J25:U25" ca="1" si="27">IF($A25="","",
IF($C25&gt;J$3+6,0,IF($D25&gt;=J$3,$I25*5,0)
-IF($D25&gt;=J$3,IF(K$3&gt;$D25,NETWORKDAYS($D25,K$3)-2,0)*$I25,0)
-IF(AND($C25&gt;=J$3,$C25&lt;K$3),($C25-J$3)*$I25,0))
-IF(AND(TODAY()&gt;=J$3,TODAY()&lt;K$3),IF(TODAY()&gt;$C25,NETWORKDAYS($C25,TODAY()-1)*$I25,0),0)
)</f>
        <v>-363.33333333333337</v>
      </c>
      <c r="K25" s="59">
        <f t="shared" ca="1" si="27"/>
        <v>0</v>
      </c>
      <c r="L25" s="59">
        <f t="shared" ca="1" si="27"/>
        <v>0</v>
      </c>
      <c r="M25" s="59">
        <f t="shared" ca="1" si="27"/>
        <v>0</v>
      </c>
      <c r="N25" s="59">
        <f t="shared" ca="1" si="27"/>
        <v>0</v>
      </c>
      <c r="O25" s="59">
        <f t="shared" ca="1" si="27"/>
        <v>0</v>
      </c>
      <c r="P25" s="59">
        <f t="shared" ca="1" si="27"/>
        <v>0</v>
      </c>
      <c r="Q25" s="59">
        <f t="shared" ca="1" si="27"/>
        <v>0</v>
      </c>
      <c r="R25" s="59">
        <f t="shared" ca="1" si="27"/>
        <v>0</v>
      </c>
      <c r="S25" s="59">
        <f t="shared" ca="1" si="27"/>
        <v>0</v>
      </c>
      <c r="T25" s="59">
        <f t="shared" ca="1" si="27"/>
        <v>0</v>
      </c>
      <c r="U25" s="59">
        <f t="shared" ca="1" si="27"/>
        <v>0</v>
      </c>
      <c r="V25" s="94"/>
      <c r="W25" s="94">
        <f t="shared" ca="1" si="7"/>
        <v>-363.33333333333337</v>
      </c>
      <c r="X25" s="94" t="b">
        <f t="shared" ca="1" si="8"/>
        <v>0</v>
      </c>
    </row>
    <row r="26" spans="1:24" ht="15" thickBot="1" x14ac:dyDescent="0.35">
      <c r="A26" s="60" t="str">
        <v>Daniela Rojas</v>
      </c>
      <c r="B26" s="21" t="str">
        <v>Reclutamiento y selección</v>
      </c>
      <c r="C26" s="61">
        <v>45848</v>
      </c>
      <c r="D26" s="61">
        <v>45855</v>
      </c>
      <c r="E26" s="62">
        <v>6</v>
      </c>
      <c r="F26" s="63">
        <f t="shared" ca="1" si="2"/>
        <v>-314</v>
      </c>
      <c r="G26" s="64">
        <f t="shared" ca="1" si="3"/>
        <v>-223</v>
      </c>
      <c r="H26" s="65">
        <f t="shared" ca="1" si="4"/>
        <v>-44.6</v>
      </c>
      <c r="I26" s="66">
        <f t="shared" si="5"/>
        <v>1</v>
      </c>
      <c r="J26" s="59">
        <f t="shared" ref="J26:U26" ca="1" si="28">IF($A26="","",
IF($C26&gt;J$3+6,0,IF($D26&gt;=J$3,$I26*5,0)
-IF($D26&gt;=J$3,IF(K$3&gt;$D26,NETWORKDAYS($D26,K$3)-2,0)*$I26,0)
-IF(AND($C26&gt;=J$3,$C26&lt;K$3),($C26-J$3)*$I26,0))
-IF(AND(TODAY()&gt;=J$3,TODAY()&lt;K$3),IF(TODAY()&gt;$C26,NETWORKDAYS($C26,TODAY()-1)*$I26,0),0)
)</f>
        <v>-228</v>
      </c>
      <c r="K26" s="59">
        <f t="shared" ca="1" si="28"/>
        <v>0</v>
      </c>
      <c r="L26" s="59">
        <f t="shared" ca="1" si="28"/>
        <v>0</v>
      </c>
      <c r="M26" s="59">
        <f t="shared" ca="1" si="28"/>
        <v>0</v>
      </c>
      <c r="N26" s="59">
        <f t="shared" ca="1" si="28"/>
        <v>0</v>
      </c>
      <c r="O26" s="59">
        <f t="shared" ca="1" si="28"/>
        <v>0</v>
      </c>
      <c r="P26" s="59">
        <f t="shared" ca="1" si="28"/>
        <v>0</v>
      </c>
      <c r="Q26" s="59">
        <f t="shared" ca="1" si="28"/>
        <v>0</v>
      </c>
      <c r="R26" s="59">
        <f t="shared" ca="1" si="28"/>
        <v>0</v>
      </c>
      <c r="S26" s="59">
        <f t="shared" ca="1" si="28"/>
        <v>0</v>
      </c>
      <c r="T26" s="59">
        <f t="shared" ca="1" si="28"/>
        <v>0</v>
      </c>
      <c r="U26" s="59">
        <f t="shared" ca="1" si="28"/>
        <v>0</v>
      </c>
      <c r="V26" s="94"/>
      <c r="W26" s="94">
        <f t="shared" ca="1" si="7"/>
        <v>-228</v>
      </c>
      <c r="X26" s="94" t="b">
        <f t="shared" ca="1" si="8"/>
        <v>0</v>
      </c>
    </row>
    <row r="27" spans="1:24" ht="15" thickBot="1" x14ac:dyDescent="0.35">
      <c r="A27" s="60" t="str">
        <v>Daniela Rojas</v>
      </c>
      <c r="B27" s="21" t="str">
        <v>Administración de personal</v>
      </c>
      <c r="C27" s="61">
        <v>45848</v>
      </c>
      <c r="D27" s="61">
        <v>45855</v>
      </c>
      <c r="E27" s="62">
        <v>3</v>
      </c>
      <c r="F27" s="63">
        <f t="shared" ca="1" si="2"/>
        <v>-157</v>
      </c>
      <c r="G27" s="64">
        <f t="shared" ca="1" si="3"/>
        <v>-223</v>
      </c>
      <c r="H27" s="65">
        <f t="shared" ca="1" si="4"/>
        <v>-44.6</v>
      </c>
      <c r="I27" s="66">
        <f t="shared" si="5"/>
        <v>0.5</v>
      </c>
      <c r="J27" s="59">
        <f t="shared" ref="J27:U27" ca="1" si="29">IF($A27="","",
IF($C27&gt;J$3+6,0,IF($D27&gt;=J$3,$I27*5,0)
-IF($D27&gt;=J$3,IF(K$3&gt;$D27,NETWORKDAYS($D27,K$3)-2,0)*$I27,0)
-IF(AND($C27&gt;=J$3,$C27&lt;K$3),($C27-J$3)*$I27,0))
-IF(AND(TODAY()&gt;=J$3,TODAY()&lt;K$3),IF(TODAY()&gt;$C27,NETWORKDAYS($C27,TODAY()-1)*$I27,0),0)
)</f>
        <v>-114</v>
      </c>
      <c r="K27" s="59">
        <f t="shared" ca="1" si="29"/>
        <v>0</v>
      </c>
      <c r="L27" s="59">
        <f t="shared" ca="1" si="29"/>
        <v>0</v>
      </c>
      <c r="M27" s="59">
        <f t="shared" ca="1" si="29"/>
        <v>0</v>
      </c>
      <c r="N27" s="59">
        <f t="shared" ca="1" si="29"/>
        <v>0</v>
      </c>
      <c r="O27" s="59">
        <f t="shared" ca="1" si="29"/>
        <v>0</v>
      </c>
      <c r="P27" s="59">
        <f t="shared" ca="1" si="29"/>
        <v>0</v>
      </c>
      <c r="Q27" s="59">
        <f t="shared" ca="1" si="29"/>
        <v>0</v>
      </c>
      <c r="R27" s="59">
        <f t="shared" ca="1" si="29"/>
        <v>0</v>
      </c>
      <c r="S27" s="59">
        <f t="shared" ca="1" si="29"/>
        <v>0</v>
      </c>
      <c r="T27" s="59">
        <f t="shared" ca="1" si="29"/>
        <v>0</v>
      </c>
      <c r="U27" s="59">
        <f t="shared" ca="1" si="29"/>
        <v>0</v>
      </c>
      <c r="V27" s="94"/>
      <c r="W27" s="94">
        <f t="shared" ca="1" si="7"/>
        <v>-114</v>
      </c>
      <c r="X27" s="94" t="b">
        <f t="shared" ca="1" si="8"/>
        <v>0</v>
      </c>
    </row>
    <row r="28" spans="1:24" ht="15" thickBot="1" x14ac:dyDescent="0.35">
      <c r="A28" s="60" t="str">
        <v>Daniela Rojas</v>
      </c>
      <c r="B28" s="21" t="str">
        <v>Inducción y bienvenida</v>
      </c>
      <c r="C28" s="61">
        <v>45848</v>
      </c>
      <c r="D28" s="61">
        <v>45855</v>
      </c>
      <c r="E28" s="62">
        <v>2.5</v>
      </c>
      <c r="F28" s="63">
        <f t="shared" ca="1" si="2"/>
        <v>-130.83333333333334</v>
      </c>
      <c r="G28" s="64">
        <f t="shared" ca="1" si="3"/>
        <v>-223</v>
      </c>
      <c r="H28" s="65">
        <f t="shared" ca="1" si="4"/>
        <v>-44.6</v>
      </c>
      <c r="I28" s="66">
        <f t="shared" si="5"/>
        <v>0.41666666666666669</v>
      </c>
      <c r="J28" s="59">
        <f t="shared" ref="J28:U28" ca="1" si="30">IF($A28="","",
IF($C28&gt;J$3+6,0,IF($D28&gt;=J$3,$I28*5,0)
-IF($D28&gt;=J$3,IF(K$3&gt;$D28,NETWORKDAYS($D28,K$3)-2,0)*$I28,0)
-IF(AND($C28&gt;=J$3,$C28&lt;K$3),($C28-J$3)*$I28,0))
-IF(AND(TODAY()&gt;=J$3,TODAY()&lt;K$3),IF(TODAY()&gt;$C28,NETWORKDAYS($C28,TODAY()-1)*$I28,0),0)
)</f>
        <v>-95</v>
      </c>
      <c r="K28" s="59">
        <f t="shared" ca="1" si="30"/>
        <v>0</v>
      </c>
      <c r="L28" s="59">
        <f t="shared" ca="1" si="30"/>
        <v>0</v>
      </c>
      <c r="M28" s="59">
        <f t="shared" ca="1" si="30"/>
        <v>0</v>
      </c>
      <c r="N28" s="59">
        <f t="shared" ca="1" si="30"/>
        <v>0</v>
      </c>
      <c r="O28" s="59">
        <f t="shared" ca="1" si="30"/>
        <v>0</v>
      </c>
      <c r="P28" s="59">
        <f t="shared" ca="1" si="30"/>
        <v>0</v>
      </c>
      <c r="Q28" s="59">
        <f t="shared" ca="1" si="30"/>
        <v>0</v>
      </c>
      <c r="R28" s="59">
        <f t="shared" ca="1" si="30"/>
        <v>0</v>
      </c>
      <c r="S28" s="59">
        <f t="shared" ca="1" si="30"/>
        <v>0</v>
      </c>
      <c r="T28" s="59">
        <f t="shared" ca="1" si="30"/>
        <v>0</v>
      </c>
      <c r="U28" s="59">
        <f t="shared" ca="1" si="30"/>
        <v>0</v>
      </c>
      <c r="V28" s="94"/>
      <c r="W28" s="94">
        <f t="shared" ca="1" si="7"/>
        <v>-95</v>
      </c>
      <c r="X28" s="94" t="b">
        <f t="shared" ca="1" si="8"/>
        <v>0</v>
      </c>
    </row>
    <row r="29" spans="1:24" ht="15" thickBot="1" x14ac:dyDescent="0.35">
      <c r="A29" s="60" t="str">
        <v>Daniela Rojas</v>
      </c>
      <c r="B29" s="21" t="str">
        <v>Inducción y bienvenida</v>
      </c>
      <c r="C29" s="61">
        <v>45862</v>
      </c>
      <c r="D29" s="61">
        <v>45869</v>
      </c>
      <c r="E29" s="62">
        <v>2.5</v>
      </c>
      <c r="F29" s="63">
        <f t="shared" ca="1" si="2"/>
        <v>-125</v>
      </c>
      <c r="G29" s="64">
        <f t="shared" ca="1" si="3"/>
        <v>-213</v>
      </c>
      <c r="H29" s="65">
        <f t="shared" ca="1" si="4"/>
        <v>-42.6</v>
      </c>
      <c r="I29" s="66">
        <f t="shared" si="5"/>
        <v>0.41666666666666669</v>
      </c>
      <c r="J29" s="59">
        <f t="shared" ref="J29:U29" ca="1" si="31">IF($A29="","",
IF($C29&gt;J$3+6,0,IF($D29&gt;=J$3,$I29*5,0)
-IF($D29&gt;=J$3,IF(K$3&gt;$D29,NETWORKDAYS($D29,K$3)-2,0)*$I29,0)
-IF(AND($C29&gt;=J$3,$C29&lt;K$3),($C29-J$3)*$I29,0))
-IF(AND(TODAY()&gt;=J$3,TODAY()&lt;K$3),IF(TODAY()&gt;$C29,NETWORKDAYS($C29,TODAY()-1)*$I29,0),0)
)</f>
        <v>-90.833333333333343</v>
      </c>
      <c r="K29" s="59">
        <f t="shared" ca="1" si="31"/>
        <v>0</v>
      </c>
      <c r="L29" s="59">
        <f t="shared" ca="1" si="31"/>
        <v>0</v>
      </c>
      <c r="M29" s="59">
        <f t="shared" ca="1" si="31"/>
        <v>0</v>
      </c>
      <c r="N29" s="59">
        <f t="shared" ca="1" si="31"/>
        <v>0</v>
      </c>
      <c r="O29" s="59">
        <f t="shared" ca="1" si="31"/>
        <v>0</v>
      </c>
      <c r="P29" s="59">
        <f t="shared" ca="1" si="31"/>
        <v>0</v>
      </c>
      <c r="Q29" s="59">
        <f t="shared" ca="1" si="31"/>
        <v>0</v>
      </c>
      <c r="R29" s="59">
        <f t="shared" ca="1" si="31"/>
        <v>0</v>
      </c>
      <c r="S29" s="59">
        <f t="shared" ca="1" si="31"/>
        <v>0</v>
      </c>
      <c r="T29" s="59">
        <f t="shared" ca="1" si="31"/>
        <v>0</v>
      </c>
      <c r="U29" s="59">
        <f t="shared" ca="1" si="31"/>
        <v>0</v>
      </c>
      <c r="V29" s="94"/>
      <c r="W29" s="94">
        <f t="shared" ca="1" si="7"/>
        <v>-90.833333333333343</v>
      </c>
      <c r="X29" s="94" t="b">
        <f t="shared" ca="1" si="8"/>
        <v>0</v>
      </c>
    </row>
    <row r="30" spans="1:24" ht="15" thickBot="1" x14ac:dyDescent="0.35">
      <c r="A30" s="60" t="str">
        <v>Daniela Rojas</v>
      </c>
      <c r="B30" s="21" t="str">
        <v>Selección</v>
      </c>
      <c r="C30" s="61">
        <v>45863</v>
      </c>
      <c r="D30" s="61">
        <v>45870</v>
      </c>
      <c r="E30" s="62">
        <v>10</v>
      </c>
      <c r="F30" s="63">
        <f t="shared" ca="1" si="2"/>
        <v>-498.33333333333337</v>
      </c>
      <c r="G30" s="64">
        <f t="shared" ca="1" si="3"/>
        <v>-212</v>
      </c>
      <c r="H30" s="65">
        <f t="shared" ca="1" si="4"/>
        <v>-42.4</v>
      </c>
      <c r="I30" s="66">
        <f t="shared" si="5"/>
        <v>1.6666666666666667</v>
      </c>
      <c r="J30" s="59">
        <f t="shared" ref="J30:U30" ca="1" si="32">IF($A30="","",
IF($C30&gt;J$3+6,0,IF($D30&gt;=J$3,$I30*5,0)
-IF($D30&gt;=J$3,IF(K$3&gt;$D30,NETWORKDAYS($D30,K$3)-2,0)*$I30,0)
-IF(AND($C30&gt;=J$3,$C30&lt;K$3),($C30-J$3)*$I30,0))
-IF(AND(TODAY()&gt;=J$3,TODAY()&lt;K$3),IF(TODAY()&gt;$C30,NETWORKDAYS($C30,TODAY()-1)*$I30,0),0)
)</f>
        <v>-361.66666666666669</v>
      </c>
      <c r="K30" s="59">
        <f t="shared" ca="1" si="32"/>
        <v>0</v>
      </c>
      <c r="L30" s="59">
        <f t="shared" ca="1" si="32"/>
        <v>0</v>
      </c>
      <c r="M30" s="59">
        <f t="shared" ca="1" si="32"/>
        <v>0</v>
      </c>
      <c r="N30" s="59">
        <f t="shared" ca="1" si="32"/>
        <v>0</v>
      </c>
      <c r="O30" s="59">
        <f t="shared" ca="1" si="32"/>
        <v>0</v>
      </c>
      <c r="P30" s="59">
        <f t="shared" ca="1" si="32"/>
        <v>0</v>
      </c>
      <c r="Q30" s="59">
        <f t="shared" ca="1" si="32"/>
        <v>0</v>
      </c>
      <c r="R30" s="59">
        <f t="shared" ca="1" si="32"/>
        <v>0</v>
      </c>
      <c r="S30" s="59">
        <f t="shared" ca="1" si="32"/>
        <v>0</v>
      </c>
      <c r="T30" s="59">
        <f t="shared" ca="1" si="32"/>
        <v>0</v>
      </c>
      <c r="U30" s="59">
        <f t="shared" ca="1" si="32"/>
        <v>0</v>
      </c>
      <c r="V30" s="94"/>
      <c r="W30" s="94">
        <f t="shared" ca="1" si="7"/>
        <v>-361.66666666666669</v>
      </c>
      <c r="X30" s="94" t="b">
        <f t="shared" ca="1" si="8"/>
        <v>0</v>
      </c>
    </row>
    <row r="31" spans="1:24" ht="15" thickBot="1" x14ac:dyDescent="0.35">
      <c r="A31" s="60" t="str">
        <v>Felipe Ramírez</v>
      </c>
      <c r="B31" s="21" t="str">
        <v>Evaluación del desempeño</v>
      </c>
      <c r="C31" s="61">
        <v>45841</v>
      </c>
      <c r="D31" s="61">
        <v>45849</v>
      </c>
      <c r="E31" s="62">
        <v>10</v>
      </c>
      <c r="F31" s="63">
        <f t="shared" ca="1" si="2"/>
        <v>-457.14285714285717</v>
      </c>
      <c r="G31" s="64">
        <f t="shared" ca="1" si="3"/>
        <v>-227</v>
      </c>
      <c r="H31" s="65">
        <f t="shared" ca="1" si="4"/>
        <v>-45.4</v>
      </c>
      <c r="I31" s="66">
        <f t="shared" si="5"/>
        <v>1.4285714285714286</v>
      </c>
      <c r="J31" s="59">
        <f t="shared" ref="J31:U31" ca="1" si="33">IF($A31="","",
IF($C31&gt;J$3+6,0,IF($D31&gt;=J$3,$I31*5,0)
-IF($D31&gt;=J$3,IF(K$3&gt;$D31,NETWORKDAYS($D31,K$3)-2,0)*$I31,0)
-IF(AND($C31&gt;=J$3,$C31&lt;K$3),($C31-J$3)*$I31,0))
-IF(AND(TODAY()&gt;=J$3,TODAY()&lt;K$3),IF(TODAY()&gt;$C31,NETWORKDAYS($C31,TODAY()-1)*$I31,0),0)
)</f>
        <v>-332.85714285714289</v>
      </c>
      <c r="K31" s="59">
        <f t="shared" ca="1" si="33"/>
        <v>0</v>
      </c>
      <c r="L31" s="59">
        <f t="shared" ca="1" si="33"/>
        <v>0</v>
      </c>
      <c r="M31" s="59">
        <f t="shared" ca="1" si="33"/>
        <v>0</v>
      </c>
      <c r="N31" s="59">
        <f t="shared" ca="1" si="33"/>
        <v>0</v>
      </c>
      <c r="O31" s="59">
        <f t="shared" ca="1" si="33"/>
        <v>0</v>
      </c>
      <c r="P31" s="59">
        <f t="shared" ca="1" si="33"/>
        <v>0</v>
      </c>
      <c r="Q31" s="59">
        <f t="shared" ca="1" si="33"/>
        <v>0</v>
      </c>
      <c r="R31" s="59">
        <f t="shared" ca="1" si="33"/>
        <v>0</v>
      </c>
      <c r="S31" s="59">
        <f t="shared" ca="1" si="33"/>
        <v>0</v>
      </c>
      <c r="T31" s="59">
        <f t="shared" ca="1" si="33"/>
        <v>0</v>
      </c>
      <c r="U31" s="59">
        <f t="shared" ca="1" si="33"/>
        <v>0</v>
      </c>
      <c r="V31" s="94"/>
      <c r="W31" s="94">
        <f t="shared" ca="1" si="7"/>
        <v>-332.85714285714289</v>
      </c>
      <c r="X31" s="94" t="b">
        <f t="shared" ca="1" si="8"/>
        <v>0</v>
      </c>
    </row>
    <row r="32" spans="1:24" ht="15" thickBot="1" x14ac:dyDescent="0.35">
      <c r="A32" s="60" t="str">
        <v>Felipe Ramírez</v>
      </c>
      <c r="B32" s="21" t="str">
        <v>Inducción y bienvenida</v>
      </c>
      <c r="C32" s="61">
        <v>45841</v>
      </c>
      <c r="D32" s="61">
        <v>45848</v>
      </c>
      <c r="E32" s="62">
        <v>2.5</v>
      </c>
      <c r="F32" s="63">
        <f t="shared" ca="1" si="2"/>
        <v>-133.75</v>
      </c>
      <c r="G32" s="64">
        <f t="shared" ca="1" si="3"/>
        <v>-228</v>
      </c>
      <c r="H32" s="65">
        <f t="shared" ca="1" si="4"/>
        <v>-45.6</v>
      </c>
      <c r="I32" s="66">
        <f t="shared" si="5"/>
        <v>0.41666666666666669</v>
      </c>
      <c r="J32" s="59">
        <f t="shared" ref="J32:U32" ca="1" si="34">IF($A32="","",
IF($C32&gt;J$3+6,0,IF($D32&gt;=J$3,$I32*5,0)
-IF($D32&gt;=J$3,IF(K$3&gt;$D32,NETWORKDAYS($D32,K$3)-2,0)*$I32,0)
-IF(AND($C32&gt;=J$3,$C32&lt;K$3),($C32-J$3)*$I32,0))
-IF(AND(TODAY()&gt;=J$3,TODAY()&lt;K$3),IF(TODAY()&gt;$C32,NETWORKDAYS($C32,TODAY()-1)*$I32,0),0)
)</f>
        <v>-97.083333333333343</v>
      </c>
      <c r="K32" s="59">
        <f t="shared" ca="1" si="34"/>
        <v>0</v>
      </c>
      <c r="L32" s="59">
        <f t="shared" ca="1" si="34"/>
        <v>0</v>
      </c>
      <c r="M32" s="59">
        <f t="shared" ca="1" si="34"/>
        <v>0</v>
      </c>
      <c r="N32" s="59">
        <f t="shared" ca="1" si="34"/>
        <v>0</v>
      </c>
      <c r="O32" s="59">
        <f t="shared" ca="1" si="34"/>
        <v>0</v>
      </c>
      <c r="P32" s="59">
        <f t="shared" ca="1" si="34"/>
        <v>0</v>
      </c>
      <c r="Q32" s="59">
        <f t="shared" ca="1" si="34"/>
        <v>0</v>
      </c>
      <c r="R32" s="59">
        <f t="shared" ca="1" si="34"/>
        <v>0</v>
      </c>
      <c r="S32" s="59">
        <f t="shared" ca="1" si="34"/>
        <v>0</v>
      </c>
      <c r="T32" s="59">
        <f t="shared" ca="1" si="34"/>
        <v>0</v>
      </c>
      <c r="U32" s="59">
        <f t="shared" ca="1" si="34"/>
        <v>0</v>
      </c>
      <c r="V32" s="94"/>
      <c r="W32" s="94">
        <f t="shared" ca="1" si="7"/>
        <v>-97.083333333333343</v>
      </c>
      <c r="X32" s="94" t="b">
        <f t="shared" ca="1" si="8"/>
        <v>0</v>
      </c>
    </row>
    <row r="33" spans="1:24" ht="15" thickBot="1" x14ac:dyDescent="0.35">
      <c r="A33" s="60" t="str">
        <v>Felipe Ramírez</v>
      </c>
      <c r="B33" s="21" t="str">
        <v>Evaluación del desempeño</v>
      </c>
      <c r="C33" s="61">
        <v>45855</v>
      </c>
      <c r="D33" s="61">
        <v>45863</v>
      </c>
      <c r="E33" s="62">
        <v>10</v>
      </c>
      <c r="F33" s="63">
        <f t="shared" ca="1" si="2"/>
        <v>-437.14285714285717</v>
      </c>
      <c r="G33" s="64">
        <f t="shared" ca="1" si="3"/>
        <v>-217</v>
      </c>
      <c r="H33" s="65">
        <f t="shared" ca="1" si="4"/>
        <v>-43.4</v>
      </c>
      <c r="I33" s="66">
        <f t="shared" si="5"/>
        <v>1.4285714285714286</v>
      </c>
      <c r="J33" s="59">
        <f t="shared" ref="J33:U33" ca="1" si="35">IF($A33="","",
IF($C33&gt;J$3+6,0,IF($D33&gt;=J$3,$I33*5,0)
-IF($D33&gt;=J$3,IF(K$3&gt;$D33,NETWORKDAYS($D33,K$3)-2,0)*$I33,0)
-IF(AND($C33&gt;=J$3,$C33&lt;K$3),($C33-J$3)*$I33,0))
-IF(AND(TODAY()&gt;=J$3,TODAY()&lt;K$3),IF(TODAY()&gt;$C33,NETWORKDAYS($C33,TODAY()-1)*$I33,0),0)
)</f>
        <v>-318.57142857142856</v>
      </c>
      <c r="K33" s="59">
        <f t="shared" ca="1" si="35"/>
        <v>0</v>
      </c>
      <c r="L33" s="59">
        <f t="shared" ca="1" si="35"/>
        <v>0</v>
      </c>
      <c r="M33" s="59">
        <f t="shared" ca="1" si="35"/>
        <v>0</v>
      </c>
      <c r="N33" s="59">
        <f t="shared" ca="1" si="35"/>
        <v>0</v>
      </c>
      <c r="O33" s="59">
        <f t="shared" ca="1" si="35"/>
        <v>0</v>
      </c>
      <c r="P33" s="59">
        <f t="shared" ca="1" si="35"/>
        <v>0</v>
      </c>
      <c r="Q33" s="59">
        <f t="shared" ca="1" si="35"/>
        <v>0</v>
      </c>
      <c r="R33" s="59">
        <f t="shared" ca="1" si="35"/>
        <v>0</v>
      </c>
      <c r="S33" s="59">
        <f t="shared" ca="1" si="35"/>
        <v>0</v>
      </c>
      <c r="T33" s="59">
        <f t="shared" ca="1" si="35"/>
        <v>0</v>
      </c>
      <c r="U33" s="59">
        <f t="shared" ca="1" si="35"/>
        <v>0</v>
      </c>
      <c r="V33" s="94"/>
      <c r="W33" s="94">
        <f t="shared" ca="1" si="7"/>
        <v>-318.57142857142856</v>
      </c>
      <c r="X33" s="94" t="b">
        <f t="shared" ca="1" si="8"/>
        <v>0</v>
      </c>
    </row>
    <row r="34" spans="1:24" ht="15" thickBot="1" x14ac:dyDescent="0.35">
      <c r="A34" s="60" t="str">
        <v>Felipe Ramírez</v>
      </c>
      <c r="B34" s="21" t="str">
        <v>Inducción y bienvenida</v>
      </c>
      <c r="C34" s="61">
        <v>45855</v>
      </c>
      <c r="D34" s="61">
        <v>45862</v>
      </c>
      <c r="E34" s="62">
        <v>2.5</v>
      </c>
      <c r="F34" s="63">
        <f t="shared" ca="1" si="2"/>
        <v>-127.91666666666669</v>
      </c>
      <c r="G34" s="64">
        <f t="shared" ca="1" si="3"/>
        <v>-218</v>
      </c>
      <c r="H34" s="65">
        <f t="shared" ca="1" si="4"/>
        <v>-43.6</v>
      </c>
      <c r="I34" s="66">
        <f t="shared" si="5"/>
        <v>0.41666666666666669</v>
      </c>
      <c r="J34" s="59">
        <f t="shared" ref="J34:U34" ca="1" si="36">IF($A34="","",
IF($C34&gt;J$3+6,0,IF($D34&gt;=J$3,$I34*5,0)
-IF($D34&gt;=J$3,IF(K$3&gt;$D34,NETWORKDAYS($D34,K$3)-2,0)*$I34,0)
-IF(AND($C34&gt;=J$3,$C34&lt;K$3),($C34-J$3)*$I34,0))
-IF(AND(TODAY()&gt;=J$3,TODAY()&lt;K$3),IF(TODAY()&gt;$C34,NETWORKDAYS($C34,TODAY()-1)*$I34,0),0)
)</f>
        <v>-92.916666666666671</v>
      </c>
      <c r="K34" s="59">
        <f t="shared" ca="1" si="36"/>
        <v>0</v>
      </c>
      <c r="L34" s="59">
        <f t="shared" ca="1" si="36"/>
        <v>0</v>
      </c>
      <c r="M34" s="59">
        <f t="shared" ca="1" si="36"/>
        <v>0</v>
      </c>
      <c r="N34" s="59">
        <f t="shared" ca="1" si="36"/>
        <v>0</v>
      </c>
      <c r="O34" s="59">
        <f t="shared" ca="1" si="36"/>
        <v>0</v>
      </c>
      <c r="P34" s="59">
        <f t="shared" ca="1" si="36"/>
        <v>0</v>
      </c>
      <c r="Q34" s="59">
        <f t="shared" ca="1" si="36"/>
        <v>0</v>
      </c>
      <c r="R34" s="59">
        <f t="shared" ca="1" si="36"/>
        <v>0</v>
      </c>
      <c r="S34" s="59">
        <f t="shared" ca="1" si="36"/>
        <v>0</v>
      </c>
      <c r="T34" s="59">
        <f t="shared" ca="1" si="36"/>
        <v>0</v>
      </c>
      <c r="U34" s="59">
        <f t="shared" ca="1" si="36"/>
        <v>0</v>
      </c>
      <c r="V34" s="94"/>
      <c r="W34" s="94">
        <f t="shared" ca="1" si="7"/>
        <v>-92.916666666666671</v>
      </c>
      <c r="X34" s="94" t="b">
        <f t="shared" ca="1" si="8"/>
        <v>0</v>
      </c>
    </row>
    <row r="35" spans="1:24" ht="15" thickBot="1" x14ac:dyDescent="0.35">
      <c r="A35" s="60" t="str">
        <v>Felipe Ramírez</v>
      </c>
      <c r="B35" s="21" t="str">
        <v>Gestión de conflictos y relaciones laborales</v>
      </c>
      <c r="C35" s="61">
        <v>45848</v>
      </c>
      <c r="D35" s="61">
        <v>45855</v>
      </c>
      <c r="E35" s="62">
        <v>4</v>
      </c>
      <c r="F35" s="63">
        <f t="shared" ca="1" si="2"/>
        <v>-209.33333333333331</v>
      </c>
      <c r="G35" s="64">
        <f t="shared" ca="1" si="3"/>
        <v>-223</v>
      </c>
      <c r="H35" s="65">
        <f t="shared" ca="1" si="4"/>
        <v>-44.6</v>
      </c>
      <c r="I35" s="66">
        <f t="shared" si="5"/>
        <v>0.66666666666666663</v>
      </c>
      <c r="J35" s="59">
        <f t="shared" ref="J35:U35" ca="1" si="37">IF($A35="","",
IF($C35&gt;J$3+6,0,IF($D35&gt;=J$3,$I35*5,0)
-IF($D35&gt;=J$3,IF(K$3&gt;$D35,NETWORKDAYS($D35,K$3)-2,0)*$I35,0)
-IF(AND($C35&gt;=J$3,$C35&lt;K$3),($C35-J$3)*$I35,0))
-IF(AND(TODAY()&gt;=J$3,TODAY()&lt;K$3),IF(TODAY()&gt;$C35,NETWORKDAYS($C35,TODAY()-1)*$I35,0),0)
)</f>
        <v>-152</v>
      </c>
      <c r="K35" s="59">
        <f t="shared" ca="1" si="37"/>
        <v>0</v>
      </c>
      <c r="L35" s="59">
        <f t="shared" ca="1" si="37"/>
        <v>0</v>
      </c>
      <c r="M35" s="59">
        <f t="shared" ca="1" si="37"/>
        <v>0</v>
      </c>
      <c r="N35" s="59">
        <f t="shared" ca="1" si="37"/>
        <v>0</v>
      </c>
      <c r="O35" s="59">
        <f t="shared" ca="1" si="37"/>
        <v>0</v>
      </c>
      <c r="P35" s="59">
        <f t="shared" ca="1" si="37"/>
        <v>0</v>
      </c>
      <c r="Q35" s="59">
        <f t="shared" ca="1" si="37"/>
        <v>0</v>
      </c>
      <c r="R35" s="59">
        <f t="shared" ca="1" si="37"/>
        <v>0</v>
      </c>
      <c r="S35" s="59">
        <f t="shared" ca="1" si="37"/>
        <v>0</v>
      </c>
      <c r="T35" s="59">
        <f t="shared" ca="1" si="37"/>
        <v>0</v>
      </c>
      <c r="U35" s="59">
        <f t="shared" ca="1" si="37"/>
        <v>0</v>
      </c>
      <c r="V35" s="94"/>
      <c r="W35" s="94">
        <f t="shared" ca="1" si="7"/>
        <v>-152</v>
      </c>
      <c r="X35" s="94" t="b">
        <f t="shared" ca="1" si="8"/>
        <v>0</v>
      </c>
    </row>
    <row r="36" spans="1:24" ht="15" thickBot="1" x14ac:dyDescent="0.35">
      <c r="A36" s="60" t="str">
        <v>Felipe Ramírez</v>
      </c>
      <c r="B36" s="21" t="str">
        <v>Reclutamiento y selección</v>
      </c>
      <c r="C36" s="61">
        <v>45848</v>
      </c>
      <c r="D36" s="61">
        <v>45855</v>
      </c>
      <c r="E36" s="62">
        <v>6</v>
      </c>
      <c r="F36" s="63">
        <f t="shared" ca="1" si="2"/>
        <v>-314</v>
      </c>
      <c r="G36" s="64">
        <f t="shared" ca="1" si="3"/>
        <v>-223</v>
      </c>
      <c r="H36" s="65">
        <f t="shared" ca="1" si="4"/>
        <v>-44.6</v>
      </c>
      <c r="I36" s="66">
        <f t="shared" si="5"/>
        <v>1</v>
      </c>
      <c r="J36" s="59">
        <f t="shared" ref="J36:U36" ca="1" si="38">IF($A36="","",
IF($C36&gt;J$3+6,0,IF($D36&gt;=J$3,$I36*5,0)
-IF($D36&gt;=J$3,IF(K$3&gt;$D36,NETWORKDAYS($D36,K$3)-2,0)*$I36,0)
-IF(AND($C36&gt;=J$3,$C36&lt;K$3),($C36-J$3)*$I36,0))
-IF(AND(TODAY()&gt;=J$3,TODAY()&lt;K$3),IF(TODAY()&gt;$C36,NETWORKDAYS($C36,TODAY()-1)*$I36,0),0)
)</f>
        <v>-228</v>
      </c>
      <c r="K36" s="59">
        <f t="shared" ca="1" si="38"/>
        <v>0</v>
      </c>
      <c r="L36" s="59">
        <f t="shared" ca="1" si="38"/>
        <v>0</v>
      </c>
      <c r="M36" s="59">
        <f t="shared" ca="1" si="38"/>
        <v>0</v>
      </c>
      <c r="N36" s="59">
        <f t="shared" ca="1" si="38"/>
        <v>0</v>
      </c>
      <c r="O36" s="59">
        <f t="shared" ca="1" si="38"/>
        <v>0</v>
      </c>
      <c r="P36" s="59">
        <f t="shared" ca="1" si="38"/>
        <v>0</v>
      </c>
      <c r="Q36" s="59">
        <f t="shared" ca="1" si="38"/>
        <v>0</v>
      </c>
      <c r="R36" s="59">
        <f t="shared" ca="1" si="38"/>
        <v>0</v>
      </c>
      <c r="S36" s="59">
        <f t="shared" ca="1" si="38"/>
        <v>0</v>
      </c>
      <c r="T36" s="59">
        <f t="shared" ca="1" si="38"/>
        <v>0</v>
      </c>
      <c r="U36" s="59">
        <f t="shared" ca="1" si="38"/>
        <v>0</v>
      </c>
      <c r="V36" s="94"/>
      <c r="W36" s="94">
        <f t="shared" ca="1" si="7"/>
        <v>-228</v>
      </c>
      <c r="X36" s="94" t="b">
        <f t="shared" ca="1" si="8"/>
        <v>0</v>
      </c>
    </row>
    <row r="37" spans="1:24" ht="15" thickBot="1" x14ac:dyDescent="0.35">
      <c r="A37" s="60" t="str">
        <v>Felipe Ramírez</v>
      </c>
      <c r="B37" s="21" t="str">
        <v>Administración de personal</v>
      </c>
      <c r="C37" s="61">
        <v>45862</v>
      </c>
      <c r="D37" s="61">
        <v>45869</v>
      </c>
      <c r="E37" s="62">
        <v>3</v>
      </c>
      <c r="F37" s="63">
        <f t="shared" ca="1" si="2"/>
        <v>-150</v>
      </c>
      <c r="G37" s="64">
        <f t="shared" ca="1" si="3"/>
        <v>-213</v>
      </c>
      <c r="H37" s="65">
        <f t="shared" ca="1" si="4"/>
        <v>-42.6</v>
      </c>
      <c r="I37" s="66">
        <f t="shared" si="5"/>
        <v>0.5</v>
      </c>
      <c r="J37" s="59">
        <f t="shared" ref="J37:U37" ca="1" si="39">IF($A37="","",
IF($C37&gt;J$3+6,0,IF($D37&gt;=J$3,$I37*5,0)
-IF($D37&gt;=J$3,IF(K$3&gt;$D37,NETWORKDAYS($D37,K$3)-2,0)*$I37,0)
-IF(AND($C37&gt;=J$3,$C37&lt;K$3),($C37-J$3)*$I37,0))
-IF(AND(TODAY()&gt;=J$3,TODAY()&lt;K$3),IF(TODAY()&gt;$C37,NETWORKDAYS($C37,TODAY()-1)*$I37,0),0)
)</f>
        <v>-109</v>
      </c>
      <c r="K37" s="59">
        <f t="shared" ca="1" si="39"/>
        <v>0</v>
      </c>
      <c r="L37" s="59">
        <f t="shared" ca="1" si="39"/>
        <v>0</v>
      </c>
      <c r="M37" s="59">
        <f t="shared" ca="1" si="39"/>
        <v>0</v>
      </c>
      <c r="N37" s="59">
        <f t="shared" ca="1" si="39"/>
        <v>0</v>
      </c>
      <c r="O37" s="59">
        <f t="shared" ca="1" si="39"/>
        <v>0</v>
      </c>
      <c r="P37" s="59">
        <f t="shared" ca="1" si="39"/>
        <v>0</v>
      </c>
      <c r="Q37" s="59">
        <f t="shared" ca="1" si="39"/>
        <v>0</v>
      </c>
      <c r="R37" s="59">
        <f t="shared" ca="1" si="39"/>
        <v>0</v>
      </c>
      <c r="S37" s="59">
        <f t="shared" ca="1" si="39"/>
        <v>0</v>
      </c>
      <c r="T37" s="59">
        <f t="shared" ca="1" si="39"/>
        <v>0</v>
      </c>
      <c r="U37" s="59">
        <f t="shared" ca="1" si="39"/>
        <v>0</v>
      </c>
      <c r="V37" s="94"/>
      <c r="W37" s="94">
        <f t="shared" ca="1" si="7"/>
        <v>-109</v>
      </c>
      <c r="X37" s="94" t="b">
        <f t="shared" ca="1" si="8"/>
        <v>0</v>
      </c>
    </row>
    <row r="38" spans="1:24" ht="15" thickBot="1" x14ac:dyDescent="0.35">
      <c r="A38" s="60" t="str">
        <v>Felipe Ramírez</v>
      </c>
      <c r="B38" s="21" t="str">
        <v>Reclutamiento y selección</v>
      </c>
      <c r="C38" s="61">
        <v>45862</v>
      </c>
      <c r="D38" s="61">
        <v>45869</v>
      </c>
      <c r="E38" s="62">
        <v>6</v>
      </c>
      <c r="F38" s="63">
        <f t="shared" ca="1" si="2"/>
        <v>-300</v>
      </c>
      <c r="G38" s="64">
        <f t="shared" ca="1" si="3"/>
        <v>-213</v>
      </c>
      <c r="H38" s="65">
        <f t="shared" ca="1" si="4"/>
        <v>-42.6</v>
      </c>
      <c r="I38" s="66">
        <f t="shared" si="5"/>
        <v>1</v>
      </c>
      <c r="J38" s="59">
        <f t="shared" ref="J38:U38" ca="1" si="40">IF($A38="","",
IF($C38&gt;J$3+6,0,IF($D38&gt;=J$3,$I38*5,0)
-IF($D38&gt;=J$3,IF(K$3&gt;$D38,NETWORKDAYS($D38,K$3)-2,0)*$I38,0)
-IF(AND($C38&gt;=J$3,$C38&lt;K$3),($C38-J$3)*$I38,0))
-IF(AND(TODAY()&gt;=J$3,TODAY()&lt;K$3),IF(TODAY()&gt;$C38,NETWORKDAYS($C38,TODAY()-1)*$I38,0),0)
)</f>
        <v>-218</v>
      </c>
      <c r="K38" s="59">
        <f t="shared" ca="1" si="40"/>
        <v>0</v>
      </c>
      <c r="L38" s="59">
        <f t="shared" ca="1" si="40"/>
        <v>0</v>
      </c>
      <c r="M38" s="59">
        <f t="shared" ca="1" si="40"/>
        <v>0</v>
      </c>
      <c r="N38" s="59">
        <f t="shared" ca="1" si="40"/>
        <v>0</v>
      </c>
      <c r="O38" s="59">
        <f t="shared" ca="1" si="40"/>
        <v>0</v>
      </c>
      <c r="P38" s="59">
        <f t="shared" ca="1" si="40"/>
        <v>0</v>
      </c>
      <c r="Q38" s="59">
        <f t="shared" ca="1" si="40"/>
        <v>0</v>
      </c>
      <c r="R38" s="59">
        <f t="shared" ca="1" si="40"/>
        <v>0</v>
      </c>
      <c r="S38" s="59">
        <f t="shared" ca="1" si="40"/>
        <v>0</v>
      </c>
      <c r="T38" s="59">
        <f t="shared" ca="1" si="40"/>
        <v>0</v>
      </c>
      <c r="U38" s="59">
        <f t="shared" ca="1" si="40"/>
        <v>0</v>
      </c>
      <c r="V38" s="94"/>
      <c r="W38" s="94">
        <f t="shared" ca="1" si="7"/>
        <v>-218</v>
      </c>
      <c r="X38" s="94" t="b">
        <f t="shared" ca="1" si="8"/>
        <v>0</v>
      </c>
    </row>
    <row r="39" spans="1:24" ht="15" thickBot="1" x14ac:dyDescent="0.35">
      <c r="A39" s="60" t="str">
        <v>Felipe Ramírez</v>
      </c>
      <c r="B39" s="21" t="str">
        <v>Gestión de conflictos y relaciones laborales</v>
      </c>
      <c r="C39" s="61">
        <v>45848</v>
      </c>
      <c r="D39" s="61">
        <v>45855</v>
      </c>
      <c r="E39" s="62">
        <v>4</v>
      </c>
      <c r="F39" s="63">
        <f t="shared" ca="1" si="2"/>
        <v>-209.33333333333331</v>
      </c>
      <c r="G39" s="64">
        <f t="shared" ca="1" si="3"/>
        <v>-223</v>
      </c>
      <c r="H39" s="65">
        <f t="shared" ca="1" si="4"/>
        <v>-44.6</v>
      </c>
      <c r="I39" s="66">
        <f t="shared" si="5"/>
        <v>0.66666666666666663</v>
      </c>
      <c r="J39" s="59">
        <f t="shared" ref="J39:U39" ca="1" si="41">IF($A39="","",
IF($C39&gt;J$3+6,0,IF($D39&gt;=J$3,$I39*5,0)
-IF($D39&gt;=J$3,IF(K$3&gt;$D39,NETWORKDAYS($D39,K$3)-2,0)*$I39,0)
-IF(AND($C39&gt;=J$3,$C39&lt;K$3),($C39-J$3)*$I39,0))
-IF(AND(TODAY()&gt;=J$3,TODAY()&lt;K$3),IF(TODAY()&gt;$C39,NETWORKDAYS($C39,TODAY()-1)*$I39,0),0)
)</f>
        <v>-152</v>
      </c>
      <c r="K39" s="59">
        <f t="shared" ca="1" si="41"/>
        <v>0</v>
      </c>
      <c r="L39" s="59">
        <f t="shared" ca="1" si="41"/>
        <v>0</v>
      </c>
      <c r="M39" s="59">
        <f t="shared" ca="1" si="41"/>
        <v>0</v>
      </c>
      <c r="N39" s="59">
        <f t="shared" ca="1" si="41"/>
        <v>0</v>
      </c>
      <c r="O39" s="59">
        <f t="shared" ca="1" si="41"/>
        <v>0</v>
      </c>
      <c r="P39" s="59">
        <f t="shared" ca="1" si="41"/>
        <v>0</v>
      </c>
      <c r="Q39" s="59">
        <f t="shared" ca="1" si="41"/>
        <v>0</v>
      </c>
      <c r="R39" s="59">
        <f t="shared" ca="1" si="41"/>
        <v>0</v>
      </c>
      <c r="S39" s="59">
        <f t="shared" ca="1" si="41"/>
        <v>0</v>
      </c>
      <c r="T39" s="59">
        <f t="shared" ca="1" si="41"/>
        <v>0</v>
      </c>
      <c r="U39" s="59">
        <f t="shared" ca="1" si="41"/>
        <v>0</v>
      </c>
      <c r="V39" s="94"/>
      <c r="W39" s="94">
        <f t="shared" ca="1" si="7"/>
        <v>-152</v>
      </c>
      <c r="X39" s="94" t="b">
        <f t="shared" ca="1" si="8"/>
        <v>0</v>
      </c>
    </row>
    <row r="40" spans="1:24" ht="15" thickBot="1" x14ac:dyDescent="0.35">
      <c r="A40" s="60" t="str">
        <v>Felipe Ramírez</v>
      </c>
      <c r="B40" s="21" t="str">
        <v>Evaluación del desempeño</v>
      </c>
      <c r="C40" s="61">
        <v>45848</v>
      </c>
      <c r="D40" s="61">
        <v>45855</v>
      </c>
      <c r="E40" s="62">
        <v>10</v>
      </c>
      <c r="F40" s="63">
        <f t="shared" ca="1" si="2"/>
        <v>-523.33333333333337</v>
      </c>
      <c r="G40" s="64">
        <f t="shared" ca="1" si="3"/>
        <v>-223</v>
      </c>
      <c r="H40" s="65">
        <f t="shared" ca="1" si="4"/>
        <v>-44.6</v>
      </c>
      <c r="I40" s="66">
        <f t="shared" si="5"/>
        <v>1.6666666666666667</v>
      </c>
      <c r="J40" s="59">
        <f t="shared" ref="J40:U40" ca="1" si="42">IF($A40="","",
IF($C40&gt;J$3+6,0,IF($D40&gt;=J$3,$I40*5,0)
-IF($D40&gt;=J$3,IF(K$3&gt;$D40,NETWORKDAYS($D40,K$3)-2,0)*$I40,0)
-IF(AND($C40&gt;=J$3,$C40&lt;K$3),($C40-J$3)*$I40,0))
-IF(AND(TODAY()&gt;=J$3,TODAY()&lt;K$3),IF(TODAY()&gt;$C40,NETWORKDAYS($C40,TODAY()-1)*$I40,0),0)
)</f>
        <v>-380</v>
      </c>
      <c r="K40" s="59">
        <f t="shared" ca="1" si="42"/>
        <v>0</v>
      </c>
      <c r="L40" s="59">
        <f t="shared" ca="1" si="42"/>
        <v>0</v>
      </c>
      <c r="M40" s="59">
        <f t="shared" ca="1" si="42"/>
        <v>0</v>
      </c>
      <c r="N40" s="59">
        <f t="shared" ca="1" si="42"/>
        <v>0</v>
      </c>
      <c r="O40" s="59">
        <f t="shared" ca="1" si="42"/>
        <v>0</v>
      </c>
      <c r="P40" s="59">
        <f t="shared" ca="1" si="42"/>
        <v>0</v>
      </c>
      <c r="Q40" s="59">
        <f t="shared" ca="1" si="42"/>
        <v>0</v>
      </c>
      <c r="R40" s="59">
        <f t="shared" ca="1" si="42"/>
        <v>0</v>
      </c>
      <c r="S40" s="59">
        <f t="shared" ca="1" si="42"/>
        <v>0</v>
      </c>
      <c r="T40" s="59">
        <f t="shared" ca="1" si="42"/>
        <v>0</v>
      </c>
      <c r="U40" s="59">
        <f t="shared" ca="1" si="42"/>
        <v>0</v>
      </c>
      <c r="V40" s="94"/>
      <c r="W40" s="94">
        <f t="shared" ca="1" si="7"/>
        <v>-380</v>
      </c>
      <c r="X40" s="94" t="b">
        <f t="shared" ca="1" si="8"/>
        <v>0</v>
      </c>
    </row>
    <row r="41" spans="1:24" ht="15" thickBot="1" x14ac:dyDescent="0.35">
      <c r="A41" s="60" t="str">
        <v>Felipe Ramírez</v>
      </c>
      <c r="B41" s="21" t="str">
        <v>Gestión de salud y seguridad ocupacional</v>
      </c>
      <c r="C41" s="61">
        <v>45862</v>
      </c>
      <c r="D41" s="61">
        <v>45869</v>
      </c>
      <c r="E41" s="62">
        <v>2.5</v>
      </c>
      <c r="F41" s="63">
        <f t="shared" ca="1" si="2"/>
        <v>-125</v>
      </c>
      <c r="G41" s="64">
        <f t="shared" ca="1" si="3"/>
        <v>-213</v>
      </c>
      <c r="H41" s="65">
        <f t="shared" ca="1" si="4"/>
        <v>-42.6</v>
      </c>
      <c r="I41" s="66">
        <f t="shared" si="5"/>
        <v>0.41666666666666669</v>
      </c>
      <c r="J41" s="59">
        <f t="shared" ref="J41:U41" ca="1" si="43">IF($A41="","",
IF($C41&gt;J$3+6,0,IF($D41&gt;=J$3,$I41*5,0)
-IF($D41&gt;=J$3,IF(K$3&gt;$D41,NETWORKDAYS($D41,K$3)-2,0)*$I41,0)
-IF(AND($C41&gt;=J$3,$C41&lt;K$3),($C41-J$3)*$I41,0))
-IF(AND(TODAY()&gt;=J$3,TODAY()&lt;K$3),IF(TODAY()&gt;$C41,NETWORKDAYS($C41,TODAY()-1)*$I41,0),0)
)</f>
        <v>-90.833333333333343</v>
      </c>
      <c r="K41" s="59">
        <f t="shared" ca="1" si="43"/>
        <v>0</v>
      </c>
      <c r="L41" s="59">
        <f t="shared" ca="1" si="43"/>
        <v>0</v>
      </c>
      <c r="M41" s="59">
        <f t="shared" ca="1" si="43"/>
        <v>0</v>
      </c>
      <c r="N41" s="59">
        <f t="shared" ca="1" si="43"/>
        <v>0</v>
      </c>
      <c r="O41" s="59">
        <f t="shared" ca="1" si="43"/>
        <v>0</v>
      </c>
      <c r="P41" s="59">
        <f t="shared" ca="1" si="43"/>
        <v>0</v>
      </c>
      <c r="Q41" s="59">
        <f t="shared" ca="1" si="43"/>
        <v>0</v>
      </c>
      <c r="R41" s="59">
        <f t="shared" ca="1" si="43"/>
        <v>0</v>
      </c>
      <c r="S41" s="59">
        <f t="shared" ca="1" si="43"/>
        <v>0</v>
      </c>
      <c r="T41" s="59">
        <f t="shared" ca="1" si="43"/>
        <v>0</v>
      </c>
      <c r="U41" s="59">
        <f t="shared" ca="1" si="43"/>
        <v>0</v>
      </c>
      <c r="V41" s="94"/>
      <c r="W41" s="94">
        <f t="shared" ca="1" si="7"/>
        <v>-90.833333333333343</v>
      </c>
      <c r="X41" s="94" t="b">
        <f t="shared" ca="1" si="8"/>
        <v>0</v>
      </c>
    </row>
    <row r="42" spans="1:24" ht="15" thickBot="1" x14ac:dyDescent="0.35">
      <c r="A42" s="60" t="str">
        <v>Felipe Ramírez</v>
      </c>
      <c r="B42" s="21" t="str">
        <v>Gestión del clima laboral</v>
      </c>
      <c r="C42" s="61">
        <v>45862</v>
      </c>
      <c r="D42" s="61">
        <v>45869</v>
      </c>
      <c r="E42" s="62">
        <v>3.5</v>
      </c>
      <c r="F42" s="63">
        <f t="shared" ca="1" si="2"/>
        <v>-175</v>
      </c>
      <c r="G42" s="64">
        <f t="shared" ca="1" si="3"/>
        <v>-213</v>
      </c>
      <c r="H42" s="65">
        <f t="shared" ca="1" si="4"/>
        <v>-42.6</v>
      </c>
      <c r="I42" s="66">
        <f t="shared" si="5"/>
        <v>0.58333333333333337</v>
      </c>
      <c r="J42" s="59">
        <f t="shared" ref="J42:U42" ca="1" si="44">IF($A42="","",
IF($C42&gt;J$3+6,0,IF($D42&gt;=J$3,$I42*5,0)
-IF($D42&gt;=J$3,IF(K$3&gt;$D42,NETWORKDAYS($D42,K$3)-2,0)*$I42,0)
-IF(AND($C42&gt;=J$3,$C42&lt;K$3),($C42-J$3)*$I42,0))
-IF(AND(TODAY()&gt;=J$3,TODAY()&lt;K$3),IF(TODAY()&gt;$C42,NETWORKDAYS($C42,TODAY()-1)*$I42,0),0)
)</f>
        <v>-127.16666666666667</v>
      </c>
      <c r="K42" s="59">
        <f t="shared" ca="1" si="44"/>
        <v>0</v>
      </c>
      <c r="L42" s="59">
        <f t="shared" ca="1" si="44"/>
        <v>0</v>
      </c>
      <c r="M42" s="59">
        <f t="shared" ca="1" si="44"/>
        <v>0</v>
      </c>
      <c r="N42" s="59">
        <f t="shared" ca="1" si="44"/>
        <v>0</v>
      </c>
      <c r="O42" s="59">
        <f t="shared" ca="1" si="44"/>
        <v>0</v>
      </c>
      <c r="P42" s="59">
        <f t="shared" ca="1" si="44"/>
        <v>0</v>
      </c>
      <c r="Q42" s="59">
        <f t="shared" ca="1" si="44"/>
        <v>0</v>
      </c>
      <c r="R42" s="59">
        <f t="shared" ca="1" si="44"/>
        <v>0</v>
      </c>
      <c r="S42" s="59">
        <f t="shared" ca="1" si="44"/>
        <v>0</v>
      </c>
      <c r="T42" s="59">
        <f t="shared" ca="1" si="44"/>
        <v>0</v>
      </c>
      <c r="U42" s="59">
        <f t="shared" ca="1" si="44"/>
        <v>0</v>
      </c>
      <c r="V42" s="94"/>
      <c r="W42" s="94">
        <f t="shared" ca="1" si="7"/>
        <v>-127.16666666666667</v>
      </c>
      <c r="X42" s="94" t="b">
        <f t="shared" ca="1" si="8"/>
        <v>0</v>
      </c>
    </row>
    <row r="43" spans="1:24" ht="15" thickBot="1" x14ac:dyDescent="0.35">
      <c r="A43" s="60" t="str">
        <v>Fernanda Morales</v>
      </c>
      <c r="B43" s="21" t="str">
        <v>Administración de personal</v>
      </c>
      <c r="C43" s="61">
        <v>45841</v>
      </c>
      <c r="D43" s="61">
        <v>45848</v>
      </c>
      <c r="E43" s="67">
        <v>3</v>
      </c>
      <c r="F43" s="63">
        <f t="shared" ca="1" si="2"/>
        <v>-160.5</v>
      </c>
      <c r="G43" s="64">
        <f t="shared" ca="1" si="3"/>
        <v>-228</v>
      </c>
      <c r="H43" s="65">
        <f t="shared" ca="1" si="4"/>
        <v>-45.6</v>
      </c>
      <c r="I43" s="66">
        <f t="shared" si="5"/>
        <v>0.5</v>
      </c>
      <c r="J43" s="59">
        <f t="shared" ref="J43:U43" ca="1" si="45">IF($A43="","",
IF($C43&gt;J$3+6,0,IF($D43&gt;=J$3,$I43*5,0)
-IF($D43&gt;=J$3,IF(K$3&gt;$D43,NETWORKDAYS($D43,K$3)-2,0)*$I43,0)
-IF(AND($C43&gt;=J$3,$C43&lt;K$3),($C43-J$3)*$I43,0))
-IF(AND(TODAY()&gt;=J$3,TODAY()&lt;K$3),IF(TODAY()&gt;$C43,NETWORKDAYS($C43,TODAY()-1)*$I43,0),0)
)</f>
        <v>-116.5</v>
      </c>
      <c r="K43" s="59">
        <f t="shared" ca="1" si="45"/>
        <v>0</v>
      </c>
      <c r="L43" s="59">
        <f t="shared" ca="1" si="45"/>
        <v>0</v>
      </c>
      <c r="M43" s="59">
        <f t="shared" ca="1" si="45"/>
        <v>0</v>
      </c>
      <c r="N43" s="59">
        <f t="shared" ca="1" si="45"/>
        <v>0</v>
      </c>
      <c r="O43" s="59">
        <f t="shared" ca="1" si="45"/>
        <v>0</v>
      </c>
      <c r="P43" s="59">
        <f t="shared" ca="1" si="45"/>
        <v>0</v>
      </c>
      <c r="Q43" s="59">
        <f t="shared" ca="1" si="45"/>
        <v>0</v>
      </c>
      <c r="R43" s="59">
        <f t="shared" ca="1" si="45"/>
        <v>0</v>
      </c>
      <c r="S43" s="59">
        <f t="shared" ca="1" si="45"/>
        <v>0</v>
      </c>
      <c r="T43" s="59">
        <f t="shared" ca="1" si="45"/>
        <v>0</v>
      </c>
      <c r="U43" s="59">
        <f t="shared" ca="1" si="45"/>
        <v>0</v>
      </c>
      <c r="V43" s="94"/>
      <c r="W43" s="94">
        <f t="shared" ca="1" si="7"/>
        <v>-116.5</v>
      </c>
      <c r="X43" s="94" t="b">
        <f t="shared" ca="1" si="8"/>
        <v>0</v>
      </c>
    </row>
    <row r="44" spans="1:24" ht="15" thickBot="1" x14ac:dyDescent="0.35">
      <c r="A44" s="68" t="str">
        <v>Fernanda Morales</v>
      </c>
      <c r="B44" s="21" t="str">
        <v>Cumplimiento legal y normativo</v>
      </c>
      <c r="C44" s="61">
        <v>45841</v>
      </c>
      <c r="D44" s="61">
        <v>45847</v>
      </c>
      <c r="E44" s="67">
        <v>3</v>
      </c>
      <c r="F44" s="69">
        <f t="shared" ca="1" si="2"/>
        <v>-193.2</v>
      </c>
      <c r="G44" s="64">
        <f t="shared" ca="1" si="3"/>
        <v>-229</v>
      </c>
      <c r="H44" s="70">
        <f t="shared" ca="1" si="4"/>
        <v>-45.8</v>
      </c>
      <c r="I44" s="66">
        <f t="shared" si="5"/>
        <v>0.6</v>
      </c>
      <c r="J44" s="59">
        <f t="shared" ref="J44:U44" ca="1" si="46">IF($A44="","",
IF($C44&gt;J$3+6,0,IF($D44&gt;=J$3,$I44*5,0)
-IF($D44&gt;=J$3,IF(K$3&gt;$D44,NETWORKDAYS($D44,K$3)-2,0)*$I44,0)
-IF(AND($C44&gt;=J$3,$C44&lt;K$3),($C44-J$3)*$I44,0))
-IF(AND(TODAY()&gt;=J$3,TODAY()&lt;K$3),IF(TODAY()&gt;$C44,NETWORKDAYS($C44,TODAY()-1)*$I44,0),0)
)</f>
        <v>-139.79999999999998</v>
      </c>
      <c r="K44" s="59">
        <f t="shared" ca="1" si="46"/>
        <v>0</v>
      </c>
      <c r="L44" s="59">
        <f t="shared" ca="1" si="46"/>
        <v>0</v>
      </c>
      <c r="M44" s="59">
        <f t="shared" ca="1" si="46"/>
        <v>0</v>
      </c>
      <c r="N44" s="59">
        <f t="shared" ca="1" si="46"/>
        <v>0</v>
      </c>
      <c r="O44" s="59">
        <f t="shared" ca="1" si="46"/>
        <v>0</v>
      </c>
      <c r="P44" s="59">
        <f t="shared" ca="1" si="46"/>
        <v>0</v>
      </c>
      <c r="Q44" s="59">
        <f t="shared" ca="1" si="46"/>
        <v>0</v>
      </c>
      <c r="R44" s="59">
        <f t="shared" ca="1" si="46"/>
        <v>0</v>
      </c>
      <c r="S44" s="59">
        <f t="shared" ca="1" si="46"/>
        <v>0</v>
      </c>
      <c r="T44" s="59">
        <f t="shared" ca="1" si="46"/>
        <v>0</v>
      </c>
      <c r="U44" s="59">
        <f t="shared" ca="1" si="46"/>
        <v>0</v>
      </c>
      <c r="W44" s="94">
        <f t="shared" ca="1" si="7"/>
        <v>-139.79999999999998</v>
      </c>
      <c r="X44" s="94" t="b">
        <f t="shared" ca="1" si="8"/>
        <v>0</v>
      </c>
    </row>
    <row r="45" spans="1:24" ht="15" thickBot="1" x14ac:dyDescent="0.35">
      <c r="A45" s="68" t="str">
        <v>Fernanda Morales</v>
      </c>
      <c r="B45" s="21" t="str">
        <v>Evaluación del desempeño</v>
      </c>
      <c r="C45" s="61">
        <v>45841</v>
      </c>
      <c r="D45" s="61">
        <v>45852</v>
      </c>
      <c r="E45" s="67">
        <v>10</v>
      </c>
      <c r="F45" s="69">
        <f t="shared" ca="1" si="2"/>
        <v>-398.75</v>
      </c>
      <c r="G45" s="64">
        <f t="shared" ca="1" si="3"/>
        <v>-226</v>
      </c>
      <c r="H45" s="70">
        <f t="shared" ca="1" si="4"/>
        <v>-45.2</v>
      </c>
      <c r="I45" s="66">
        <f t="shared" si="5"/>
        <v>1.25</v>
      </c>
      <c r="J45" s="59">
        <f t="shared" ref="J45:U45" ca="1" si="47">IF($A45="","",
IF($C45&gt;J$3+6,0,IF($D45&gt;=J$3,$I45*5,0)
-IF($D45&gt;=J$3,IF(K$3&gt;$D45,NETWORKDAYS($D45,K$3)-2,0)*$I45,0)
-IF(AND($C45&gt;=J$3,$C45&lt;K$3),($C45-J$3)*$I45,0))
-IF(AND(TODAY()&gt;=J$3,TODAY()&lt;K$3),IF(TODAY()&gt;$C45,NETWORKDAYS($C45,TODAY()-1)*$I45,0),0)
)</f>
        <v>-291.25</v>
      </c>
      <c r="K45" s="59">
        <f t="shared" ca="1" si="47"/>
        <v>0</v>
      </c>
      <c r="L45" s="59">
        <f t="shared" ca="1" si="47"/>
        <v>0</v>
      </c>
      <c r="M45" s="59">
        <f t="shared" ca="1" si="47"/>
        <v>0</v>
      </c>
      <c r="N45" s="59">
        <f t="shared" ca="1" si="47"/>
        <v>0</v>
      </c>
      <c r="O45" s="59">
        <f t="shared" ca="1" si="47"/>
        <v>0</v>
      </c>
      <c r="P45" s="59">
        <f t="shared" ca="1" si="47"/>
        <v>0</v>
      </c>
      <c r="Q45" s="59">
        <f t="shared" ca="1" si="47"/>
        <v>0</v>
      </c>
      <c r="R45" s="59">
        <f t="shared" ca="1" si="47"/>
        <v>0</v>
      </c>
      <c r="S45" s="59">
        <f t="shared" ca="1" si="47"/>
        <v>0</v>
      </c>
      <c r="T45" s="59">
        <f t="shared" ca="1" si="47"/>
        <v>0</v>
      </c>
      <c r="U45" s="59">
        <f t="shared" ca="1" si="47"/>
        <v>0</v>
      </c>
      <c r="W45" s="94">
        <f t="shared" ca="1" si="7"/>
        <v>-291.25</v>
      </c>
      <c r="X45" s="94" t="b">
        <f t="shared" ca="1" si="8"/>
        <v>0</v>
      </c>
    </row>
    <row r="46" spans="1:24" ht="15" thickBot="1" x14ac:dyDescent="0.35">
      <c r="A46" s="68" t="str">
        <v>Fernanda Morales</v>
      </c>
      <c r="B46" s="21" t="str">
        <v>Administración de personal</v>
      </c>
      <c r="C46" s="61">
        <v>45855</v>
      </c>
      <c r="D46" s="61">
        <v>45862</v>
      </c>
      <c r="E46" s="67">
        <v>3</v>
      </c>
      <c r="F46" s="69">
        <f t="shared" ca="1" si="2"/>
        <v>-153.5</v>
      </c>
      <c r="G46" s="64">
        <f t="shared" ca="1" si="3"/>
        <v>-218</v>
      </c>
      <c r="H46" s="70">
        <f t="shared" ca="1" si="4"/>
        <v>-43.6</v>
      </c>
      <c r="I46" s="66">
        <f t="shared" si="5"/>
        <v>0.5</v>
      </c>
      <c r="J46" s="59">
        <f t="shared" ref="J46:U46" ca="1" si="48">IF($A46="","",
IF($C46&gt;J$3+6,0,IF($D46&gt;=J$3,$I46*5,0)
-IF($D46&gt;=J$3,IF(K$3&gt;$D46,NETWORKDAYS($D46,K$3)-2,0)*$I46,0)
-IF(AND($C46&gt;=J$3,$C46&lt;K$3),($C46-J$3)*$I46,0))
-IF(AND(TODAY()&gt;=J$3,TODAY()&lt;K$3),IF(TODAY()&gt;$C46,NETWORKDAYS($C46,TODAY()-1)*$I46,0),0)
)</f>
        <v>-111.5</v>
      </c>
      <c r="K46" s="59">
        <f t="shared" ca="1" si="48"/>
        <v>0</v>
      </c>
      <c r="L46" s="59">
        <f t="shared" ca="1" si="48"/>
        <v>0</v>
      </c>
      <c r="M46" s="59">
        <f t="shared" ca="1" si="48"/>
        <v>0</v>
      </c>
      <c r="N46" s="59">
        <f t="shared" ca="1" si="48"/>
        <v>0</v>
      </c>
      <c r="O46" s="59">
        <f t="shared" ca="1" si="48"/>
        <v>0</v>
      </c>
      <c r="P46" s="59">
        <f t="shared" ca="1" si="48"/>
        <v>0</v>
      </c>
      <c r="Q46" s="59">
        <f t="shared" ca="1" si="48"/>
        <v>0</v>
      </c>
      <c r="R46" s="59">
        <f t="shared" ca="1" si="48"/>
        <v>0</v>
      </c>
      <c r="S46" s="59">
        <f t="shared" ca="1" si="48"/>
        <v>0</v>
      </c>
      <c r="T46" s="59">
        <f t="shared" ca="1" si="48"/>
        <v>0</v>
      </c>
      <c r="U46" s="59">
        <f t="shared" ca="1" si="48"/>
        <v>0</v>
      </c>
      <c r="W46" s="94">
        <f t="shared" ca="1" si="7"/>
        <v>-111.5</v>
      </c>
      <c r="X46" s="94" t="b">
        <f t="shared" ca="1" si="8"/>
        <v>0</v>
      </c>
    </row>
    <row r="47" spans="1:24" ht="15" thickBot="1" x14ac:dyDescent="0.35">
      <c r="A47" s="68" t="str">
        <v>Fernanda Morales</v>
      </c>
      <c r="B47" s="21" t="str">
        <v>Cumplimiento legal y normativo</v>
      </c>
      <c r="C47" s="61">
        <v>45855</v>
      </c>
      <c r="D47" s="61">
        <v>45861</v>
      </c>
      <c r="E47" s="67">
        <v>3</v>
      </c>
      <c r="F47" s="69">
        <f t="shared" ca="1" si="2"/>
        <v>-184.79999999999998</v>
      </c>
      <c r="G47" s="64">
        <f t="shared" ca="1" si="3"/>
        <v>-219</v>
      </c>
      <c r="H47" s="70">
        <f t="shared" ca="1" si="4"/>
        <v>-43.8</v>
      </c>
      <c r="I47" s="66">
        <f t="shared" si="5"/>
        <v>0.6</v>
      </c>
      <c r="J47" s="59">
        <f t="shared" ref="J47:U47" ca="1" si="49">IF($A47="","",
IF($C47&gt;J$3+6,0,IF($D47&gt;=J$3,$I47*5,0)
-IF($D47&gt;=J$3,IF(K$3&gt;$D47,NETWORKDAYS($D47,K$3)-2,0)*$I47,0)
-IF(AND($C47&gt;=J$3,$C47&lt;K$3),($C47-J$3)*$I47,0))
-IF(AND(TODAY()&gt;=J$3,TODAY()&lt;K$3),IF(TODAY()&gt;$C47,NETWORKDAYS($C47,TODAY()-1)*$I47,0),0)
)</f>
        <v>-133.79999999999998</v>
      </c>
      <c r="K47" s="59">
        <f t="shared" ca="1" si="49"/>
        <v>0</v>
      </c>
      <c r="L47" s="59">
        <f t="shared" ca="1" si="49"/>
        <v>0</v>
      </c>
      <c r="M47" s="59">
        <f t="shared" ca="1" si="49"/>
        <v>0</v>
      </c>
      <c r="N47" s="59">
        <f t="shared" ca="1" si="49"/>
        <v>0</v>
      </c>
      <c r="O47" s="59">
        <f t="shared" ca="1" si="49"/>
        <v>0</v>
      </c>
      <c r="P47" s="59">
        <f t="shared" ca="1" si="49"/>
        <v>0</v>
      </c>
      <c r="Q47" s="59">
        <f t="shared" ca="1" si="49"/>
        <v>0</v>
      </c>
      <c r="R47" s="59">
        <f t="shared" ca="1" si="49"/>
        <v>0</v>
      </c>
      <c r="S47" s="59">
        <f t="shared" ca="1" si="49"/>
        <v>0</v>
      </c>
      <c r="T47" s="59">
        <f t="shared" ca="1" si="49"/>
        <v>0</v>
      </c>
      <c r="U47" s="59">
        <f t="shared" ca="1" si="49"/>
        <v>0</v>
      </c>
      <c r="W47" s="94">
        <f t="shared" ca="1" si="7"/>
        <v>-133.79999999999998</v>
      </c>
      <c r="X47" s="94" t="b">
        <f t="shared" ca="1" si="8"/>
        <v>0</v>
      </c>
    </row>
    <row r="48" spans="1:24" ht="15" thickBot="1" x14ac:dyDescent="0.35">
      <c r="A48" s="68" t="str">
        <v>Fernanda Morales</v>
      </c>
      <c r="B48" s="21" t="str">
        <v>Evaluación del desempeño</v>
      </c>
      <c r="C48" s="61">
        <v>45855</v>
      </c>
      <c r="D48" s="61">
        <v>45866</v>
      </c>
      <c r="E48" s="67">
        <v>10</v>
      </c>
      <c r="F48" s="69">
        <f t="shared" ca="1" si="2"/>
        <v>-381.25</v>
      </c>
      <c r="G48" s="64">
        <f t="shared" ca="1" si="3"/>
        <v>-216</v>
      </c>
      <c r="H48" s="70">
        <f t="shared" ca="1" si="4"/>
        <v>-43.2</v>
      </c>
      <c r="I48" s="66">
        <f t="shared" si="5"/>
        <v>1.25</v>
      </c>
      <c r="J48" s="59">
        <f t="shared" ref="J48:U48" ca="1" si="50">IF($A48="","",
IF($C48&gt;J$3+6,0,IF($D48&gt;=J$3,$I48*5,0)
-IF($D48&gt;=J$3,IF(K$3&gt;$D48,NETWORKDAYS($D48,K$3)-2,0)*$I48,0)
-IF(AND($C48&gt;=J$3,$C48&lt;K$3),($C48-J$3)*$I48,0))
-IF(AND(TODAY()&gt;=J$3,TODAY()&lt;K$3),IF(TODAY()&gt;$C48,NETWORKDAYS($C48,TODAY()-1)*$I48,0),0)
)</f>
        <v>-278.75</v>
      </c>
      <c r="K48" s="59">
        <f t="shared" ca="1" si="50"/>
        <v>0</v>
      </c>
      <c r="L48" s="59">
        <f t="shared" ca="1" si="50"/>
        <v>0</v>
      </c>
      <c r="M48" s="59">
        <f t="shared" ca="1" si="50"/>
        <v>0</v>
      </c>
      <c r="N48" s="59">
        <f t="shared" ca="1" si="50"/>
        <v>0</v>
      </c>
      <c r="O48" s="59">
        <f t="shared" ca="1" si="50"/>
        <v>0</v>
      </c>
      <c r="P48" s="59">
        <f t="shared" ca="1" si="50"/>
        <v>0</v>
      </c>
      <c r="Q48" s="59">
        <f t="shared" ca="1" si="50"/>
        <v>0</v>
      </c>
      <c r="R48" s="59">
        <f t="shared" ca="1" si="50"/>
        <v>0</v>
      </c>
      <c r="S48" s="59">
        <f t="shared" ca="1" si="50"/>
        <v>0</v>
      </c>
      <c r="T48" s="59">
        <f t="shared" ca="1" si="50"/>
        <v>0</v>
      </c>
      <c r="U48" s="59">
        <f t="shared" ca="1" si="50"/>
        <v>0</v>
      </c>
      <c r="W48" s="94">
        <f t="shared" ca="1" si="7"/>
        <v>-278.75</v>
      </c>
      <c r="X48" s="94" t="b">
        <f t="shared" ca="1" si="8"/>
        <v>0</v>
      </c>
    </row>
    <row r="49" spans="1:24" ht="15" thickBot="1" x14ac:dyDescent="0.35">
      <c r="A49" s="68" t="str">
        <v>Fernanda Morales</v>
      </c>
      <c r="B49" s="21" t="str">
        <v>Inducción y bienvenida</v>
      </c>
      <c r="C49" s="61">
        <v>45848</v>
      </c>
      <c r="D49" s="61">
        <v>45855</v>
      </c>
      <c r="E49" s="67">
        <v>2.5</v>
      </c>
      <c r="F49" s="69">
        <f t="shared" ca="1" si="2"/>
        <v>-130.83333333333334</v>
      </c>
      <c r="G49" s="64">
        <f t="shared" ca="1" si="3"/>
        <v>-223</v>
      </c>
      <c r="H49" s="70">
        <f t="shared" ca="1" si="4"/>
        <v>-44.6</v>
      </c>
      <c r="I49" s="66">
        <f t="shared" si="5"/>
        <v>0.41666666666666669</v>
      </c>
      <c r="J49" s="59">
        <f t="shared" ref="J49:U49" ca="1" si="51">IF($A49="","",
IF($C49&gt;J$3+6,0,IF($D49&gt;=J$3,$I49*5,0)
-IF($D49&gt;=J$3,IF(K$3&gt;$D49,NETWORKDAYS($D49,K$3)-2,0)*$I49,0)
-IF(AND($C49&gt;=J$3,$C49&lt;K$3),($C49-J$3)*$I49,0))
-IF(AND(TODAY()&gt;=J$3,TODAY()&lt;K$3),IF(TODAY()&gt;$C49,NETWORKDAYS($C49,TODAY()-1)*$I49,0),0)
)</f>
        <v>-95</v>
      </c>
      <c r="K49" s="59">
        <f t="shared" ca="1" si="51"/>
        <v>0</v>
      </c>
      <c r="L49" s="59">
        <f t="shared" ca="1" si="51"/>
        <v>0</v>
      </c>
      <c r="M49" s="59">
        <f t="shared" ca="1" si="51"/>
        <v>0</v>
      </c>
      <c r="N49" s="59">
        <f t="shared" ca="1" si="51"/>
        <v>0</v>
      </c>
      <c r="O49" s="59">
        <f t="shared" ca="1" si="51"/>
        <v>0</v>
      </c>
      <c r="P49" s="59">
        <f t="shared" ca="1" si="51"/>
        <v>0</v>
      </c>
      <c r="Q49" s="59">
        <f t="shared" ca="1" si="51"/>
        <v>0</v>
      </c>
      <c r="R49" s="59">
        <f t="shared" ca="1" si="51"/>
        <v>0</v>
      </c>
      <c r="S49" s="59">
        <f t="shared" ca="1" si="51"/>
        <v>0</v>
      </c>
      <c r="T49" s="59">
        <f t="shared" ca="1" si="51"/>
        <v>0</v>
      </c>
      <c r="U49" s="59">
        <f t="shared" ca="1" si="51"/>
        <v>0</v>
      </c>
      <c r="W49" s="94">
        <f t="shared" ca="1" si="7"/>
        <v>-95</v>
      </c>
      <c r="X49" s="94" t="b">
        <f t="shared" ca="1" si="8"/>
        <v>0</v>
      </c>
    </row>
    <row r="50" spans="1:24" ht="15" thickBot="1" x14ac:dyDescent="0.35">
      <c r="A50" s="68" t="str">
        <v>Fernanda Morales</v>
      </c>
      <c r="B50" s="21" t="str">
        <v>Administración de personal</v>
      </c>
      <c r="C50" s="61">
        <v>45848</v>
      </c>
      <c r="D50" s="61">
        <v>45855</v>
      </c>
      <c r="E50" s="67">
        <v>3</v>
      </c>
      <c r="F50" s="69">
        <f t="shared" ca="1" si="2"/>
        <v>-157</v>
      </c>
      <c r="G50" s="64">
        <f t="shared" ca="1" si="3"/>
        <v>-223</v>
      </c>
      <c r="H50" s="70">
        <f t="shared" ca="1" si="4"/>
        <v>-44.6</v>
      </c>
      <c r="I50" s="66">
        <f t="shared" si="5"/>
        <v>0.5</v>
      </c>
      <c r="J50" s="59">
        <f t="shared" ref="J50:U50" ca="1" si="52">IF($A50="","",
IF($C50&gt;J$3+6,0,IF($D50&gt;=J$3,$I50*5,0)
-IF($D50&gt;=J$3,IF(K$3&gt;$D50,NETWORKDAYS($D50,K$3)-2,0)*$I50,0)
-IF(AND($C50&gt;=J$3,$C50&lt;K$3),($C50-J$3)*$I50,0))
-IF(AND(TODAY()&gt;=J$3,TODAY()&lt;K$3),IF(TODAY()&gt;$C50,NETWORKDAYS($C50,TODAY()-1)*$I50,0),0)
)</f>
        <v>-114</v>
      </c>
      <c r="K50" s="59">
        <f t="shared" ca="1" si="52"/>
        <v>0</v>
      </c>
      <c r="L50" s="59">
        <f t="shared" ca="1" si="52"/>
        <v>0</v>
      </c>
      <c r="M50" s="59">
        <f t="shared" ca="1" si="52"/>
        <v>0</v>
      </c>
      <c r="N50" s="59">
        <f t="shared" ca="1" si="52"/>
        <v>0</v>
      </c>
      <c r="O50" s="59">
        <f t="shared" ca="1" si="52"/>
        <v>0</v>
      </c>
      <c r="P50" s="59">
        <f t="shared" ca="1" si="52"/>
        <v>0</v>
      </c>
      <c r="Q50" s="59">
        <f t="shared" ca="1" si="52"/>
        <v>0</v>
      </c>
      <c r="R50" s="59">
        <f t="shared" ca="1" si="52"/>
        <v>0</v>
      </c>
      <c r="S50" s="59">
        <f t="shared" ca="1" si="52"/>
        <v>0</v>
      </c>
      <c r="T50" s="59">
        <f t="shared" ca="1" si="52"/>
        <v>0</v>
      </c>
      <c r="U50" s="59">
        <f t="shared" ca="1" si="52"/>
        <v>0</v>
      </c>
      <c r="W50" s="94">
        <f t="shared" ca="1" si="7"/>
        <v>-114</v>
      </c>
      <c r="X50" s="94" t="b">
        <f t="shared" ca="1" si="8"/>
        <v>0</v>
      </c>
    </row>
    <row r="51" spans="1:24" ht="15" thickBot="1" x14ac:dyDescent="0.35">
      <c r="A51" s="68" t="str">
        <v>Fernanda Morales</v>
      </c>
      <c r="B51" s="21" t="str">
        <v>Inducción y bienvenida</v>
      </c>
      <c r="C51" s="61">
        <v>45848</v>
      </c>
      <c r="D51" s="61">
        <v>45855</v>
      </c>
      <c r="E51" s="67">
        <v>2.5</v>
      </c>
      <c r="F51" s="69">
        <f t="shared" ca="1" si="2"/>
        <v>-130.83333333333334</v>
      </c>
      <c r="G51" s="64">
        <f t="shared" ca="1" si="3"/>
        <v>-223</v>
      </c>
      <c r="H51" s="70">
        <f t="shared" ca="1" si="4"/>
        <v>-44.6</v>
      </c>
      <c r="I51" s="66">
        <f t="shared" si="5"/>
        <v>0.41666666666666669</v>
      </c>
      <c r="J51" s="59">
        <f t="shared" ref="J51:U51" ca="1" si="53">IF($A51="","",
IF($C51&gt;J$3+6,0,IF($D51&gt;=J$3,$I51*5,0)
-IF($D51&gt;=J$3,IF(K$3&gt;$D51,NETWORKDAYS($D51,K$3)-2,0)*$I51,0)
-IF(AND($C51&gt;=J$3,$C51&lt;K$3),($C51-J$3)*$I51,0))
-IF(AND(TODAY()&gt;=J$3,TODAY()&lt;K$3),IF(TODAY()&gt;$C51,NETWORKDAYS($C51,TODAY()-1)*$I51,0),0)
)</f>
        <v>-95</v>
      </c>
      <c r="K51" s="59">
        <f t="shared" ca="1" si="53"/>
        <v>0</v>
      </c>
      <c r="L51" s="59">
        <f t="shared" ca="1" si="53"/>
        <v>0</v>
      </c>
      <c r="M51" s="59">
        <f t="shared" ca="1" si="53"/>
        <v>0</v>
      </c>
      <c r="N51" s="59">
        <f t="shared" ca="1" si="53"/>
        <v>0</v>
      </c>
      <c r="O51" s="59">
        <f t="shared" ca="1" si="53"/>
        <v>0</v>
      </c>
      <c r="P51" s="59">
        <f t="shared" ca="1" si="53"/>
        <v>0</v>
      </c>
      <c r="Q51" s="59">
        <f t="shared" ca="1" si="53"/>
        <v>0</v>
      </c>
      <c r="R51" s="59">
        <f t="shared" ca="1" si="53"/>
        <v>0</v>
      </c>
      <c r="S51" s="59">
        <f t="shared" ca="1" si="53"/>
        <v>0</v>
      </c>
      <c r="T51" s="59">
        <f t="shared" ca="1" si="53"/>
        <v>0</v>
      </c>
      <c r="U51" s="59">
        <f t="shared" ca="1" si="53"/>
        <v>0</v>
      </c>
      <c r="W51" s="94">
        <f t="shared" ca="1" si="7"/>
        <v>-95</v>
      </c>
      <c r="X51" s="94" t="b">
        <f t="shared" ca="1" si="8"/>
        <v>0</v>
      </c>
    </row>
    <row r="52" spans="1:24" ht="15" thickBot="1" x14ac:dyDescent="0.35">
      <c r="A52" s="68" t="str">
        <v>Fernanda Morales</v>
      </c>
      <c r="B52" s="21" t="str">
        <v>Gestión del clima laboral</v>
      </c>
      <c r="C52" s="61">
        <v>45862</v>
      </c>
      <c r="D52" s="61">
        <v>45869</v>
      </c>
      <c r="E52" s="67">
        <v>3.5</v>
      </c>
      <c r="F52" s="69">
        <f t="shared" ca="1" si="2"/>
        <v>-175</v>
      </c>
      <c r="G52" s="64">
        <f t="shared" ca="1" si="3"/>
        <v>-213</v>
      </c>
      <c r="H52" s="70">
        <f t="shared" ca="1" si="4"/>
        <v>-42.6</v>
      </c>
      <c r="I52" s="66">
        <f t="shared" si="5"/>
        <v>0.58333333333333337</v>
      </c>
      <c r="J52" s="59">
        <f t="shared" ref="J52:U52" ca="1" si="54">IF($A52="","",
IF($C52&gt;J$3+6,0,IF($D52&gt;=J$3,$I52*5,0)
-IF($D52&gt;=J$3,IF(K$3&gt;$D52,NETWORKDAYS($D52,K$3)-2,0)*$I52,0)
-IF(AND($C52&gt;=J$3,$C52&lt;K$3),($C52-J$3)*$I52,0))
-IF(AND(TODAY()&gt;=J$3,TODAY()&lt;K$3),IF(TODAY()&gt;$C52,NETWORKDAYS($C52,TODAY()-1)*$I52,0),0)
)</f>
        <v>-127.16666666666667</v>
      </c>
      <c r="K52" s="59">
        <f t="shared" ca="1" si="54"/>
        <v>0</v>
      </c>
      <c r="L52" s="59">
        <f t="shared" ca="1" si="54"/>
        <v>0</v>
      </c>
      <c r="M52" s="59">
        <f t="shared" ca="1" si="54"/>
        <v>0</v>
      </c>
      <c r="N52" s="59">
        <f t="shared" ca="1" si="54"/>
        <v>0</v>
      </c>
      <c r="O52" s="59">
        <f t="shared" ca="1" si="54"/>
        <v>0</v>
      </c>
      <c r="P52" s="59">
        <f t="shared" ca="1" si="54"/>
        <v>0</v>
      </c>
      <c r="Q52" s="59">
        <f t="shared" ca="1" si="54"/>
        <v>0</v>
      </c>
      <c r="R52" s="59">
        <f t="shared" ca="1" si="54"/>
        <v>0</v>
      </c>
      <c r="S52" s="59">
        <f t="shared" ca="1" si="54"/>
        <v>0</v>
      </c>
      <c r="T52" s="59">
        <f t="shared" ca="1" si="54"/>
        <v>0</v>
      </c>
      <c r="U52" s="59">
        <f t="shared" ca="1" si="54"/>
        <v>0</v>
      </c>
      <c r="W52" s="94">
        <f t="shared" ca="1" si="7"/>
        <v>-127.16666666666667</v>
      </c>
      <c r="X52" s="94" t="b">
        <f t="shared" ca="1" si="8"/>
        <v>0</v>
      </c>
    </row>
    <row r="53" spans="1:24" ht="15" thickBot="1" x14ac:dyDescent="0.35">
      <c r="A53" s="68" t="str">
        <v>Fernanda Morales</v>
      </c>
      <c r="B53" s="21" t="str">
        <v>Reclutamiento y selección</v>
      </c>
      <c r="C53" s="61">
        <v>45848</v>
      </c>
      <c r="D53" s="61">
        <v>45855</v>
      </c>
      <c r="E53" s="67">
        <v>6</v>
      </c>
      <c r="F53" s="69">
        <f t="shared" ca="1" si="2"/>
        <v>-314</v>
      </c>
      <c r="G53" s="64">
        <f t="shared" ca="1" si="3"/>
        <v>-223</v>
      </c>
      <c r="H53" s="70">
        <f t="shared" ca="1" si="4"/>
        <v>-44.6</v>
      </c>
      <c r="I53" s="66">
        <f t="shared" si="5"/>
        <v>1</v>
      </c>
      <c r="J53" s="59">
        <f t="shared" ref="J53:U53" ca="1" si="55">IF($A53="","",
IF($C53&gt;J$3+6,0,IF($D53&gt;=J$3,$I53*5,0)
-IF($D53&gt;=J$3,IF(K$3&gt;$D53,NETWORKDAYS($D53,K$3)-2,0)*$I53,0)
-IF(AND($C53&gt;=J$3,$C53&lt;K$3),($C53-J$3)*$I53,0))
-IF(AND(TODAY()&gt;=J$3,TODAY()&lt;K$3),IF(TODAY()&gt;$C53,NETWORKDAYS($C53,TODAY()-1)*$I53,0),0)
)</f>
        <v>-228</v>
      </c>
      <c r="K53" s="59">
        <f t="shared" ca="1" si="55"/>
        <v>0</v>
      </c>
      <c r="L53" s="59">
        <f t="shared" ca="1" si="55"/>
        <v>0</v>
      </c>
      <c r="M53" s="59">
        <f t="shared" ca="1" si="55"/>
        <v>0</v>
      </c>
      <c r="N53" s="59">
        <f t="shared" ca="1" si="55"/>
        <v>0</v>
      </c>
      <c r="O53" s="59">
        <f t="shared" ca="1" si="55"/>
        <v>0</v>
      </c>
      <c r="P53" s="59">
        <f t="shared" ca="1" si="55"/>
        <v>0</v>
      </c>
      <c r="Q53" s="59">
        <f t="shared" ca="1" si="55"/>
        <v>0</v>
      </c>
      <c r="R53" s="59">
        <f t="shared" ca="1" si="55"/>
        <v>0</v>
      </c>
      <c r="S53" s="59">
        <f t="shared" ca="1" si="55"/>
        <v>0</v>
      </c>
      <c r="T53" s="59">
        <f t="shared" ca="1" si="55"/>
        <v>0</v>
      </c>
      <c r="U53" s="59">
        <f t="shared" ca="1" si="55"/>
        <v>0</v>
      </c>
      <c r="W53" s="94">
        <f t="shared" ca="1" si="7"/>
        <v>-228</v>
      </c>
      <c r="X53" s="94" t="b">
        <f t="shared" ca="1" si="8"/>
        <v>0</v>
      </c>
    </row>
    <row r="54" spans="1:24" ht="15" thickBot="1" x14ac:dyDescent="0.35">
      <c r="A54" s="68" t="str">
        <v>Fernanda Morales</v>
      </c>
      <c r="B54" s="21" t="str">
        <v>Inducción y bienvenida</v>
      </c>
      <c r="C54" s="61">
        <v>45848</v>
      </c>
      <c r="D54" s="61">
        <v>45855</v>
      </c>
      <c r="E54" s="67">
        <v>2.5</v>
      </c>
      <c r="F54" s="69">
        <f t="shared" ca="1" si="2"/>
        <v>-130.83333333333334</v>
      </c>
      <c r="G54" s="64">
        <f t="shared" ca="1" si="3"/>
        <v>-223</v>
      </c>
      <c r="H54" s="70">
        <f t="shared" ca="1" si="4"/>
        <v>-44.6</v>
      </c>
      <c r="I54" s="66">
        <f t="shared" si="5"/>
        <v>0.41666666666666669</v>
      </c>
      <c r="J54" s="59">
        <f t="shared" ref="J54:U54" ca="1" si="56">IF($A54="","",
IF($C54&gt;J$3+6,0,IF($D54&gt;=J$3,$I54*5,0)
-IF($D54&gt;=J$3,IF(K$3&gt;$D54,NETWORKDAYS($D54,K$3)-2,0)*$I54,0)
-IF(AND($C54&gt;=J$3,$C54&lt;K$3),($C54-J$3)*$I54,0))
-IF(AND(TODAY()&gt;=J$3,TODAY()&lt;K$3),IF(TODAY()&gt;$C54,NETWORKDAYS($C54,TODAY()-1)*$I54,0),0)
)</f>
        <v>-95</v>
      </c>
      <c r="K54" s="59">
        <f t="shared" ca="1" si="56"/>
        <v>0</v>
      </c>
      <c r="L54" s="59">
        <f t="shared" ca="1" si="56"/>
        <v>0</v>
      </c>
      <c r="M54" s="59">
        <f t="shared" ca="1" si="56"/>
        <v>0</v>
      </c>
      <c r="N54" s="59">
        <f t="shared" ca="1" si="56"/>
        <v>0</v>
      </c>
      <c r="O54" s="59">
        <f t="shared" ca="1" si="56"/>
        <v>0</v>
      </c>
      <c r="P54" s="59">
        <f t="shared" ca="1" si="56"/>
        <v>0</v>
      </c>
      <c r="Q54" s="59">
        <f t="shared" ca="1" si="56"/>
        <v>0</v>
      </c>
      <c r="R54" s="59">
        <f t="shared" ca="1" si="56"/>
        <v>0</v>
      </c>
      <c r="S54" s="59">
        <f t="shared" ca="1" si="56"/>
        <v>0</v>
      </c>
      <c r="T54" s="59">
        <f t="shared" ca="1" si="56"/>
        <v>0</v>
      </c>
      <c r="U54" s="59">
        <f t="shared" ca="1" si="56"/>
        <v>0</v>
      </c>
      <c r="W54" s="94">
        <f t="shared" ca="1" si="7"/>
        <v>-95</v>
      </c>
      <c r="X54" s="94" t="b">
        <f t="shared" ca="1" si="8"/>
        <v>0</v>
      </c>
    </row>
    <row r="55" spans="1:24" ht="15" thickBot="1" x14ac:dyDescent="0.35">
      <c r="A55" s="68" t="str">
        <v>Fernanda Morales</v>
      </c>
      <c r="B55" s="21" t="str">
        <v>Gestión de remuneraciones y beneficios</v>
      </c>
      <c r="C55" s="61">
        <v>45848</v>
      </c>
      <c r="D55" s="61">
        <v>45855</v>
      </c>
      <c r="E55" s="67">
        <v>9</v>
      </c>
      <c r="F55" s="69">
        <f t="shared" ca="1" si="2"/>
        <v>-471</v>
      </c>
      <c r="G55" s="64">
        <f t="shared" ca="1" si="3"/>
        <v>-223</v>
      </c>
      <c r="H55" s="70">
        <f t="shared" ca="1" si="4"/>
        <v>-44.6</v>
      </c>
      <c r="I55" s="66">
        <f t="shared" si="5"/>
        <v>1.5</v>
      </c>
      <c r="J55" s="59">
        <f t="shared" ref="J55:U55" ca="1" si="57">IF($A55="","",
IF($C55&gt;J$3+6,0,IF($D55&gt;=J$3,$I55*5,0)
-IF($D55&gt;=J$3,IF(K$3&gt;$D55,NETWORKDAYS($D55,K$3)-2,0)*$I55,0)
-IF(AND($C55&gt;=J$3,$C55&lt;K$3),($C55-J$3)*$I55,0))
-IF(AND(TODAY()&gt;=J$3,TODAY()&lt;K$3),IF(TODAY()&gt;$C55,NETWORKDAYS($C55,TODAY()-1)*$I55,0),0)
)</f>
        <v>-342</v>
      </c>
      <c r="K55" s="59">
        <f t="shared" ca="1" si="57"/>
        <v>0</v>
      </c>
      <c r="L55" s="59">
        <f t="shared" ca="1" si="57"/>
        <v>0</v>
      </c>
      <c r="M55" s="59">
        <f t="shared" ca="1" si="57"/>
        <v>0</v>
      </c>
      <c r="N55" s="59">
        <f t="shared" ca="1" si="57"/>
        <v>0</v>
      </c>
      <c r="O55" s="59">
        <f t="shared" ca="1" si="57"/>
        <v>0</v>
      </c>
      <c r="P55" s="59">
        <f t="shared" ca="1" si="57"/>
        <v>0</v>
      </c>
      <c r="Q55" s="59">
        <f t="shared" ca="1" si="57"/>
        <v>0</v>
      </c>
      <c r="R55" s="59">
        <f t="shared" ca="1" si="57"/>
        <v>0</v>
      </c>
      <c r="S55" s="59">
        <f t="shared" ca="1" si="57"/>
        <v>0</v>
      </c>
      <c r="T55" s="59">
        <f t="shared" ca="1" si="57"/>
        <v>0</v>
      </c>
      <c r="U55" s="59">
        <f t="shared" ca="1" si="57"/>
        <v>0</v>
      </c>
      <c r="W55" s="94">
        <f t="shared" ca="1" si="7"/>
        <v>-342</v>
      </c>
      <c r="X55" s="94" t="b">
        <f t="shared" ca="1" si="8"/>
        <v>0</v>
      </c>
    </row>
    <row r="56" spans="1:24" ht="15" thickBot="1" x14ac:dyDescent="0.35">
      <c r="A56" s="68" t="str">
        <v>Fernanda Morales</v>
      </c>
      <c r="B56" s="21" t="str">
        <v>Capacitación y desarrollo</v>
      </c>
      <c r="C56" s="61">
        <v>45862</v>
      </c>
      <c r="D56" s="61">
        <v>45869</v>
      </c>
      <c r="E56" s="67">
        <v>3</v>
      </c>
      <c r="F56" s="69">
        <f t="shared" ca="1" si="2"/>
        <v>-150</v>
      </c>
      <c r="G56" s="64">
        <f t="shared" ca="1" si="3"/>
        <v>-213</v>
      </c>
      <c r="H56" s="70">
        <f t="shared" ca="1" si="4"/>
        <v>-42.6</v>
      </c>
      <c r="I56" s="66">
        <f t="shared" si="5"/>
        <v>0.5</v>
      </c>
      <c r="J56" s="59">
        <f t="shared" ref="J56:U56" ca="1" si="58">IF($A56="","",
IF($C56&gt;J$3+6,0,IF($D56&gt;=J$3,$I56*5,0)
-IF($D56&gt;=J$3,IF(K$3&gt;$D56,NETWORKDAYS($D56,K$3)-2,0)*$I56,0)
-IF(AND($C56&gt;=J$3,$C56&lt;K$3),($C56-J$3)*$I56,0))
-IF(AND(TODAY()&gt;=J$3,TODAY()&lt;K$3),IF(TODAY()&gt;$C56,NETWORKDAYS($C56,TODAY()-1)*$I56,0),0)
)</f>
        <v>-109</v>
      </c>
      <c r="K56" s="59">
        <f t="shared" ca="1" si="58"/>
        <v>0</v>
      </c>
      <c r="L56" s="59">
        <f t="shared" ca="1" si="58"/>
        <v>0</v>
      </c>
      <c r="M56" s="59">
        <f t="shared" ca="1" si="58"/>
        <v>0</v>
      </c>
      <c r="N56" s="59">
        <f t="shared" ca="1" si="58"/>
        <v>0</v>
      </c>
      <c r="O56" s="59">
        <f t="shared" ca="1" si="58"/>
        <v>0</v>
      </c>
      <c r="P56" s="59">
        <f t="shared" ca="1" si="58"/>
        <v>0</v>
      </c>
      <c r="Q56" s="59">
        <f t="shared" ca="1" si="58"/>
        <v>0</v>
      </c>
      <c r="R56" s="59">
        <f t="shared" ca="1" si="58"/>
        <v>0</v>
      </c>
      <c r="S56" s="59">
        <f t="shared" ca="1" si="58"/>
        <v>0</v>
      </c>
      <c r="T56" s="59">
        <f t="shared" ca="1" si="58"/>
        <v>0</v>
      </c>
      <c r="U56" s="59">
        <f t="shared" ca="1" si="58"/>
        <v>0</v>
      </c>
      <c r="W56" s="94">
        <f t="shared" ca="1" si="7"/>
        <v>-109</v>
      </c>
      <c r="X56" s="94" t="b">
        <f t="shared" ca="1" si="8"/>
        <v>0</v>
      </c>
    </row>
    <row r="57" spans="1:24" ht="15" thickBot="1" x14ac:dyDescent="0.35">
      <c r="A57" s="68" t="str">
        <v>Javiera Soto</v>
      </c>
      <c r="B57" s="21" t="str">
        <v>Gestión del clima laboral</v>
      </c>
      <c r="C57" s="61">
        <v>45841</v>
      </c>
      <c r="D57" s="61">
        <v>45849</v>
      </c>
      <c r="E57" s="67">
        <v>3.5</v>
      </c>
      <c r="F57" s="69">
        <f t="shared" ca="1" si="2"/>
        <v>-160</v>
      </c>
      <c r="G57" s="64">
        <f t="shared" ca="1" si="3"/>
        <v>-227</v>
      </c>
      <c r="H57" s="70">
        <f t="shared" ca="1" si="4"/>
        <v>-45.4</v>
      </c>
      <c r="I57" s="66">
        <f t="shared" si="5"/>
        <v>0.5</v>
      </c>
      <c r="J57" s="59">
        <f t="shared" ref="J57:U57" ca="1" si="59">IF($A57="","",
IF($C57&gt;J$3+6,0,IF($D57&gt;=J$3,$I57*5,0)
-IF($D57&gt;=J$3,IF(K$3&gt;$D57,NETWORKDAYS($D57,K$3)-2,0)*$I57,0)
-IF(AND($C57&gt;=J$3,$C57&lt;K$3),($C57-J$3)*$I57,0))
-IF(AND(TODAY()&gt;=J$3,TODAY()&lt;K$3),IF(TODAY()&gt;$C57,NETWORKDAYS($C57,TODAY()-1)*$I57,0),0)
)</f>
        <v>-116.5</v>
      </c>
      <c r="K57" s="59">
        <f t="shared" ca="1" si="59"/>
        <v>0</v>
      </c>
      <c r="L57" s="59">
        <f t="shared" ca="1" si="59"/>
        <v>0</v>
      </c>
      <c r="M57" s="59">
        <f t="shared" ca="1" si="59"/>
        <v>0</v>
      </c>
      <c r="N57" s="59">
        <f t="shared" ca="1" si="59"/>
        <v>0</v>
      </c>
      <c r="O57" s="59">
        <f t="shared" ca="1" si="59"/>
        <v>0</v>
      </c>
      <c r="P57" s="59">
        <f t="shared" ca="1" si="59"/>
        <v>0</v>
      </c>
      <c r="Q57" s="59">
        <f t="shared" ca="1" si="59"/>
        <v>0</v>
      </c>
      <c r="R57" s="59">
        <f t="shared" ca="1" si="59"/>
        <v>0</v>
      </c>
      <c r="S57" s="59">
        <f t="shared" ca="1" si="59"/>
        <v>0</v>
      </c>
      <c r="T57" s="59">
        <f t="shared" ca="1" si="59"/>
        <v>0</v>
      </c>
      <c r="U57" s="59">
        <f t="shared" ca="1" si="59"/>
        <v>0</v>
      </c>
      <c r="W57" s="94">
        <f t="shared" ca="1" si="7"/>
        <v>-116.5</v>
      </c>
      <c r="X57" s="94" t="b">
        <f t="shared" ca="1" si="8"/>
        <v>0</v>
      </c>
    </row>
    <row r="58" spans="1:24" ht="15" thickBot="1" x14ac:dyDescent="0.35">
      <c r="A58" s="68" t="str">
        <v>Javiera Soto</v>
      </c>
      <c r="B58" s="21" t="str">
        <v>Administración de personal</v>
      </c>
      <c r="C58" s="61">
        <v>45841</v>
      </c>
      <c r="D58" s="61">
        <v>45849</v>
      </c>
      <c r="E58" s="67">
        <v>3</v>
      </c>
      <c r="F58" s="69">
        <f t="shared" ca="1" si="2"/>
        <v>-137.14285714285714</v>
      </c>
      <c r="G58" s="64">
        <f t="shared" ca="1" si="3"/>
        <v>-227</v>
      </c>
      <c r="H58" s="70">
        <f t="shared" ca="1" si="4"/>
        <v>-45.4</v>
      </c>
      <c r="I58" s="66">
        <f t="shared" si="5"/>
        <v>0.42857142857142855</v>
      </c>
      <c r="J58" s="59">
        <f t="shared" ref="J58:U58" ca="1" si="60">IF($A58="","",
IF($C58&gt;J$3+6,0,IF($D58&gt;=J$3,$I58*5,0)
-IF($D58&gt;=J$3,IF(K$3&gt;$D58,NETWORKDAYS($D58,K$3)-2,0)*$I58,0)
-IF(AND($C58&gt;=J$3,$C58&lt;K$3),($C58-J$3)*$I58,0))
-IF(AND(TODAY()&gt;=J$3,TODAY()&lt;K$3),IF(TODAY()&gt;$C58,NETWORKDAYS($C58,TODAY()-1)*$I58,0),0)
)</f>
        <v>-99.857142857142847</v>
      </c>
      <c r="K58" s="59">
        <f t="shared" ca="1" si="60"/>
        <v>0</v>
      </c>
      <c r="L58" s="59">
        <f t="shared" ca="1" si="60"/>
        <v>0</v>
      </c>
      <c r="M58" s="59">
        <f t="shared" ca="1" si="60"/>
        <v>0</v>
      </c>
      <c r="N58" s="59">
        <f t="shared" ca="1" si="60"/>
        <v>0</v>
      </c>
      <c r="O58" s="59">
        <f t="shared" ca="1" si="60"/>
        <v>0</v>
      </c>
      <c r="P58" s="59">
        <f t="shared" ca="1" si="60"/>
        <v>0</v>
      </c>
      <c r="Q58" s="59">
        <f t="shared" ca="1" si="60"/>
        <v>0</v>
      </c>
      <c r="R58" s="59">
        <f t="shared" ca="1" si="60"/>
        <v>0</v>
      </c>
      <c r="S58" s="59">
        <f t="shared" ca="1" si="60"/>
        <v>0</v>
      </c>
      <c r="T58" s="59">
        <f t="shared" ca="1" si="60"/>
        <v>0</v>
      </c>
      <c r="U58" s="59">
        <f t="shared" ca="1" si="60"/>
        <v>0</v>
      </c>
      <c r="W58" s="94">
        <f t="shared" ca="1" si="7"/>
        <v>-99.857142857142847</v>
      </c>
      <c r="X58" s="94" t="b">
        <f t="shared" ca="1" si="8"/>
        <v>0</v>
      </c>
    </row>
    <row r="59" spans="1:24" ht="15" thickBot="1" x14ac:dyDescent="0.35">
      <c r="A59" s="68" t="str">
        <v>Javiera Soto</v>
      </c>
      <c r="B59" s="21" t="str">
        <v>Gestión del clima laboral</v>
      </c>
      <c r="C59" s="61">
        <v>45855</v>
      </c>
      <c r="D59" s="61">
        <v>45863</v>
      </c>
      <c r="E59" s="67">
        <v>3.5</v>
      </c>
      <c r="F59" s="69">
        <f t="shared" ca="1" si="2"/>
        <v>-153</v>
      </c>
      <c r="G59" s="64">
        <f t="shared" ca="1" si="3"/>
        <v>-217</v>
      </c>
      <c r="H59" s="70">
        <f t="shared" ca="1" si="4"/>
        <v>-43.4</v>
      </c>
      <c r="I59" s="66">
        <f t="shared" si="5"/>
        <v>0.5</v>
      </c>
      <c r="J59" s="59">
        <f t="shared" ref="J59:U59" ca="1" si="61">IF($A59="","",
IF($C59&gt;J$3+6,0,IF($D59&gt;=J$3,$I59*5,0)
-IF($D59&gt;=J$3,IF(K$3&gt;$D59,NETWORKDAYS($D59,K$3)-2,0)*$I59,0)
-IF(AND($C59&gt;=J$3,$C59&lt;K$3),($C59-J$3)*$I59,0))
-IF(AND(TODAY()&gt;=J$3,TODAY()&lt;K$3),IF(TODAY()&gt;$C59,NETWORKDAYS($C59,TODAY()-1)*$I59,0),0)
)</f>
        <v>-111.5</v>
      </c>
      <c r="K59" s="59">
        <f t="shared" ca="1" si="61"/>
        <v>0</v>
      </c>
      <c r="L59" s="59">
        <f t="shared" ca="1" si="61"/>
        <v>0</v>
      </c>
      <c r="M59" s="59">
        <f t="shared" ca="1" si="61"/>
        <v>0</v>
      </c>
      <c r="N59" s="59">
        <f t="shared" ca="1" si="61"/>
        <v>0</v>
      </c>
      <c r="O59" s="59">
        <f t="shared" ca="1" si="61"/>
        <v>0</v>
      </c>
      <c r="P59" s="59">
        <f t="shared" ca="1" si="61"/>
        <v>0</v>
      </c>
      <c r="Q59" s="59">
        <f t="shared" ca="1" si="61"/>
        <v>0</v>
      </c>
      <c r="R59" s="59">
        <f t="shared" ca="1" si="61"/>
        <v>0</v>
      </c>
      <c r="S59" s="59">
        <f t="shared" ca="1" si="61"/>
        <v>0</v>
      </c>
      <c r="T59" s="59">
        <f t="shared" ca="1" si="61"/>
        <v>0</v>
      </c>
      <c r="U59" s="59">
        <f t="shared" ca="1" si="61"/>
        <v>0</v>
      </c>
      <c r="W59" s="94">
        <f t="shared" ca="1" si="7"/>
        <v>-111.5</v>
      </c>
      <c r="X59" s="94" t="b">
        <f t="shared" ca="1" si="8"/>
        <v>0</v>
      </c>
    </row>
    <row r="60" spans="1:24" ht="15" thickBot="1" x14ac:dyDescent="0.35">
      <c r="A60" s="60" t="str">
        <v>Javiera Soto</v>
      </c>
      <c r="B60" s="21" t="str">
        <v>Administración de personal</v>
      </c>
      <c r="C60" s="61">
        <v>45855</v>
      </c>
      <c r="D60" s="61">
        <v>45863</v>
      </c>
      <c r="E60" s="67">
        <v>3</v>
      </c>
      <c r="F60" s="69">
        <f t="shared" ca="1" si="2"/>
        <v>-131.14285714285714</v>
      </c>
      <c r="G60" s="64">
        <f t="shared" ca="1" si="3"/>
        <v>-217</v>
      </c>
      <c r="H60" s="70">
        <f t="shared" ca="1" si="4"/>
        <v>-43.4</v>
      </c>
      <c r="I60" s="66">
        <f t="shared" si="5"/>
        <v>0.42857142857142855</v>
      </c>
      <c r="J60" s="59">
        <f t="shared" ref="J60:U60" ca="1" si="62">IF($A60="","",
IF($C60&gt;J$3+6,0,IF($D60&gt;=J$3,$I60*5,0)
-IF($D60&gt;=J$3,IF(K$3&gt;$D60,NETWORKDAYS($D60,K$3)-2,0)*$I60,0)
-IF(AND($C60&gt;=J$3,$C60&lt;K$3),($C60-J$3)*$I60,0))
-IF(AND(TODAY()&gt;=J$3,TODAY()&lt;K$3),IF(TODAY()&gt;$C60,NETWORKDAYS($C60,TODAY()-1)*$I60,0),0)
)</f>
        <v>-95.571428571428569</v>
      </c>
      <c r="K60" s="59">
        <f t="shared" ca="1" si="62"/>
        <v>0</v>
      </c>
      <c r="L60" s="59">
        <f t="shared" ca="1" si="62"/>
        <v>0</v>
      </c>
      <c r="M60" s="59">
        <f t="shared" ca="1" si="62"/>
        <v>0</v>
      </c>
      <c r="N60" s="59">
        <f t="shared" ca="1" si="62"/>
        <v>0</v>
      </c>
      <c r="O60" s="59">
        <f t="shared" ca="1" si="62"/>
        <v>0</v>
      </c>
      <c r="P60" s="59">
        <f t="shared" ca="1" si="62"/>
        <v>0</v>
      </c>
      <c r="Q60" s="59">
        <f t="shared" ca="1" si="62"/>
        <v>0</v>
      </c>
      <c r="R60" s="59">
        <f t="shared" ca="1" si="62"/>
        <v>0</v>
      </c>
      <c r="S60" s="59">
        <f t="shared" ca="1" si="62"/>
        <v>0</v>
      </c>
      <c r="T60" s="59">
        <f t="shared" ca="1" si="62"/>
        <v>0</v>
      </c>
      <c r="U60" s="59">
        <f t="shared" ca="1" si="62"/>
        <v>0</v>
      </c>
      <c r="W60" s="94">
        <f t="shared" ca="1" si="7"/>
        <v>-95.571428571428569</v>
      </c>
      <c r="X60" s="94" t="b">
        <f t="shared" ca="1" si="8"/>
        <v>0</v>
      </c>
    </row>
    <row r="61" spans="1:24" ht="15" thickBot="1" x14ac:dyDescent="0.35">
      <c r="A61" s="68" t="str">
        <v>Javiera Soto</v>
      </c>
      <c r="B61" s="21" t="str">
        <v>Capacitación y desarrollo</v>
      </c>
      <c r="C61" s="61">
        <v>45848</v>
      </c>
      <c r="D61" s="61">
        <v>45855</v>
      </c>
      <c r="E61" s="67">
        <v>3</v>
      </c>
      <c r="F61" s="69">
        <f t="shared" ca="1" si="2"/>
        <v>-157</v>
      </c>
      <c r="G61" s="64">
        <f t="shared" ca="1" si="3"/>
        <v>-223</v>
      </c>
      <c r="H61" s="70">
        <f t="shared" ca="1" si="4"/>
        <v>-44.6</v>
      </c>
      <c r="I61" s="66">
        <f t="shared" si="5"/>
        <v>0.5</v>
      </c>
      <c r="J61" s="59">
        <f t="shared" ref="J61:U61" ca="1" si="63">IF($A61="","",
IF($C61&gt;J$3+6,0,IF($D61&gt;=J$3,$I61*5,0)
-IF($D61&gt;=J$3,IF(K$3&gt;$D61,NETWORKDAYS($D61,K$3)-2,0)*$I61,0)
-IF(AND($C61&gt;=J$3,$C61&lt;K$3),($C61-J$3)*$I61,0))
-IF(AND(TODAY()&gt;=J$3,TODAY()&lt;K$3),IF(TODAY()&gt;$C61,NETWORKDAYS($C61,TODAY()-1)*$I61,0),0)
)</f>
        <v>-114</v>
      </c>
      <c r="K61" s="59">
        <f t="shared" ca="1" si="63"/>
        <v>0</v>
      </c>
      <c r="L61" s="59">
        <f t="shared" ca="1" si="63"/>
        <v>0</v>
      </c>
      <c r="M61" s="59">
        <f t="shared" ca="1" si="63"/>
        <v>0</v>
      </c>
      <c r="N61" s="59">
        <f t="shared" ca="1" si="63"/>
        <v>0</v>
      </c>
      <c r="O61" s="59">
        <f t="shared" ca="1" si="63"/>
        <v>0</v>
      </c>
      <c r="P61" s="59">
        <f t="shared" ca="1" si="63"/>
        <v>0</v>
      </c>
      <c r="Q61" s="59">
        <f t="shared" ca="1" si="63"/>
        <v>0</v>
      </c>
      <c r="R61" s="59">
        <f t="shared" ca="1" si="63"/>
        <v>0</v>
      </c>
      <c r="S61" s="59">
        <f t="shared" ca="1" si="63"/>
        <v>0</v>
      </c>
      <c r="T61" s="59">
        <f t="shared" ca="1" si="63"/>
        <v>0</v>
      </c>
      <c r="U61" s="59">
        <f t="shared" ca="1" si="63"/>
        <v>0</v>
      </c>
      <c r="W61" s="94">
        <f t="shared" ca="1" si="7"/>
        <v>-114</v>
      </c>
      <c r="X61" s="94" t="b">
        <f t="shared" ca="1" si="8"/>
        <v>0</v>
      </c>
    </row>
    <row r="62" spans="1:24" ht="15" thickBot="1" x14ac:dyDescent="0.35">
      <c r="A62" s="68" t="str">
        <v>Javiera Soto</v>
      </c>
      <c r="B62" s="21" t="str">
        <v>Evaluación del desempeño</v>
      </c>
      <c r="C62" s="61">
        <v>45848</v>
      </c>
      <c r="D62" s="61">
        <v>45855</v>
      </c>
      <c r="E62" s="67">
        <v>10</v>
      </c>
      <c r="F62" s="69">
        <f t="shared" ca="1" si="2"/>
        <v>-523.33333333333337</v>
      </c>
      <c r="G62" s="64">
        <f t="shared" ca="1" si="3"/>
        <v>-223</v>
      </c>
      <c r="H62" s="70">
        <f t="shared" ca="1" si="4"/>
        <v>-44.6</v>
      </c>
      <c r="I62" s="66">
        <f t="shared" si="5"/>
        <v>1.6666666666666667</v>
      </c>
      <c r="J62" s="59">
        <f t="shared" ref="J62:U62" ca="1" si="64">IF($A62="","",
IF($C62&gt;J$3+6,0,IF($D62&gt;=J$3,$I62*5,0)
-IF($D62&gt;=J$3,IF(K$3&gt;$D62,NETWORKDAYS($D62,K$3)-2,0)*$I62,0)
-IF(AND($C62&gt;=J$3,$C62&lt;K$3),($C62-J$3)*$I62,0))
-IF(AND(TODAY()&gt;=J$3,TODAY()&lt;K$3),IF(TODAY()&gt;$C62,NETWORKDAYS($C62,TODAY()-1)*$I62,0),0)
)</f>
        <v>-380</v>
      </c>
      <c r="K62" s="59">
        <f t="shared" ca="1" si="64"/>
        <v>0</v>
      </c>
      <c r="L62" s="59">
        <f t="shared" ca="1" si="64"/>
        <v>0</v>
      </c>
      <c r="M62" s="59">
        <f t="shared" ca="1" si="64"/>
        <v>0</v>
      </c>
      <c r="N62" s="59">
        <f t="shared" ca="1" si="64"/>
        <v>0</v>
      </c>
      <c r="O62" s="59">
        <f t="shared" ca="1" si="64"/>
        <v>0</v>
      </c>
      <c r="P62" s="59">
        <f t="shared" ca="1" si="64"/>
        <v>0</v>
      </c>
      <c r="Q62" s="59">
        <f t="shared" ca="1" si="64"/>
        <v>0</v>
      </c>
      <c r="R62" s="59">
        <f t="shared" ca="1" si="64"/>
        <v>0</v>
      </c>
      <c r="S62" s="59">
        <f t="shared" ca="1" si="64"/>
        <v>0</v>
      </c>
      <c r="T62" s="59">
        <f t="shared" ca="1" si="64"/>
        <v>0</v>
      </c>
      <c r="U62" s="59">
        <f t="shared" ca="1" si="64"/>
        <v>0</v>
      </c>
      <c r="W62" s="94">
        <f t="shared" ca="1" si="7"/>
        <v>-380</v>
      </c>
      <c r="X62" s="94" t="b">
        <f t="shared" ca="1" si="8"/>
        <v>0</v>
      </c>
    </row>
    <row r="63" spans="1:24" ht="15" thickBot="1" x14ac:dyDescent="0.35">
      <c r="A63" s="68" t="str">
        <v>Javiera Soto</v>
      </c>
      <c r="B63" s="21" t="str">
        <v>Reclutamiento y selección</v>
      </c>
      <c r="C63" s="61">
        <v>45862</v>
      </c>
      <c r="D63" s="61">
        <v>45869</v>
      </c>
      <c r="E63" s="67">
        <v>6</v>
      </c>
      <c r="F63" s="69">
        <f t="shared" ca="1" si="2"/>
        <v>-300</v>
      </c>
      <c r="G63" s="64">
        <f t="shared" ca="1" si="3"/>
        <v>-213</v>
      </c>
      <c r="H63" s="70">
        <f t="shared" ca="1" si="4"/>
        <v>-42.6</v>
      </c>
      <c r="I63" s="66">
        <f t="shared" si="5"/>
        <v>1</v>
      </c>
      <c r="J63" s="59">
        <f t="shared" ref="J63:U63" ca="1" si="65">IF($A63="","",
IF($C63&gt;J$3+6,0,IF($D63&gt;=J$3,$I63*5,0)
-IF($D63&gt;=J$3,IF(K$3&gt;$D63,NETWORKDAYS($D63,K$3)-2,0)*$I63,0)
-IF(AND($C63&gt;=J$3,$C63&lt;K$3),($C63-J$3)*$I63,0))
-IF(AND(TODAY()&gt;=J$3,TODAY()&lt;K$3),IF(TODAY()&gt;$C63,NETWORKDAYS($C63,TODAY()-1)*$I63,0),0)
)</f>
        <v>-218</v>
      </c>
      <c r="K63" s="59">
        <f t="shared" ca="1" si="65"/>
        <v>0</v>
      </c>
      <c r="L63" s="59">
        <f t="shared" ca="1" si="65"/>
        <v>0</v>
      </c>
      <c r="M63" s="59">
        <f t="shared" ca="1" si="65"/>
        <v>0</v>
      </c>
      <c r="N63" s="59">
        <f t="shared" ca="1" si="65"/>
        <v>0</v>
      </c>
      <c r="O63" s="59">
        <f t="shared" ca="1" si="65"/>
        <v>0</v>
      </c>
      <c r="P63" s="59">
        <f t="shared" ca="1" si="65"/>
        <v>0</v>
      </c>
      <c r="Q63" s="59">
        <f t="shared" ca="1" si="65"/>
        <v>0</v>
      </c>
      <c r="R63" s="59">
        <f t="shared" ca="1" si="65"/>
        <v>0</v>
      </c>
      <c r="S63" s="59">
        <f t="shared" ca="1" si="65"/>
        <v>0</v>
      </c>
      <c r="T63" s="59">
        <f t="shared" ca="1" si="65"/>
        <v>0</v>
      </c>
      <c r="U63" s="59">
        <f t="shared" ca="1" si="65"/>
        <v>0</v>
      </c>
      <c r="W63" s="94">
        <f t="shared" ca="1" si="7"/>
        <v>-218</v>
      </c>
      <c r="X63" s="94" t="b">
        <f t="shared" ca="1" si="8"/>
        <v>0</v>
      </c>
    </row>
    <row r="64" spans="1:24" ht="15" thickBot="1" x14ac:dyDescent="0.35">
      <c r="A64" s="68" t="str">
        <v>Javiera Soto</v>
      </c>
      <c r="B64" s="21" t="str">
        <v>Inducción y bienvenida</v>
      </c>
      <c r="C64" s="61">
        <v>45862</v>
      </c>
      <c r="D64" s="61">
        <v>45869</v>
      </c>
      <c r="E64" s="67">
        <v>2.5</v>
      </c>
      <c r="F64" s="69">
        <f t="shared" ca="1" si="2"/>
        <v>-125</v>
      </c>
      <c r="G64" s="64">
        <f t="shared" ca="1" si="3"/>
        <v>-213</v>
      </c>
      <c r="H64" s="70">
        <f t="shared" ca="1" si="4"/>
        <v>-42.6</v>
      </c>
      <c r="I64" s="66">
        <f t="shared" si="5"/>
        <v>0.41666666666666669</v>
      </c>
      <c r="J64" s="59">
        <f t="shared" ref="J64:U64" ca="1" si="66">IF($A64="","",
IF($C64&gt;J$3+6,0,IF($D64&gt;=J$3,$I64*5,0)
-IF($D64&gt;=J$3,IF(K$3&gt;$D64,NETWORKDAYS($D64,K$3)-2,0)*$I64,0)
-IF(AND($C64&gt;=J$3,$C64&lt;K$3),($C64-J$3)*$I64,0))
-IF(AND(TODAY()&gt;=J$3,TODAY()&lt;K$3),IF(TODAY()&gt;$C64,NETWORKDAYS($C64,TODAY()-1)*$I64,0),0)
)</f>
        <v>-90.833333333333343</v>
      </c>
      <c r="K64" s="59">
        <f t="shared" ca="1" si="66"/>
        <v>0</v>
      </c>
      <c r="L64" s="59">
        <f t="shared" ca="1" si="66"/>
        <v>0</v>
      </c>
      <c r="M64" s="59">
        <f t="shared" ca="1" si="66"/>
        <v>0</v>
      </c>
      <c r="N64" s="59">
        <f t="shared" ca="1" si="66"/>
        <v>0</v>
      </c>
      <c r="O64" s="59">
        <f t="shared" ca="1" si="66"/>
        <v>0</v>
      </c>
      <c r="P64" s="59">
        <f t="shared" ca="1" si="66"/>
        <v>0</v>
      </c>
      <c r="Q64" s="59">
        <f t="shared" ca="1" si="66"/>
        <v>0</v>
      </c>
      <c r="R64" s="59">
        <f t="shared" ca="1" si="66"/>
        <v>0</v>
      </c>
      <c r="S64" s="59">
        <f t="shared" ca="1" si="66"/>
        <v>0</v>
      </c>
      <c r="T64" s="59">
        <f t="shared" ca="1" si="66"/>
        <v>0</v>
      </c>
      <c r="U64" s="59">
        <f t="shared" ca="1" si="66"/>
        <v>0</v>
      </c>
      <c r="W64" s="94">
        <f t="shared" ca="1" si="7"/>
        <v>-90.833333333333343</v>
      </c>
      <c r="X64" s="94" t="b">
        <f t="shared" ca="1" si="8"/>
        <v>0</v>
      </c>
    </row>
    <row r="65" spans="1:24" ht="15" thickBot="1" x14ac:dyDescent="0.35">
      <c r="A65" s="68" t="str">
        <v>Javiera Soto</v>
      </c>
      <c r="B65" s="21" t="str">
        <v>Gestión del clima laboral</v>
      </c>
      <c r="C65" s="61">
        <v>45848</v>
      </c>
      <c r="D65" s="61">
        <v>45855</v>
      </c>
      <c r="E65" s="67">
        <v>3.5</v>
      </c>
      <c r="F65" s="69">
        <f t="shared" ca="1" si="2"/>
        <v>-183.16666666666669</v>
      </c>
      <c r="G65" s="64">
        <f t="shared" ca="1" si="3"/>
        <v>-223</v>
      </c>
      <c r="H65" s="70">
        <f t="shared" ca="1" si="4"/>
        <v>-44.6</v>
      </c>
      <c r="I65" s="66">
        <f t="shared" si="5"/>
        <v>0.58333333333333337</v>
      </c>
      <c r="J65" s="59">
        <f t="shared" ref="J65:U65" ca="1" si="67">IF($A65="","",
IF($C65&gt;J$3+6,0,IF($D65&gt;=J$3,$I65*5,0)
-IF($D65&gt;=J$3,IF(K$3&gt;$D65,NETWORKDAYS($D65,K$3)-2,0)*$I65,0)
-IF(AND($C65&gt;=J$3,$C65&lt;K$3),($C65-J$3)*$I65,0))
-IF(AND(TODAY()&gt;=J$3,TODAY()&lt;K$3),IF(TODAY()&gt;$C65,NETWORKDAYS($C65,TODAY()-1)*$I65,0),0)
)</f>
        <v>-133</v>
      </c>
      <c r="K65" s="59">
        <f t="shared" ca="1" si="67"/>
        <v>0</v>
      </c>
      <c r="L65" s="59">
        <f t="shared" ca="1" si="67"/>
        <v>0</v>
      </c>
      <c r="M65" s="59">
        <f t="shared" ca="1" si="67"/>
        <v>0</v>
      </c>
      <c r="N65" s="59">
        <f t="shared" ca="1" si="67"/>
        <v>0</v>
      </c>
      <c r="O65" s="59">
        <f t="shared" ca="1" si="67"/>
        <v>0</v>
      </c>
      <c r="P65" s="59">
        <f t="shared" ca="1" si="67"/>
        <v>0</v>
      </c>
      <c r="Q65" s="59">
        <f t="shared" ca="1" si="67"/>
        <v>0</v>
      </c>
      <c r="R65" s="59">
        <f t="shared" ca="1" si="67"/>
        <v>0</v>
      </c>
      <c r="S65" s="59">
        <f t="shared" ca="1" si="67"/>
        <v>0</v>
      </c>
      <c r="T65" s="59">
        <f t="shared" ca="1" si="67"/>
        <v>0</v>
      </c>
      <c r="U65" s="59">
        <f t="shared" ca="1" si="67"/>
        <v>0</v>
      </c>
      <c r="W65" s="94">
        <f t="shared" ca="1" si="7"/>
        <v>-133</v>
      </c>
      <c r="X65" s="94" t="b">
        <f t="shared" ca="1" si="8"/>
        <v>0</v>
      </c>
    </row>
    <row r="66" spans="1:24" ht="15" thickBot="1" x14ac:dyDescent="0.35">
      <c r="A66" s="68" t="str">
        <v>Javiera Soto</v>
      </c>
      <c r="B66" s="21" t="str">
        <v>Gestión de salud y seguridad ocupacional</v>
      </c>
      <c r="C66" s="61">
        <v>45848</v>
      </c>
      <c r="D66" s="61">
        <v>45855</v>
      </c>
      <c r="E66" s="67">
        <v>2.5</v>
      </c>
      <c r="F66" s="69">
        <f t="shared" ca="1" si="2"/>
        <v>-130.83333333333334</v>
      </c>
      <c r="G66" s="64">
        <f t="shared" ca="1" si="3"/>
        <v>-223</v>
      </c>
      <c r="H66" s="70">
        <f t="shared" ca="1" si="4"/>
        <v>-44.6</v>
      </c>
      <c r="I66" s="66">
        <f t="shared" si="5"/>
        <v>0.41666666666666669</v>
      </c>
      <c r="J66" s="59">
        <f t="shared" ref="J66:U66" ca="1" si="68">IF($A66="","",
IF($C66&gt;J$3+6,0,IF($D66&gt;=J$3,$I66*5,0)
-IF($D66&gt;=J$3,IF(K$3&gt;$D66,NETWORKDAYS($D66,K$3)-2,0)*$I66,0)
-IF(AND($C66&gt;=J$3,$C66&lt;K$3),($C66-J$3)*$I66,0))
-IF(AND(TODAY()&gt;=J$3,TODAY()&lt;K$3),IF(TODAY()&gt;$C66,NETWORKDAYS($C66,TODAY()-1)*$I66,0),0)
)</f>
        <v>-95</v>
      </c>
      <c r="K66" s="59">
        <f t="shared" ca="1" si="68"/>
        <v>0</v>
      </c>
      <c r="L66" s="59">
        <f t="shared" ca="1" si="68"/>
        <v>0</v>
      </c>
      <c r="M66" s="59">
        <f t="shared" ca="1" si="68"/>
        <v>0</v>
      </c>
      <c r="N66" s="59">
        <f t="shared" ca="1" si="68"/>
        <v>0</v>
      </c>
      <c r="O66" s="59">
        <f t="shared" ca="1" si="68"/>
        <v>0</v>
      </c>
      <c r="P66" s="59">
        <f t="shared" ca="1" si="68"/>
        <v>0</v>
      </c>
      <c r="Q66" s="59">
        <f t="shared" ca="1" si="68"/>
        <v>0</v>
      </c>
      <c r="R66" s="59">
        <f t="shared" ca="1" si="68"/>
        <v>0</v>
      </c>
      <c r="S66" s="59">
        <f t="shared" ca="1" si="68"/>
        <v>0</v>
      </c>
      <c r="T66" s="59">
        <f t="shared" ca="1" si="68"/>
        <v>0</v>
      </c>
      <c r="U66" s="59">
        <f t="shared" ca="1" si="68"/>
        <v>0</v>
      </c>
      <c r="W66" s="94">
        <f t="shared" ca="1" si="7"/>
        <v>-95</v>
      </c>
      <c r="X66" s="94" t="b">
        <f t="shared" ca="1" si="8"/>
        <v>0</v>
      </c>
    </row>
    <row r="67" spans="1:24" ht="15" thickBot="1" x14ac:dyDescent="0.35">
      <c r="A67" s="68" t="str">
        <v>Javiera Soto</v>
      </c>
      <c r="B67" s="21" t="str">
        <v>Cumplimiento legal y normativo</v>
      </c>
      <c r="C67" s="61">
        <v>45862</v>
      </c>
      <c r="D67" s="61">
        <v>45869</v>
      </c>
      <c r="E67" s="67">
        <v>3</v>
      </c>
      <c r="F67" s="69">
        <f t="shared" ca="1" si="2"/>
        <v>-150</v>
      </c>
      <c r="G67" s="64">
        <f t="shared" ca="1" si="3"/>
        <v>-213</v>
      </c>
      <c r="H67" s="70">
        <f t="shared" ca="1" si="4"/>
        <v>-42.6</v>
      </c>
      <c r="I67" s="66">
        <f t="shared" si="5"/>
        <v>0.5</v>
      </c>
      <c r="J67" s="59">
        <f t="shared" ref="J67:U67" ca="1" si="69">IF($A67="","",
IF($C67&gt;J$3+6,0,IF($D67&gt;=J$3,$I67*5,0)
-IF($D67&gt;=J$3,IF(K$3&gt;$D67,NETWORKDAYS($D67,K$3)-2,0)*$I67,0)
-IF(AND($C67&gt;=J$3,$C67&lt;K$3),($C67-J$3)*$I67,0))
-IF(AND(TODAY()&gt;=J$3,TODAY()&lt;K$3),IF(TODAY()&gt;$C67,NETWORKDAYS($C67,TODAY()-1)*$I67,0),0)
)</f>
        <v>-109</v>
      </c>
      <c r="K67" s="59">
        <f t="shared" ca="1" si="69"/>
        <v>0</v>
      </c>
      <c r="L67" s="59">
        <f t="shared" ca="1" si="69"/>
        <v>0</v>
      </c>
      <c r="M67" s="59">
        <f t="shared" ca="1" si="69"/>
        <v>0</v>
      </c>
      <c r="N67" s="59">
        <f t="shared" ca="1" si="69"/>
        <v>0</v>
      </c>
      <c r="O67" s="59">
        <f t="shared" ca="1" si="69"/>
        <v>0</v>
      </c>
      <c r="P67" s="59">
        <f t="shared" ca="1" si="69"/>
        <v>0</v>
      </c>
      <c r="Q67" s="59">
        <f t="shared" ca="1" si="69"/>
        <v>0</v>
      </c>
      <c r="R67" s="59">
        <f t="shared" ca="1" si="69"/>
        <v>0</v>
      </c>
      <c r="S67" s="59">
        <f t="shared" ca="1" si="69"/>
        <v>0</v>
      </c>
      <c r="T67" s="59">
        <f t="shared" ca="1" si="69"/>
        <v>0</v>
      </c>
      <c r="U67" s="59">
        <f t="shared" ca="1" si="69"/>
        <v>0</v>
      </c>
      <c r="W67" s="94">
        <f t="shared" ca="1" si="7"/>
        <v>-109</v>
      </c>
      <c r="X67" s="94" t="b">
        <f t="shared" ca="1" si="8"/>
        <v>0</v>
      </c>
    </row>
    <row r="68" spans="1:24" ht="15" thickBot="1" x14ac:dyDescent="0.35">
      <c r="A68" s="68" t="str">
        <v>Javiera Soto</v>
      </c>
      <c r="B68" s="21" t="str">
        <v>Gestión de conflictos y relaciones laborales</v>
      </c>
      <c r="C68" s="61">
        <v>45862</v>
      </c>
      <c r="D68" s="61">
        <v>45869</v>
      </c>
      <c r="E68" s="67">
        <v>4</v>
      </c>
      <c r="F68" s="69">
        <f t="shared" ca="1" si="2"/>
        <v>-200</v>
      </c>
      <c r="G68" s="64">
        <f t="shared" ca="1" si="3"/>
        <v>-213</v>
      </c>
      <c r="H68" s="70">
        <f t="shared" ca="1" si="4"/>
        <v>-42.6</v>
      </c>
      <c r="I68" s="66">
        <f t="shared" si="5"/>
        <v>0.66666666666666663</v>
      </c>
      <c r="J68" s="59">
        <f t="shared" ref="J68:U68" ca="1" si="70">IF($A68="","",
IF($C68&gt;J$3+6,0,IF($D68&gt;=J$3,$I68*5,0)
-IF($D68&gt;=J$3,IF(K$3&gt;$D68,NETWORKDAYS($D68,K$3)-2,0)*$I68,0)
-IF(AND($C68&gt;=J$3,$C68&lt;K$3),($C68-J$3)*$I68,0))
-IF(AND(TODAY()&gt;=J$3,TODAY()&lt;K$3),IF(TODAY()&gt;$C68,NETWORKDAYS($C68,TODAY()-1)*$I68,0),0)
)</f>
        <v>-145.33333333333331</v>
      </c>
      <c r="K68" s="59">
        <f t="shared" ca="1" si="70"/>
        <v>0</v>
      </c>
      <c r="L68" s="59">
        <f t="shared" ca="1" si="70"/>
        <v>0</v>
      </c>
      <c r="M68" s="59">
        <f t="shared" ca="1" si="70"/>
        <v>0</v>
      </c>
      <c r="N68" s="59">
        <f t="shared" ca="1" si="70"/>
        <v>0</v>
      </c>
      <c r="O68" s="59">
        <f t="shared" ca="1" si="70"/>
        <v>0</v>
      </c>
      <c r="P68" s="59">
        <f t="shared" ca="1" si="70"/>
        <v>0</v>
      </c>
      <c r="Q68" s="59">
        <f t="shared" ca="1" si="70"/>
        <v>0</v>
      </c>
      <c r="R68" s="59">
        <f t="shared" ca="1" si="70"/>
        <v>0</v>
      </c>
      <c r="S68" s="59">
        <f t="shared" ca="1" si="70"/>
        <v>0</v>
      </c>
      <c r="T68" s="59">
        <f t="shared" ca="1" si="70"/>
        <v>0</v>
      </c>
      <c r="U68" s="59">
        <f t="shared" ca="1" si="70"/>
        <v>0</v>
      </c>
      <c r="W68" s="94">
        <f t="shared" ca="1" si="7"/>
        <v>-145.33333333333331</v>
      </c>
      <c r="X68" s="94" t="b">
        <f t="shared" ca="1" si="8"/>
        <v>0</v>
      </c>
    </row>
    <row r="69" spans="1:24" ht="15" thickBot="1" x14ac:dyDescent="0.35">
      <c r="A69" s="68" t="str">
        <v>Matías Herrera</v>
      </c>
      <c r="B69" s="21" t="str">
        <v>Gestión de remuneraciones y beneficios</v>
      </c>
      <c r="C69" s="61">
        <v>45841</v>
      </c>
      <c r="D69" s="61">
        <v>45856</v>
      </c>
      <c r="E69" s="67">
        <v>9</v>
      </c>
      <c r="F69" s="69">
        <f t="shared" ca="1" si="2"/>
        <v>-236.25</v>
      </c>
      <c r="G69" s="64">
        <f t="shared" ca="1" si="3"/>
        <v>-222</v>
      </c>
      <c r="H69" s="70">
        <f t="shared" ca="1" si="4"/>
        <v>-44.4</v>
      </c>
      <c r="I69" s="66">
        <f t="shared" si="5"/>
        <v>0.75</v>
      </c>
      <c r="J69" s="59">
        <f t="shared" ref="J69:U69" ca="1" si="71">IF($A69="","",
IF($C69&gt;J$3+6,0,IF($D69&gt;=J$3,$I69*5,0)
-IF($D69&gt;=J$3,IF(K$3&gt;$D69,NETWORKDAYS($D69,K$3)-2,0)*$I69,0)
-IF(AND($C69&gt;=J$3,$C69&lt;K$3),($C69-J$3)*$I69,0))
-IF(AND(TODAY()&gt;=J$3,TODAY()&lt;K$3),IF(TODAY()&gt;$C69,NETWORKDAYS($C69,TODAY()-1)*$I69,0),0)
)</f>
        <v>-174.75</v>
      </c>
      <c r="K69" s="59">
        <f t="shared" ca="1" si="71"/>
        <v>0</v>
      </c>
      <c r="L69" s="59">
        <f t="shared" ca="1" si="71"/>
        <v>0</v>
      </c>
      <c r="M69" s="59">
        <f t="shared" ca="1" si="71"/>
        <v>0</v>
      </c>
      <c r="N69" s="59">
        <f t="shared" ca="1" si="71"/>
        <v>0</v>
      </c>
      <c r="O69" s="59">
        <f t="shared" ca="1" si="71"/>
        <v>0</v>
      </c>
      <c r="P69" s="59">
        <f t="shared" ca="1" si="71"/>
        <v>0</v>
      </c>
      <c r="Q69" s="59">
        <f t="shared" ca="1" si="71"/>
        <v>0</v>
      </c>
      <c r="R69" s="59">
        <f t="shared" ca="1" si="71"/>
        <v>0</v>
      </c>
      <c r="S69" s="59">
        <f t="shared" ca="1" si="71"/>
        <v>0</v>
      </c>
      <c r="T69" s="59">
        <f t="shared" ca="1" si="71"/>
        <v>0</v>
      </c>
      <c r="U69" s="59">
        <f t="shared" ca="1" si="71"/>
        <v>0</v>
      </c>
      <c r="W69" s="94">
        <f t="shared" ca="1" si="7"/>
        <v>-174.75</v>
      </c>
      <c r="X69" s="94" t="b">
        <f t="shared" ca="1" si="8"/>
        <v>0</v>
      </c>
    </row>
    <row r="70" spans="1:24" ht="15" thickBot="1" x14ac:dyDescent="0.35">
      <c r="A70" s="68" t="str">
        <v>Matías Herrera</v>
      </c>
      <c r="B70" s="21" t="str">
        <v>Gestión de remuneraciones y beneficios</v>
      </c>
      <c r="C70" s="61">
        <v>45855</v>
      </c>
      <c r="D70" s="61">
        <v>45870</v>
      </c>
      <c r="E70" s="67">
        <v>9</v>
      </c>
      <c r="F70" s="69">
        <f t="shared" ref="F70:F133" ca="1" si="72">IF(E70="","",E70-IF(TODAY()&lt;C70,0,(TODAY()-C70)*I70))</f>
        <v>-225.75</v>
      </c>
      <c r="G70" s="64">
        <f t="shared" ref="G70:G133" ca="1" si="73">IF(E70="","",NETWORKDAYS(TODAY(),D70)+1)</f>
        <v>-212</v>
      </c>
      <c r="H70" s="70">
        <f t="shared" ref="H70:H133" ca="1" si="74">IF(E70="","",G70/5)</f>
        <v>-42.4</v>
      </c>
      <c r="I70" s="66">
        <f t="shared" ref="I70:I133" si="75">IF(E70="","",E70/((NETWORKDAYS(C70,D70))))</f>
        <v>0.75</v>
      </c>
      <c r="J70" s="59">
        <f t="shared" ref="J70:U70" ca="1" si="76">IF($A70="","",
IF($C70&gt;J$3+6,0,IF($D70&gt;=J$3,$I70*5,0)
-IF($D70&gt;=J$3,IF(K$3&gt;$D70,NETWORKDAYS($D70,K$3)-2,0)*$I70,0)
-IF(AND($C70&gt;=J$3,$C70&lt;K$3),($C70-J$3)*$I70,0))
-IF(AND(TODAY()&gt;=J$3,TODAY()&lt;K$3),IF(TODAY()&gt;$C70,NETWORKDAYS($C70,TODAY()-1)*$I70,0),0)
)</f>
        <v>-167.25</v>
      </c>
      <c r="K70" s="59">
        <f t="shared" ca="1" si="76"/>
        <v>0</v>
      </c>
      <c r="L70" s="59">
        <f t="shared" ca="1" si="76"/>
        <v>0</v>
      </c>
      <c r="M70" s="59">
        <f t="shared" ca="1" si="76"/>
        <v>0</v>
      </c>
      <c r="N70" s="59">
        <f t="shared" ca="1" si="76"/>
        <v>0</v>
      </c>
      <c r="O70" s="59">
        <f t="shared" ca="1" si="76"/>
        <v>0</v>
      </c>
      <c r="P70" s="59">
        <f t="shared" ca="1" si="76"/>
        <v>0</v>
      </c>
      <c r="Q70" s="59">
        <f t="shared" ca="1" si="76"/>
        <v>0</v>
      </c>
      <c r="R70" s="59">
        <f t="shared" ca="1" si="76"/>
        <v>0</v>
      </c>
      <c r="S70" s="59">
        <f t="shared" ca="1" si="76"/>
        <v>0</v>
      </c>
      <c r="T70" s="59">
        <f t="shared" ca="1" si="76"/>
        <v>0</v>
      </c>
      <c r="U70" s="59">
        <f t="shared" ca="1" si="76"/>
        <v>0</v>
      </c>
      <c r="W70" s="94">
        <f t="shared" ref="W70:W86" ca="1" si="77">SUM(J70:U70)</f>
        <v>-167.25</v>
      </c>
      <c r="X70" s="94" t="b">
        <f t="shared" ref="X70:X86" ca="1" si="78">W70=F70</f>
        <v>0</v>
      </c>
    </row>
    <row r="71" spans="1:24" ht="15" thickBot="1" x14ac:dyDescent="0.35">
      <c r="A71" s="68" t="str">
        <v>Matías Herrera</v>
      </c>
      <c r="B71" s="21" t="str">
        <v>Reclutamiento y selección</v>
      </c>
      <c r="C71" s="61">
        <v>45848</v>
      </c>
      <c r="D71" s="61">
        <v>45855</v>
      </c>
      <c r="E71" s="67">
        <v>6</v>
      </c>
      <c r="F71" s="69">
        <f t="shared" ca="1" si="72"/>
        <v>-314</v>
      </c>
      <c r="G71" s="64">
        <f t="shared" ca="1" si="73"/>
        <v>-223</v>
      </c>
      <c r="H71" s="70">
        <f t="shared" ca="1" si="74"/>
        <v>-44.6</v>
      </c>
      <c r="I71" s="66">
        <f t="shared" si="75"/>
        <v>1</v>
      </c>
      <c r="J71" s="59">
        <f t="shared" ref="J71:U71" ca="1" si="79">IF($A71="","",
IF($C71&gt;J$3+6,0,IF($D71&gt;=J$3,$I71*5,0)
-IF($D71&gt;=J$3,IF(K$3&gt;$D71,NETWORKDAYS($D71,K$3)-2,0)*$I71,0)
-IF(AND($C71&gt;=J$3,$C71&lt;K$3),($C71-J$3)*$I71,0))
-IF(AND(TODAY()&gt;=J$3,TODAY()&lt;K$3),IF(TODAY()&gt;$C71,NETWORKDAYS($C71,TODAY()-1)*$I71,0),0)
)</f>
        <v>-228</v>
      </c>
      <c r="K71" s="59">
        <f t="shared" ca="1" si="79"/>
        <v>0</v>
      </c>
      <c r="L71" s="59">
        <f t="shared" ca="1" si="79"/>
        <v>0</v>
      </c>
      <c r="M71" s="59">
        <f t="shared" ca="1" si="79"/>
        <v>0</v>
      </c>
      <c r="N71" s="59">
        <f t="shared" ca="1" si="79"/>
        <v>0</v>
      </c>
      <c r="O71" s="59">
        <f t="shared" ca="1" si="79"/>
        <v>0</v>
      </c>
      <c r="P71" s="59">
        <f t="shared" ca="1" si="79"/>
        <v>0</v>
      </c>
      <c r="Q71" s="59">
        <f t="shared" ca="1" si="79"/>
        <v>0</v>
      </c>
      <c r="R71" s="59">
        <f t="shared" ca="1" si="79"/>
        <v>0</v>
      </c>
      <c r="S71" s="59">
        <f t="shared" ca="1" si="79"/>
        <v>0</v>
      </c>
      <c r="T71" s="59">
        <f t="shared" ca="1" si="79"/>
        <v>0</v>
      </c>
      <c r="U71" s="59">
        <f t="shared" ca="1" si="79"/>
        <v>0</v>
      </c>
      <c r="W71" s="94">
        <f t="shared" ca="1" si="77"/>
        <v>-228</v>
      </c>
      <c r="X71" s="94" t="b">
        <f t="shared" ca="1" si="78"/>
        <v>0</v>
      </c>
    </row>
    <row r="72" spans="1:24" ht="15" thickBot="1" x14ac:dyDescent="0.35">
      <c r="A72" s="68" t="str">
        <v>Matías Herrera</v>
      </c>
      <c r="B72" s="21" t="str">
        <v>Administración de personal</v>
      </c>
      <c r="C72" s="61">
        <v>45862</v>
      </c>
      <c r="D72" s="61">
        <v>45869</v>
      </c>
      <c r="E72" s="67">
        <v>3</v>
      </c>
      <c r="F72" s="69">
        <f t="shared" ca="1" si="72"/>
        <v>-150</v>
      </c>
      <c r="G72" s="64">
        <f t="shared" ca="1" si="73"/>
        <v>-213</v>
      </c>
      <c r="H72" s="70">
        <f t="shared" ca="1" si="74"/>
        <v>-42.6</v>
      </c>
      <c r="I72" s="66">
        <f t="shared" si="75"/>
        <v>0.5</v>
      </c>
      <c r="J72" s="59">
        <f t="shared" ref="J72:U72" ca="1" si="80">IF($A72="","",
IF($C72&gt;J$3+6,0,IF($D72&gt;=J$3,$I72*5,0)
-IF($D72&gt;=J$3,IF(K$3&gt;$D72,NETWORKDAYS($D72,K$3)-2,0)*$I72,0)
-IF(AND($C72&gt;=J$3,$C72&lt;K$3),($C72-J$3)*$I72,0))
-IF(AND(TODAY()&gt;=J$3,TODAY()&lt;K$3),IF(TODAY()&gt;$C72,NETWORKDAYS($C72,TODAY()-1)*$I72,0),0)
)</f>
        <v>-109</v>
      </c>
      <c r="K72" s="59">
        <f t="shared" ca="1" si="80"/>
        <v>0</v>
      </c>
      <c r="L72" s="59">
        <f t="shared" ca="1" si="80"/>
        <v>0</v>
      </c>
      <c r="M72" s="59">
        <f t="shared" ca="1" si="80"/>
        <v>0</v>
      </c>
      <c r="N72" s="59">
        <f t="shared" ca="1" si="80"/>
        <v>0</v>
      </c>
      <c r="O72" s="59">
        <f t="shared" ca="1" si="80"/>
        <v>0</v>
      </c>
      <c r="P72" s="59">
        <f t="shared" ca="1" si="80"/>
        <v>0</v>
      </c>
      <c r="Q72" s="59">
        <f t="shared" ca="1" si="80"/>
        <v>0</v>
      </c>
      <c r="R72" s="59">
        <f t="shared" ca="1" si="80"/>
        <v>0</v>
      </c>
      <c r="S72" s="59">
        <f t="shared" ca="1" si="80"/>
        <v>0</v>
      </c>
      <c r="T72" s="59">
        <f t="shared" ca="1" si="80"/>
        <v>0</v>
      </c>
      <c r="U72" s="59">
        <f t="shared" ca="1" si="80"/>
        <v>0</v>
      </c>
      <c r="W72" s="94">
        <f t="shared" ca="1" si="77"/>
        <v>-109</v>
      </c>
      <c r="X72" s="94" t="b">
        <f t="shared" ca="1" si="78"/>
        <v>0</v>
      </c>
    </row>
    <row r="73" spans="1:24" ht="15" thickBot="1" x14ac:dyDescent="0.35">
      <c r="A73" s="68" t="str">
        <v>Matías Herrera</v>
      </c>
      <c r="B73" s="21" t="str">
        <v>Cumplimiento legal y normativo</v>
      </c>
      <c r="C73" s="61">
        <v>45848</v>
      </c>
      <c r="D73" s="61">
        <v>45855</v>
      </c>
      <c r="E73" s="67">
        <v>3</v>
      </c>
      <c r="F73" s="69">
        <f t="shared" ca="1" si="72"/>
        <v>-157</v>
      </c>
      <c r="G73" s="64">
        <f t="shared" ca="1" si="73"/>
        <v>-223</v>
      </c>
      <c r="H73" s="70">
        <f t="shared" ca="1" si="74"/>
        <v>-44.6</v>
      </c>
      <c r="I73" s="66">
        <f t="shared" si="75"/>
        <v>0.5</v>
      </c>
      <c r="J73" s="59">
        <f t="shared" ref="J73:U73" ca="1" si="81">IF($A73="","",
IF($C73&gt;J$3+6,0,IF($D73&gt;=J$3,$I73*5,0)
-IF($D73&gt;=J$3,IF(K$3&gt;$D73,NETWORKDAYS($D73,K$3)-2,0)*$I73,0)
-IF(AND($C73&gt;=J$3,$C73&lt;K$3),($C73-J$3)*$I73,0))
-IF(AND(TODAY()&gt;=J$3,TODAY()&lt;K$3),IF(TODAY()&gt;$C73,NETWORKDAYS($C73,TODAY()-1)*$I73,0),0)
)</f>
        <v>-114</v>
      </c>
      <c r="K73" s="59">
        <f t="shared" ca="1" si="81"/>
        <v>0</v>
      </c>
      <c r="L73" s="59">
        <f t="shared" ca="1" si="81"/>
        <v>0</v>
      </c>
      <c r="M73" s="59">
        <f t="shared" ca="1" si="81"/>
        <v>0</v>
      </c>
      <c r="N73" s="59">
        <f t="shared" ca="1" si="81"/>
        <v>0</v>
      </c>
      <c r="O73" s="59">
        <f t="shared" ca="1" si="81"/>
        <v>0</v>
      </c>
      <c r="P73" s="59">
        <f t="shared" ca="1" si="81"/>
        <v>0</v>
      </c>
      <c r="Q73" s="59">
        <f t="shared" ca="1" si="81"/>
        <v>0</v>
      </c>
      <c r="R73" s="59">
        <f t="shared" ca="1" si="81"/>
        <v>0</v>
      </c>
      <c r="S73" s="59">
        <f t="shared" ca="1" si="81"/>
        <v>0</v>
      </c>
      <c r="T73" s="59">
        <f t="shared" ca="1" si="81"/>
        <v>0</v>
      </c>
      <c r="U73" s="59">
        <f t="shared" ca="1" si="81"/>
        <v>0</v>
      </c>
      <c r="W73" s="94">
        <f t="shared" ca="1" si="77"/>
        <v>-114</v>
      </c>
      <c r="X73" s="94" t="b">
        <f t="shared" ca="1" si="78"/>
        <v>0</v>
      </c>
    </row>
    <row r="74" spans="1:24" ht="15" thickBot="1" x14ac:dyDescent="0.35">
      <c r="A74" s="68" t="str">
        <v>Matías Herrera</v>
      </c>
      <c r="B74" s="21" t="str">
        <v>Reclutamiento y selección</v>
      </c>
      <c r="C74" s="61">
        <v>45862</v>
      </c>
      <c r="D74" s="61">
        <v>45869</v>
      </c>
      <c r="E74" s="67">
        <v>6</v>
      </c>
      <c r="F74" s="69">
        <f t="shared" ca="1" si="72"/>
        <v>-300</v>
      </c>
      <c r="G74" s="64">
        <f t="shared" ca="1" si="73"/>
        <v>-213</v>
      </c>
      <c r="H74" s="70">
        <f t="shared" ca="1" si="74"/>
        <v>-42.6</v>
      </c>
      <c r="I74" s="66">
        <f t="shared" si="75"/>
        <v>1</v>
      </c>
      <c r="J74" s="59">
        <f t="shared" ref="J74:U74" ca="1" si="82">IF($A74="","",
IF($C74&gt;J$3+6,0,IF($D74&gt;=J$3,$I74*5,0)
-IF($D74&gt;=J$3,IF(K$3&gt;$D74,NETWORKDAYS($D74,K$3)-2,0)*$I74,0)
-IF(AND($C74&gt;=J$3,$C74&lt;K$3),($C74-J$3)*$I74,0))
-IF(AND(TODAY()&gt;=J$3,TODAY()&lt;K$3),IF(TODAY()&gt;$C74,NETWORKDAYS($C74,TODAY()-1)*$I74,0),0)
)</f>
        <v>-218</v>
      </c>
      <c r="K74" s="59">
        <f t="shared" ca="1" si="82"/>
        <v>0</v>
      </c>
      <c r="L74" s="59">
        <f t="shared" ca="1" si="82"/>
        <v>0</v>
      </c>
      <c r="M74" s="59">
        <f t="shared" ca="1" si="82"/>
        <v>0</v>
      </c>
      <c r="N74" s="59">
        <f t="shared" ca="1" si="82"/>
        <v>0</v>
      </c>
      <c r="O74" s="59">
        <f t="shared" ca="1" si="82"/>
        <v>0</v>
      </c>
      <c r="P74" s="59">
        <f t="shared" ca="1" si="82"/>
        <v>0</v>
      </c>
      <c r="Q74" s="59">
        <f t="shared" ca="1" si="82"/>
        <v>0</v>
      </c>
      <c r="R74" s="59">
        <f t="shared" ca="1" si="82"/>
        <v>0</v>
      </c>
      <c r="S74" s="59">
        <f t="shared" ca="1" si="82"/>
        <v>0</v>
      </c>
      <c r="T74" s="59">
        <f t="shared" ca="1" si="82"/>
        <v>0</v>
      </c>
      <c r="U74" s="59">
        <f t="shared" ca="1" si="82"/>
        <v>0</v>
      </c>
      <c r="W74" s="94">
        <f t="shared" ca="1" si="77"/>
        <v>-218</v>
      </c>
      <c r="X74" s="94" t="b">
        <f t="shared" ca="1" si="78"/>
        <v>0</v>
      </c>
    </row>
    <row r="75" spans="1:24" ht="15" thickBot="1" x14ac:dyDescent="0.35">
      <c r="A75" s="68" t="str">
        <v>Vicente Castro</v>
      </c>
      <c r="B75" s="21" t="str">
        <v>Inducción y bienvenida</v>
      </c>
      <c r="C75" s="61">
        <v>45841</v>
      </c>
      <c r="D75" s="61">
        <v>45848</v>
      </c>
      <c r="E75" s="67">
        <v>2.5</v>
      </c>
      <c r="F75" s="69">
        <f t="shared" ca="1" si="72"/>
        <v>-133.75</v>
      </c>
      <c r="G75" s="64">
        <f t="shared" ca="1" si="73"/>
        <v>-228</v>
      </c>
      <c r="H75" s="70">
        <f t="shared" ca="1" si="74"/>
        <v>-45.6</v>
      </c>
      <c r="I75" s="66">
        <f t="shared" si="75"/>
        <v>0.41666666666666669</v>
      </c>
      <c r="J75" s="59">
        <f t="shared" ref="J75:U75" ca="1" si="83">IF($A75="","",
IF($C75&gt;J$3+6,0,IF($D75&gt;=J$3,$I75*5,0)
-IF($D75&gt;=J$3,IF(K$3&gt;$D75,NETWORKDAYS($D75,K$3)-2,0)*$I75,0)
-IF(AND($C75&gt;=J$3,$C75&lt;K$3),($C75-J$3)*$I75,0))
-IF(AND(TODAY()&gt;=J$3,TODAY()&lt;K$3),IF(TODAY()&gt;$C75,NETWORKDAYS($C75,TODAY()-1)*$I75,0),0)
)</f>
        <v>-97.083333333333343</v>
      </c>
      <c r="K75" s="59">
        <f t="shared" ca="1" si="83"/>
        <v>0</v>
      </c>
      <c r="L75" s="59">
        <f t="shared" ca="1" si="83"/>
        <v>0</v>
      </c>
      <c r="M75" s="59">
        <f t="shared" ca="1" si="83"/>
        <v>0</v>
      </c>
      <c r="N75" s="59">
        <f t="shared" ca="1" si="83"/>
        <v>0</v>
      </c>
      <c r="O75" s="59">
        <f t="shared" ca="1" si="83"/>
        <v>0</v>
      </c>
      <c r="P75" s="59">
        <f t="shared" ca="1" si="83"/>
        <v>0</v>
      </c>
      <c r="Q75" s="59">
        <f t="shared" ca="1" si="83"/>
        <v>0</v>
      </c>
      <c r="R75" s="59">
        <f t="shared" ca="1" si="83"/>
        <v>0</v>
      </c>
      <c r="S75" s="59">
        <f t="shared" ca="1" si="83"/>
        <v>0</v>
      </c>
      <c r="T75" s="59">
        <f t="shared" ca="1" si="83"/>
        <v>0</v>
      </c>
      <c r="U75" s="59">
        <f t="shared" ca="1" si="83"/>
        <v>0</v>
      </c>
      <c r="W75" s="94">
        <f t="shared" ca="1" si="77"/>
        <v>-97.083333333333343</v>
      </c>
      <c r="X75" s="94" t="b">
        <f t="shared" ca="1" si="78"/>
        <v>0</v>
      </c>
    </row>
    <row r="76" spans="1:24" ht="15" thickBot="1" x14ac:dyDescent="0.35">
      <c r="A76" s="68" t="str">
        <v>Vicente Castro</v>
      </c>
      <c r="B76" s="21" t="str">
        <v>Gestión de salud y seguridad ocupacional</v>
      </c>
      <c r="C76" s="61">
        <v>45841</v>
      </c>
      <c r="D76" s="61">
        <v>45852</v>
      </c>
      <c r="E76" s="67">
        <v>2.5</v>
      </c>
      <c r="F76" s="69">
        <f t="shared" ca="1" si="72"/>
        <v>-99.6875</v>
      </c>
      <c r="G76" s="64">
        <f t="shared" ca="1" si="73"/>
        <v>-226</v>
      </c>
      <c r="H76" s="70">
        <f t="shared" ca="1" si="74"/>
        <v>-45.2</v>
      </c>
      <c r="I76" s="66">
        <f t="shared" si="75"/>
        <v>0.3125</v>
      </c>
      <c r="J76" s="59">
        <f t="shared" ref="J76:U76" ca="1" si="84">IF($A76="","",
IF($C76&gt;J$3+6,0,IF($D76&gt;=J$3,$I76*5,0)
-IF($D76&gt;=J$3,IF(K$3&gt;$D76,NETWORKDAYS($D76,K$3)-2,0)*$I76,0)
-IF(AND($C76&gt;=J$3,$C76&lt;K$3),($C76-J$3)*$I76,0))
-IF(AND(TODAY()&gt;=J$3,TODAY()&lt;K$3),IF(TODAY()&gt;$C76,NETWORKDAYS($C76,TODAY()-1)*$I76,0),0)
)</f>
        <v>-72.8125</v>
      </c>
      <c r="K76" s="59">
        <f t="shared" ca="1" si="84"/>
        <v>0</v>
      </c>
      <c r="L76" s="59">
        <f t="shared" ca="1" si="84"/>
        <v>0</v>
      </c>
      <c r="M76" s="59">
        <f t="shared" ca="1" si="84"/>
        <v>0</v>
      </c>
      <c r="N76" s="59">
        <f t="shared" ca="1" si="84"/>
        <v>0</v>
      </c>
      <c r="O76" s="59">
        <f t="shared" ca="1" si="84"/>
        <v>0</v>
      </c>
      <c r="P76" s="59">
        <f t="shared" ca="1" si="84"/>
        <v>0</v>
      </c>
      <c r="Q76" s="59">
        <f t="shared" ca="1" si="84"/>
        <v>0</v>
      </c>
      <c r="R76" s="59">
        <f t="shared" ca="1" si="84"/>
        <v>0</v>
      </c>
      <c r="S76" s="59">
        <f t="shared" ca="1" si="84"/>
        <v>0</v>
      </c>
      <c r="T76" s="59">
        <f t="shared" ca="1" si="84"/>
        <v>0</v>
      </c>
      <c r="U76" s="59">
        <f t="shared" ca="1" si="84"/>
        <v>0</v>
      </c>
      <c r="W76" s="94">
        <f t="shared" ca="1" si="77"/>
        <v>-72.8125</v>
      </c>
      <c r="X76" s="94" t="b">
        <f t="shared" ca="1" si="78"/>
        <v>0</v>
      </c>
    </row>
    <row r="77" spans="1:24" ht="15" thickBot="1" x14ac:dyDescent="0.35">
      <c r="A77" s="68" t="str">
        <v>Vicente Castro</v>
      </c>
      <c r="B77" s="21" t="str">
        <v>Capacitación y desarrollo</v>
      </c>
      <c r="C77" s="61">
        <v>45841</v>
      </c>
      <c r="D77" s="61">
        <v>45849</v>
      </c>
      <c r="E77" s="67">
        <v>3</v>
      </c>
      <c r="F77" s="69">
        <f t="shared" ca="1" si="72"/>
        <v>-137.14285714285714</v>
      </c>
      <c r="G77" s="64">
        <f t="shared" ca="1" si="73"/>
        <v>-227</v>
      </c>
      <c r="H77" s="70">
        <f t="shared" ca="1" si="74"/>
        <v>-45.4</v>
      </c>
      <c r="I77" s="66">
        <f t="shared" si="75"/>
        <v>0.42857142857142855</v>
      </c>
      <c r="J77" s="59">
        <f t="shared" ref="J77:U77" ca="1" si="85">IF($A77="","",
IF($C77&gt;J$3+6,0,IF($D77&gt;=J$3,$I77*5,0)
-IF($D77&gt;=J$3,IF(K$3&gt;$D77,NETWORKDAYS($D77,K$3)-2,0)*$I77,0)
-IF(AND($C77&gt;=J$3,$C77&lt;K$3),($C77-J$3)*$I77,0))
-IF(AND(TODAY()&gt;=J$3,TODAY()&lt;K$3),IF(TODAY()&gt;$C77,NETWORKDAYS($C77,TODAY()-1)*$I77,0),0)
)</f>
        <v>-99.857142857142847</v>
      </c>
      <c r="K77" s="59">
        <f t="shared" ca="1" si="85"/>
        <v>0</v>
      </c>
      <c r="L77" s="59">
        <f t="shared" ca="1" si="85"/>
        <v>0</v>
      </c>
      <c r="M77" s="59">
        <f t="shared" ca="1" si="85"/>
        <v>0</v>
      </c>
      <c r="N77" s="59">
        <f t="shared" ca="1" si="85"/>
        <v>0</v>
      </c>
      <c r="O77" s="59">
        <f t="shared" ca="1" si="85"/>
        <v>0</v>
      </c>
      <c r="P77" s="59">
        <f t="shared" ca="1" si="85"/>
        <v>0</v>
      </c>
      <c r="Q77" s="59">
        <f t="shared" ca="1" si="85"/>
        <v>0</v>
      </c>
      <c r="R77" s="59">
        <f t="shared" ca="1" si="85"/>
        <v>0</v>
      </c>
      <c r="S77" s="59">
        <f t="shared" ca="1" si="85"/>
        <v>0</v>
      </c>
      <c r="T77" s="59">
        <f t="shared" ca="1" si="85"/>
        <v>0</v>
      </c>
      <c r="U77" s="59">
        <f t="shared" ca="1" si="85"/>
        <v>0</v>
      </c>
      <c r="W77" s="94">
        <f t="shared" ca="1" si="77"/>
        <v>-99.857142857142847</v>
      </c>
      <c r="X77" s="94" t="b">
        <f t="shared" ca="1" si="78"/>
        <v>0</v>
      </c>
    </row>
    <row r="78" spans="1:24" ht="15" thickBot="1" x14ac:dyDescent="0.35">
      <c r="A78" s="68" t="str">
        <v>Vicente Castro</v>
      </c>
      <c r="B78" s="21" t="str">
        <v>Inducción y bienvenida</v>
      </c>
      <c r="C78" s="61">
        <v>45855</v>
      </c>
      <c r="D78" s="61">
        <v>45862</v>
      </c>
      <c r="E78" s="67">
        <v>2.5</v>
      </c>
      <c r="F78" s="69">
        <f t="shared" ca="1" si="72"/>
        <v>-127.91666666666669</v>
      </c>
      <c r="G78" s="64">
        <f t="shared" ca="1" si="73"/>
        <v>-218</v>
      </c>
      <c r="H78" s="70">
        <f t="shared" ca="1" si="74"/>
        <v>-43.6</v>
      </c>
      <c r="I78" s="66">
        <f t="shared" si="75"/>
        <v>0.41666666666666669</v>
      </c>
      <c r="J78" s="59">
        <f t="shared" ref="J78:U78" ca="1" si="86">IF($A78="","",
IF($C78&gt;J$3+6,0,IF($D78&gt;=J$3,$I78*5,0)
-IF($D78&gt;=J$3,IF(K$3&gt;$D78,NETWORKDAYS($D78,K$3)-2,0)*$I78,0)
-IF(AND($C78&gt;=J$3,$C78&lt;K$3),($C78-J$3)*$I78,0))
-IF(AND(TODAY()&gt;=J$3,TODAY()&lt;K$3),IF(TODAY()&gt;$C78,NETWORKDAYS($C78,TODAY()-1)*$I78,0),0)
)</f>
        <v>-92.916666666666671</v>
      </c>
      <c r="K78" s="59">
        <f t="shared" ca="1" si="86"/>
        <v>0</v>
      </c>
      <c r="L78" s="59">
        <f t="shared" ca="1" si="86"/>
        <v>0</v>
      </c>
      <c r="M78" s="59">
        <f t="shared" ca="1" si="86"/>
        <v>0</v>
      </c>
      <c r="N78" s="59">
        <f t="shared" ca="1" si="86"/>
        <v>0</v>
      </c>
      <c r="O78" s="59">
        <f t="shared" ca="1" si="86"/>
        <v>0</v>
      </c>
      <c r="P78" s="59">
        <f t="shared" ca="1" si="86"/>
        <v>0</v>
      </c>
      <c r="Q78" s="59">
        <f t="shared" ca="1" si="86"/>
        <v>0</v>
      </c>
      <c r="R78" s="59">
        <f t="shared" ca="1" si="86"/>
        <v>0</v>
      </c>
      <c r="S78" s="59">
        <f t="shared" ca="1" si="86"/>
        <v>0</v>
      </c>
      <c r="T78" s="59">
        <f t="shared" ca="1" si="86"/>
        <v>0</v>
      </c>
      <c r="U78" s="59">
        <f t="shared" ca="1" si="86"/>
        <v>0</v>
      </c>
      <c r="W78" s="94">
        <f t="shared" ca="1" si="77"/>
        <v>-92.916666666666671</v>
      </c>
      <c r="X78" s="94" t="b">
        <f t="shared" ca="1" si="78"/>
        <v>0</v>
      </c>
    </row>
    <row r="79" spans="1:24" ht="15" thickBot="1" x14ac:dyDescent="0.35">
      <c r="A79" s="68" t="str">
        <v>Vicente Castro</v>
      </c>
      <c r="B79" s="21" t="str">
        <v>Gestión de salud y seguridad ocupacional</v>
      </c>
      <c r="C79" s="61">
        <v>45855</v>
      </c>
      <c r="D79" s="61">
        <v>45866</v>
      </c>
      <c r="E79" s="67">
        <v>2.5</v>
      </c>
      <c r="F79" s="69">
        <f t="shared" ca="1" si="72"/>
        <v>-95.3125</v>
      </c>
      <c r="G79" s="64">
        <f t="shared" ca="1" si="73"/>
        <v>-216</v>
      </c>
      <c r="H79" s="70">
        <f t="shared" ca="1" si="74"/>
        <v>-43.2</v>
      </c>
      <c r="I79" s="66">
        <f t="shared" si="75"/>
        <v>0.3125</v>
      </c>
      <c r="J79" s="59">
        <f t="shared" ref="J79:U79" ca="1" si="87">IF($A79="","",
IF($C79&gt;J$3+6,0,IF($D79&gt;=J$3,$I79*5,0)
-IF($D79&gt;=J$3,IF(K$3&gt;$D79,NETWORKDAYS($D79,K$3)-2,0)*$I79,0)
-IF(AND($C79&gt;=J$3,$C79&lt;K$3),($C79-J$3)*$I79,0))
-IF(AND(TODAY()&gt;=J$3,TODAY()&lt;K$3),IF(TODAY()&gt;$C79,NETWORKDAYS($C79,TODAY()-1)*$I79,0),0)
)</f>
        <v>-69.6875</v>
      </c>
      <c r="K79" s="59">
        <f t="shared" ca="1" si="87"/>
        <v>0</v>
      </c>
      <c r="L79" s="59">
        <f t="shared" ca="1" si="87"/>
        <v>0</v>
      </c>
      <c r="M79" s="59">
        <f t="shared" ca="1" si="87"/>
        <v>0</v>
      </c>
      <c r="N79" s="59">
        <f t="shared" ca="1" si="87"/>
        <v>0</v>
      </c>
      <c r="O79" s="59">
        <f t="shared" ca="1" si="87"/>
        <v>0</v>
      </c>
      <c r="P79" s="59">
        <f t="shared" ca="1" si="87"/>
        <v>0</v>
      </c>
      <c r="Q79" s="59">
        <f t="shared" ca="1" si="87"/>
        <v>0</v>
      </c>
      <c r="R79" s="59">
        <f t="shared" ca="1" si="87"/>
        <v>0</v>
      </c>
      <c r="S79" s="59">
        <f t="shared" ca="1" si="87"/>
        <v>0</v>
      </c>
      <c r="T79" s="59">
        <f t="shared" ca="1" si="87"/>
        <v>0</v>
      </c>
      <c r="U79" s="59">
        <f t="shared" ca="1" si="87"/>
        <v>0</v>
      </c>
      <c r="W79" s="94">
        <f t="shared" ca="1" si="77"/>
        <v>-69.6875</v>
      </c>
      <c r="X79" s="94" t="b">
        <f t="shared" ca="1" si="78"/>
        <v>0</v>
      </c>
    </row>
    <row r="80" spans="1:24" ht="15" thickBot="1" x14ac:dyDescent="0.35">
      <c r="A80" s="68" t="str">
        <v>Vicente Castro</v>
      </c>
      <c r="B80" s="21" t="str">
        <v>Administración de personal</v>
      </c>
      <c r="C80" s="61">
        <v>45848</v>
      </c>
      <c r="D80" s="61">
        <v>45855</v>
      </c>
      <c r="E80" s="67">
        <v>3</v>
      </c>
      <c r="F80" s="69">
        <f t="shared" ca="1" si="72"/>
        <v>-157</v>
      </c>
      <c r="G80" s="64">
        <f t="shared" ca="1" si="73"/>
        <v>-223</v>
      </c>
      <c r="H80" s="70">
        <f t="shared" ca="1" si="74"/>
        <v>-44.6</v>
      </c>
      <c r="I80" s="66">
        <f t="shared" si="75"/>
        <v>0.5</v>
      </c>
      <c r="J80" s="59">
        <f t="shared" ref="J80:U80" ca="1" si="88">IF($A80="","",
IF($C80&gt;J$3+6,0,IF($D80&gt;=J$3,$I80*5,0)
-IF($D80&gt;=J$3,IF(K$3&gt;$D80,NETWORKDAYS($D80,K$3)-2,0)*$I80,0)
-IF(AND($C80&gt;=J$3,$C80&lt;K$3),($C80-J$3)*$I80,0))
-IF(AND(TODAY()&gt;=J$3,TODAY()&lt;K$3),IF(TODAY()&gt;$C80,NETWORKDAYS($C80,TODAY()-1)*$I80,0),0)
)</f>
        <v>-114</v>
      </c>
      <c r="K80" s="59">
        <f t="shared" ca="1" si="88"/>
        <v>0</v>
      </c>
      <c r="L80" s="59">
        <f t="shared" ca="1" si="88"/>
        <v>0</v>
      </c>
      <c r="M80" s="59">
        <f t="shared" ca="1" si="88"/>
        <v>0</v>
      </c>
      <c r="N80" s="59">
        <f t="shared" ca="1" si="88"/>
        <v>0</v>
      </c>
      <c r="O80" s="59">
        <f t="shared" ca="1" si="88"/>
        <v>0</v>
      </c>
      <c r="P80" s="59">
        <f t="shared" ca="1" si="88"/>
        <v>0</v>
      </c>
      <c r="Q80" s="59">
        <f t="shared" ca="1" si="88"/>
        <v>0</v>
      </c>
      <c r="R80" s="59">
        <f t="shared" ca="1" si="88"/>
        <v>0</v>
      </c>
      <c r="S80" s="59">
        <f t="shared" ca="1" si="88"/>
        <v>0</v>
      </c>
      <c r="T80" s="59">
        <f t="shared" ca="1" si="88"/>
        <v>0</v>
      </c>
      <c r="U80" s="59">
        <f t="shared" ca="1" si="88"/>
        <v>0</v>
      </c>
      <c r="W80" s="94">
        <f t="shared" ca="1" si="77"/>
        <v>-114</v>
      </c>
      <c r="X80" s="94" t="b">
        <f t="shared" ca="1" si="78"/>
        <v>0</v>
      </c>
    </row>
    <row r="81" spans="1:24" ht="15" thickBot="1" x14ac:dyDescent="0.35">
      <c r="A81" s="68" t="str">
        <v>Vicente Castro</v>
      </c>
      <c r="B81" s="21" t="str">
        <v>Inducción y bienvenida</v>
      </c>
      <c r="C81" s="61">
        <v>45848</v>
      </c>
      <c r="D81" s="61">
        <v>45855</v>
      </c>
      <c r="E81" s="67">
        <v>2.5</v>
      </c>
      <c r="F81" s="69">
        <f t="shared" ca="1" si="72"/>
        <v>-130.83333333333334</v>
      </c>
      <c r="G81" s="64">
        <f t="shared" ca="1" si="73"/>
        <v>-223</v>
      </c>
      <c r="H81" s="70">
        <f t="shared" ca="1" si="74"/>
        <v>-44.6</v>
      </c>
      <c r="I81" s="66">
        <f t="shared" si="75"/>
        <v>0.41666666666666669</v>
      </c>
      <c r="J81" s="59">
        <f t="shared" ref="J81:U81" ca="1" si="89">IF($A81="","",
IF($C81&gt;J$3+6,0,IF($D81&gt;=J$3,$I81*5,0)
-IF($D81&gt;=J$3,IF(K$3&gt;$D81,NETWORKDAYS($D81,K$3)-2,0)*$I81,0)
-IF(AND($C81&gt;=J$3,$C81&lt;K$3),($C81-J$3)*$I81,0))
-IF(AND(TODAY()&gt;=J$3,TODAY()&lt;K$3),IF(TODAY()&gt;$C81,NETWORKDAYS($C81,TODAY()-1)*$I81,0),0)
)</f>
        <v>-95</v>
      </c>
      <c r="K81" s="59">
        <f t="shared" ca="1" si="89"/>
        <v>0</v>
      </c>
      <c r="L81" s="59">
        <f t="shared" ca="1" si="89"/>
        <v>0</v>
      </c>
      <c r="M81" s="59">
        <f t="shared" ca="1" si="89"/>
        <v>0</v>
      </c>
      <c r="N81" s="59">
        <f t="shared" ca="1" si="89"/>
        <v>0</v>
      </c>
      <c r="O81" s="59">
        <f t="shared" ca="1" si="89"/>
        <v>0</v>
      </c>
      <c r="P81" s="59">
        <f t="shared" ca="1" si="89"/>
        <v>0</v>
      </c>
      <c r="Q81" s="59">
        <f t="shared" ca="1" si="89"/>
        <v>0</v>
      </c>
      <c r="R81" s="59">
        <f t="shared" ca="1" si="89"/>
        <v>0</v>
      </c>
      <c r="S81" s="59">
        <f t="shared" ca="1" si="89"/>
        <v>0</v>
      </c>
      <c r="T81" s="59">
        <f t="shared" ca="1" si="89"/>
        <v>0</v>
      </c>
      <c r="U81" s="59">
        <f t="shared" ca="1" si="89"/>
        <v>0</v>
      </c>
      <c r="W81" s="94">
        <f t="shared" ca="1" si="77"/>
        <v>-95</v>
      </c>
      <c r="X81" s="94" t="b">
        <f t="shared" ca="1" si="78"/>
        <v>0</v>
      </c>
    </row>
    <row r="82" spans="1:24" ht="15" thickBot="1" x14ac:dyDescent="0.35">
      <c r="A82" s="68" t="str">
        <v>Vicente Castro</v>
      </c>
      <c r="B82" s="21" t="str">
        <v>Gestión de remuneraciones y beneficios</v>
      </c>
      <c r="C82" s="61">
        <v>45848</v>
      </c>
      <c r="D82" s="61">
        <v>45855</v>
      </c>
      <c r="E82" s="67">
        <v>9</v>
      </c>
      <c r="F82" s="69">
        <f t="shared" ca="1" si="72"/>
        <v>-471</v>
      </c>
      <c r="G82" s="64">
        <f t="shared" ca="1" si="73"/>
        <v>-223</v>
      </c>
      <c r="H82" s="70">
        <f t="shared" ca="1" si="74"/>
        <v>-44.6</v>
      </c>
      <c r="I82" s="66">
        <f t="shared" si="75"/>
        <v>1.5</v>
      </c>
      <c r="J82" s="59">
        <f t="shared" ref="J82:U82" ca="1" si="90">IF($A82="","",
IF($C82&gt;J$3+6,0,IF($D82&gt;=J$3,$I82*5,0)
-IF($D82&gt;=J$3,IF(K$3&gt;$D82,NETWORKDAYS($D82,K$3)-2,0)*$I82,0)
-IF(AND($C82&gt;=J$3,$C82&lt;K$3),($C82-J$3)*$I82,0))
-IF(AND(TODAY()&gt;=J$3,TODAY()&lt;K$3),IF(TODAY()&gt;$C82,NETWORKDAYS($C82,TODAY()-1)*$I82,0),0)
)</f>
        <v>-342</v>
      </c>
      <c r="K82" s="59">
        <f t="shared" ca="1" si="90"/>
        <v>0</v>
      </c>
      <c r="L82" s="59">
        <f t="shared" ca="1" si="90"/>
        <v>0</v>
      </c>
      <c r="M82" s="59">
        <f t="shared" ca="1" si="90"/>
        <v>0</v>
      </c>
      <c r="N82" s="59">
        <f t="shared" ca="1" si="90"/>
        <v>0</v>
      </c>
      <c r="O82" s="59">
        <f t="shared" ca="1" si="90"/>
        <v>0</v>
      </c>
      <c r="P82" s="59">
        <f t="shared" ca="1" si="90"/>
        <v>0</v>
      </c>
      <c r="Q82" s="59">
        <f t="shared" ca="1" si="90"/>
        <v>0</v>
      </c>
      <c r="R82" s="59">
        <f t="shared" ca="1" si="90"/>
        <v>0</v>
      </c>
      <c r="S82" s="59">
        <f t="shared" ca="1" si="90"/>
        <v>0</v>
      </c>
      <c r="T82" s="59">
        <f t="shared" ca="1" si="90"/>
        <v>0</v>
      </c>
      <c r="U82" s="59">
        <f t="shared" ca="1" si="90"/>
        <v>0</v>
      </c>
      <c r="W82" s="94">
        <f t="shared" ca="1" si="77"/>
        <v>-342</v>
      </c>
      <c r="X82" s="94" t="b">
        <f t="shared" ca="1" si="78"/>
        <v>0</v>
      </c>
    </row>
    <row r="83" spans="1:24" ht="15" thickBot="1" x14ac:dyDescent="0.35">
      <c r="A83" s="68" t="str">
        <v>Vicente Castro</v>
      </c>
      <c r="B83" s="21" t="str">
        <v>Gestión de conflictos y relaciones laborales</v>
      </c>
      <c r="C83" s="61">
        <v>45862</v>
      </c>
      <c r="D83" s="61">
        <v>45869</v>
      </c>
      <c r="E83" s="67">
        <v>4</v>
      </c>
      <c r="F83" s="69">
        <f t="shared" ca="1" si="72"/>
        <v>-200</v>
      </c>
      <c r="G83" s="64">
        <f t="shared" ca="1" si="73"/>
        <v>-213</v>
      </c>
      <c r="H83" s="70">
        <f t="shared" ca="1" si="74"/>
        <v>-42.6</v>
      </c>
      <c r="I83" s="66">
        <f t="shared" si="75"/>
        <v>0.66666666666666663</v>
      </c>
      <c r="J83" s="59">
        <f t="shared" ref="J83:U83" ca="1" si="91">IF($A83="","",
IF($C83&gt;J$3+6,0,IF($D83&gt;=J$3,$I83*5,0)
-IF($D83&gt;=J$3,IF(K$3&gt;$D83,NETWORKDAYS($D83,K$3)-2,0)*$I83,0)
-IF(AND($C83&gt;=J$3,$C83&lt;K$3),($C83-J$3)*$I83,0))
-IF(AND(TODAY()&gt;=J$3,TODAY()&lt;K$3),IF(TODAY()&gt;$C83,NETWORKDAYS($C83,TODAY()-1)*$I83,0),0)
)</f>
        <v>-145.33333333333331</v>
      </c>
      <c r="K83" s="59">
        <f t="shared" ca="1" si="91"/>
        <v>0</v>
      </c>
      <c r="L83" s="59">
        <f t="shared" ca="1" si="91"/>
        <v>0</v>
      </c>
      <c r="M83" s="59">
        <f t="shared" ca="1" si="91"/>
        <v>0</v>
      </c>
      <c r="N83" s="59">
        <f t="shared" ca="1" si="91"/>
        <v>0</v>
      </c>
      <c r="O83" s="59">
        <f t="shared" ca="1" si="91"/>
        <v>0</v>
      </c>
      <c r="P83" s="59">
        <f t="shared" ca="1" si="91"/>
        <v>0</v>
      </c>
      <c r="Q83" s="59">
        <f t="shared" ca="1" si="91"/>
        <v>0</v>
      </c>
      <c r="R83" s="59">
        <f t="shared" ca="1" si="91"/>
        <v>0</v>
      </c>
      <c r="S83" s="59">
        <f t="shared" ca="1" si="91"/>
        <v>0</v>
      </c>
      <c r="T83" s="59">
        <f t="shared" ca="1" si="91"/>
        <v>0</v>
      </c>
      <c r="U83" s="59">
        <f t="shared" ca="1" si="91"/>
        <v>0</v>
      </c>
      <c r="W83" s="94">
        <f t="shared" ca="1" si="77"/>
        <v>-145.33333333333331</v>
      </c>
      <c r="X83" s="94" t="b">
        <f t="shared" ca="1" si="78"/>
        <v>0</v>
      </c>
    </row>
    <row r="84" spans="1:24" ht="15" thickBot="1" x14ac:dyDescent="0.35">
      <c r="A84" s="68" t="str">
        <v>Vicente Castro</v>
      </c>
      <c r="B84" s="21" t="str">
        <v>Capacitación y desarrollo</v>
      </c>
      <c r="C84" s="61">
        <v>45848</v>
      </c>
      <c r="D84" s="61">
        <v>45855</v>
      </c>
      <c r="E84" s="67">
        <v>3</v>
      </c>
      <c r="F84" s="69">
        <f t="shared" ca="1" si="72"/>
        <v>-157</v>
      </c>
      <c r="G84" s="64">
        <f t="shared" ca="1" si="73"/>
        <v>-223</v>
      </c>
      <c r="H84" s="70">
        <f t="shared" ca="1" si="74"/>
        <v>-44.6</v>
      </c>
      <c r="I84" s="66">
        <f t="shared" si="75"/>
        <v>0.5</v>
      </c>
      <c r="J84" s="59">
        <f t="shared" ref="J84:U84" ca="1" si="92">IF($A84="","",
IF($C84&gt;J$3+6,0,IF($D84&gt;=J$3,$I84*5,0)
-IF($D84&gt;=J$3,IF(K$3&gt;$D84,NETWORKDAYS($D84,K$3)-2,0)*$I84,0)
-IF(AND($C84&gt;=J$3,$C84&lt;K$3),($C84-J$3)*$I84,0))
-IF(AND(TODAY()&gt;=J$3,TODAY()&lt;K$3),IF(TODAY()&gt;$C84,NETWORKDAYS($C84,TODAY()-1)*$I84,0),0)
)</f>
        <v>-114</v>
      </c>
      <c r="K84" s="59">
        <f t="shared" ca="1" si="92"/>
        <v>0</v>
      </c>
      <c r="L84" s="59">
        <f t="shared" ca="1" si="92"/>
        <v>0</v>
      </c>
      <c r="M84" s="59">
        <f t="shared" ca="1" si="92"/>
        <v>0</v>
      </c>
      <c r="N84" s="59">
        <f t="shared" ca="1" si="92"/>
        <v>0</v>
      </c>
      <c r="O84" s="59">
        <f t="shared" ca="1" si="92"/>
        <v>0</v>
      </c>
      <c r="P84" s="59">
        <f t="shared" ca="1" si="92"/>
        <v>0</v>
      </c>
      <c r="Q84" s="59">
        <f t="shared" ca="1" si="92"/>
        <v>0</v>
      </c>
      <c r="R84" s="59">
        <f t="shared" ca="1" si="92"/>
        <v>0</v>
      </c>
      <c r="S84" s="59">
        <f t="shared" ca="1" si="92"/>
        <v>0</v>
      </c>
      <c r="T84" s="59">
        <f t="shared" ca="1" si="92"/>
        <v>0</v>
      </c>
      <c r="U84" s="59">
        <f t="shared" ca="1" si="92"/>
        <v>0</v>
      </c>
      <c r="W84" s="94">
        <f t="shared" ca="1" si="77"/>
        <v>-114</v>
      </c>
      <c r="X84" s="94" t="b">
        <f t="shared" ca="1" si="78"/>
        <v>0</v>
      </c>
    </row>
    <row r="85" spans="1:24" ht="15" thickBot="1" x14ac:dyDescent="0.35">
      <c r="A85" s="68" t="str">
        <v>Vicente Castro</v>
      </c>
      <c r="B85" s="21" t="str">
        <v>Inducción y bienvenida</v>
      </c>
      <c r="C85" s="61">
        <v>45848</v>
      </c>
      <c r="D85" s="61">
        <v>45855</v>
      </c>
      <c r="E85" s="67">
        <v>2.5</v>
      </c>
      <c r="F85" s="69">
        <f t="shared" ca="1" si="72"/>
        <v>-130.83333333333334</v>
      </c>
      <c r="G85" s="64">
        <f t="shared" ca="1" si="73"/>
        <v>-223</v>
      </c>
      <c r="H85" s="70">
        <f t="shared" ca="1" si="74"/>
        <v>-44.6</v>
      </c>
      <c r="I85" s="66">
        <f t="shared" si="75"/>
        <v>0.41666666666666669</v>
      </c>
      <c r="J85" s="59">
        <f t="shared" ref="J85:U85" ca="1" si="93">IF($A85="","",
IF($C85&gt;J$3+6,0,IF($D85&gt;=J$3,$I85*5,0)
-IF($D85&gt;=J$3,IF(K$3&gt;$D85,NETWORKDAYS($D85,K$3)-2,0)*$I85,0)
-IF(AND($C85&gt;=J$3,$C85&lt;K$3),($C85-J$3)*$I85,0))
-IF(AND(TODAY()&gt;=J$3,TODAY()&lt;K$3),IF(TODAY()&gt;$C85,NETWORKDAYS($C85,TODAY()-1)*$I85,0),0)
)</f>
        <v>-95</v>
      </c>
      <c r="K85" s="59">
        <f t="shared" ca="1" si="93"/>
        <v>0</v>
      </c>
      <c r="L85" s="59">
        <f t="shared" ca="1" si="93"/>
        <v>0</v>
      </c>
      <c r="M85" s="59">
        <f t="shared" ca="1" si="93"/>
        <v>0</v>
      </c>
      <c r="N85" s="59">
        <f t="shared" ca="1" si="93"/>
        <v>0</v>
      </c>
      <c r="O85" s="59">
        <f t="shared" ca="1" si="93"/>
        <v>0</v>
      </c>
      <c r="P85" s="59">
        <f t="shared" ca="1" si="93"/>
        <v>0</v>
      </c>
      <c r="Q85" s="59">
        <f t="shared" ca="1" si="93"/>
        <v>0</v>
      </c>
      <c r="R85" s="59">
        <f t="shared" ca="1" si="93"/>
        <v>0</v>
      </c>
      <c r="S85" s="59">
        <f t="shared" ca="1" si="93"/>
        <v>0</v>
      </c>
      <c r="T85" s="59">
        <f t="shared" ca="1" si="93"/>
        <v>0</v>
      </c>
      <c r="U85" s="59">
        <f t="shared" ca="1" si="93"/>
        <v>0</v>
      </c>
      <c r="W85" s="94">
        <f t="shared" ca="1" si="77"/>
        <v>-95</v>
      </c>
      <c r="X85" s="94" t="b">
        <f t="shared" ca="1" si="78"/>
        <v>0</v>
      </c>
    </row>
    <row r="86" spans="1:24" ht="15" thickBot="1" x14ac:dyDescent="0.35">
      <c r="A86" s="68" t="str">
        <v>Vicente Castro</v>
      </c>
      <c r="B86" s="21" t="str">
        <v>Evaluación del desempeño</v>
      </c>
      <c r="C86" s="61">
        <v>45848</v>
      </c>
      <c r="D86" s="61">
        <v>45855</v>
      </c>
      <c r="E86" s="67">
        <v>10</v>
      </c>
      <c r="F86" s="69">
        <f t="shared" ca="1" si="72"/>
        <v>-523.33333333333337</v>
      </c>
      <c r="G86" s="64">
        <f t="shared" ca="1" si="73"/>
        <v>-223</v>
      </c>
      <c r="H86" s="70">
        <f t="shared" ca="1" si="74"/>
        <v>-44.6</v>
      </c>
      <c r="I86" s="66">
        <f t="shared" si="75"/>
        <v>1.6666666666666667</v>
      </c>
      <c r="J86" s="59">
        <f t="shared" ref="J86:U86" ca="1" si="94">IF($A86="","",
IF($C86&gt;J$3+6,0,IF($D86&gt;=J$3,$I86*5,0)
-IF($D86&gt;=J$3,IF(K$3&gt;$D86,NETWORKDAYS($D86,K$3)-2,0)*$I86,0)
-IF(AND($C86&gt;=J$3,$C86&lt;K$3),($C86-J$3)*$I86,0))
-IF(AND(TODAY()&gt;=J$3,TODAY()&lt;K$3),IF(TODAY()&gt;$C86,NETWORKDAYS($C86,TODAY()-1)*$I86,0),0)
)</f>
        <v>-380</v>
      </c>
      <c r="K86" s="59">
        <f t="shared" ca="1" si="94"/>
        <v>0</v>
      </c>
      <c r="L86" s="59">
        <f t="shared" ca="1" si="94"/>
        <v>0</v>
      </c>
      <c r="M86" s="59">
        <f t="shared" ca="1" si="94"/>
        <v>0</v>
      </c>
      <c r="N86" s="59">
        <f t="shared" ca="1" si="94"/>
        <v>0</v>
      </c>
      <c r="O86" s="59">
        <f t="shared" ca="1" si="94"/>
        <v>0</v>
      </c>
      <c r="P86" s="59">
        <f t="shared" ca="1" si="94"/>
        <v>0</v>
      </c>
      <c r="Q86" s="59">
        <f t="shared" ca="1" si="94"/>
        <v>0</v>
      </c>
      <c r="R86" s="59">
        <f t="shared" ca="1" si="94"/>
        <v>0</v>
      </c>
      <c r="S86" s="59">
        <f t="shared" ca="1" si="94"/>
        <v>0</v>
      </c>
      <c r="T86" s="59">
        <f t="shared" ca="1" si="94"/>
        <v>0</v>
      </c>
      <c r="U86" s="59">
        <f t="shared" ca="1" si="94"/>
        <v>0</v>
      </c>
      <c r="W86" s="94">
        <f t="shared" ca="1" si="77"/>
        <v>-380</v>
      </c>
      <c r="X86" s="94" t="b">
        <f t="shared" ca="1" si="78"/>
        <v>0</v>
      </c>
    </row>
    <row r="87" spans="1:24" ht="15" thickBot="1" x14ac:dyDescent="0.35">
      <c r="A87" s="68" t="str">
        <v>Vicente Castro</v>
      </c>
      <c r="B87" s="21" t="str">
        <v>Administración de personal</v>
      </c>
      <c r="C87" s="61">
        <v>45862</v>
      </c>
      <c r="D87" s="61">
        <v>45869</v>
      </c>
      <c r="E87" s="67">
        <v>3</v>
      </c>
      <c r="F87" s="69">
        <f t="shared" ca="1" si="72"/>
        <v>-150</v>
      </c>
      <c r="G87" s="64">
        <f t="shared" ca="1" si="73"/>
        <v>-213</v>
      </c>
      <c r="H87" s="70">
        <f t="shared" ca="1" si="74"/>
        <v>-42.6</v>
      </c>
      <c r="I87" s="66">
        <f t="shared" si="75"/>
        <v>0.5</v>
      </c>
      <c r="J87" s="59">
        <f t="shared" ref="J87:U87" ca="1" si="95">IF($A87="","",
IF($C87&gt;J$3+6,0,IF($D87&gt;=J$3,$I87*5,0)
-IF($D87&gt;=J$3,IF(K$3&gt;$D87,NETWORKDAYS($D87,K$3)-2,0)*$I87,0)
-IF(AND($C87&gt;=J$3,$C87&lt;K$3),($C87-J$3)*$I87,0))
-IF(AND(TODAY()&gt;=J$3,TODAY()&lt;K$3),IF(TODAY()&gt;$C87,NETWORKDAYS($C87,TODAY()-1)*$I87,0),0)
)</f>
        <v>-109</v>
      </c>
      <c r="K87" s="59">
        <f t="shared" ca="1" si="95"/>
        <v>0</v>
      </c>
      <c r="L87" s="59">
        <f t="shared" ca="1" si="95"/>
        <v>0</v>
      </c>
      <c r="M87" s="59">
        <f t="shared" ca="1" si="95"/>
        <v>0</v>
      </c>
      <c r="N87" s="59">
        <f t="shared" ca="1" si="95"/>
        <v>0</v>
      </c>
      <c r="O87" s="59">
        <f t="shared" ca="1" si="95"/>
        <v>0</v>
      </c>
      <c r="P87" s="59">
        <f t="shared" ca="1" si="95"/>
        <v>0</v>
      </c>
      <c r="Q87" s="59">
        <f t="shared" ca="1" si="95"/>
        <v>0</v>
      </c>
      <c r="R87" s="59">
        <f t="shared" ca="1" si="95"/>
        <v>0</v>
      </c>
      <c r="S87" s="59">
        <f t="shared" ca="1" si="95"/>
        <v>0</v>
      </c>
      <c r="T87" s="59">
        <f t="shared" ca="1" si="95"/>
        <v>0</v>
      </c>
      <c r="U87" s="59">
        <f t="shared" ca="1" si="95"/>
        <v>0</v>
      </c>
    </row>
    <row r="88" spans="1:24" ht="15" thickBot="1" x14ac:dyDescent="0.35">
      <c r="A88" s="68"/>
      <c r="B88" s="21"/>
      <c r="C88" s="61"/>
      <c r="D88" s="61"/>
      <c r="E88" s="67"/>
      <c r="F88" s="69" t="str">
        <f t="shared" ca="1" si="72"/>
        <v/>
      </c>
      <c r="G88" s="64" t="str">
        <f t="shared" ca="1" si="73"/>
        <v/>
      </c>
      <c r="H88" s="70" t="str">
        <f t="shared" si="74"/>
        <v/>
      </c>
      <c r="I88" s="66" t="str">
        <f t="shared" si="75"/>
        <v/>
      </c>
      <c r="J88" s="59" t="str">
        <f t="shared" ref="J88:U88" ca="1" si="96">IF($A88="","",
IF($C88&gt;J$3+6,0,IF($D88&gt;=J$3,$I88*5,0)
-IF($D88&gt;=J$3,IF(K$3&gt;$D88,NETWORKDAYS($D88,K$3)-2,0)*$I88,0)
-IF(AND($C88&gt;=J$3,$C88&lt;K$3),($C88-J$3)*$I88,0))
-IF(AND(TODAY()&gt;=J$3,TODAY()&lt;K$3),IF(TODAY()&gt;$C88,NETWORKDAYS($C88,TODAY()-1)*$I88,0),0)
)</f>
        <v/>
      </c>
      <c r="K88" s="59" t="str">
        <f t="shared" ca="1" si="96"/>
        <v/>
      </c>
      <c r="L88" s="59" t="str">
        <f t="shared" ca="1" si="96"/>
        <v/>
      </c>
      <c r="M88" s="59" t="str">
        <f t="shared" ca="1" si="96"/>
        <v/>
      </c>
      <c r="N88" s="59" t="str">
        <f t="shared" ca="1" si="96"/>
        <v/>
      </c>
      <c r="O88" s="59" t="str">
        <f t="shared" ca="1" si="96"/>
        <v/>
      </c>
      <c r="P88" s="59" t="str">
        <f t="shared" ca="1" si="96"/>
        <v/>
      </c>
      <c r="Q88" s="59" t="str">
        <f t="shared" ca="1" si="96"/>
        <v/>
      </c>
      <c r="R88" s="59" t="str">
        <f t="shared" ca="1" si="96"/>
        <v/>
      </c>
      <c r="S88" s="59" t="str">
        <f t="shared" ca="1" si="96"/>
        <v/>
      </c>
      <c r="T88" s="59" t="str">
        <f t="shared" ca="1" si="96"/>
        <v/>
      </c>
      <c r="U88" s="59" t="str">
        <f t="shared" ca="1" si="96"/>
        <v/>
      </c>
    </row>
    <row r="89" spans="1:24" ht="15" thickBot="1" x14ac:dyDescent="0.35">
      <c r="A89" s="68"/>
      <c r="B89" s="21"/>
      <c r="C89" s="61"/>
      <c r="D89" s="61"/>
      <c r="E89" s="67"/>
      <c r="F89" s="69" t="str">
        <f t="shared" ca="1" si="72"/>
        <v/>
      </c>
      <c r="G89" s="64" t="str">
        <f t="shared" ca="1" si="73"/>
        <v/>
      </c>
      <c r="H89" s="70" t="str">
        <f t="shared" si="74"/>
        <v/>
      </c>
      <c r="I89" s="66" t="str">
        <f t="shared" si="75"/>
        <v/>
      </c>
      <c r="J89" s="59" t="str">
        <f t="shared" ref="J89:U89" ca="1" si="97">IF($A89="","",
IF($C89&gt;J$3+6,0,IF($D89&gt;=J$3,$I89*5,0)
-IF($D89&gt;=J$3,IF(K$3&gt;$D89,NETWORKDAYS($D89,K$3)-2,0)*$I89,0)
-IF(AND($C89&gt;=J$3,$C89&lt;K$3),($C89-J$3)*$I89,0))
-IF(AND(TODAY()&gt;=J$3,TODAY()&lt;K$3),IF(TODAY()&gt;$C89,NETWORKDAYS($C89,TODAY()-1)*$I89,0),0)
)</f>
        <v/>
      </c>
      <c r="K89" s="59" t="str">
        <f t="shared" ca="1" si="97"/>
        <v/>
      </c>
      <c r="L89" s="59" t="str">
        <f t="shared" ca="1" si="97"/>
        <v/>
      </c>
      <c r="M89" s="59" t="str">
        <f t="shared" ca="1" si="97"/>
        <v/>
      </c>
      <c r="N89" s="59" t="str">
        <f t="shared" ca="1" si="97"/>
        <v/>
      </c>
      <c r="O89" s="59" t="str">
        <f t="shared" ca="1" si="97"/>
        <v/>
      </c>
      <c r="P89" s="59" t="str">
        <f t="shared" ca="1" si="97"/>
        <v/>
      </c>
      <c r="Q89" s="59" t="str">
        <f t="shared" ca="1" si="97"/>
        <v/>
      </c>
      <c r="R89" s="59" t="str">
        <f t="shared" ca="1" si="97"/>
        <v/>
      </c>
      <c r="S89" s="59" t="str">
        <f t="shared" ca="1" si="97"/>
        <v/>
      </c>
      <c r="T89" s="59" t="str">
        <f t="shared" ca="1" si="97"/>
        <v/>
      </c>
      <c r="U89" s="59" t="str">
        <f t="shared" ca="1" si="97"/>
        <v/>
      </c>
    </row>
    <row r="90" spans="1:24" ht="15" thickBot="1" x14ac:dyDescent="0.35">
      <c r="A90" s="68"/>
      <c r="B90" s="21"/>
      <c r="C90" s="61"/>
      <c r="D90" s="61"/>
      <c r="E90" s="67"/>
      <c r="F90" s="69" t="str">
        <f t="shared" ca="1" si="72"/>
        <v/>
      </c>
      <c r="G90" s="64" t="str">
        <f t="shared" ca="1" si="73"/>
        <v/>
      </c>
      <c r="H90" s="70" t="str">
        <f t="shared" si="74"/>
        <v/>
      </c>
      <c r="I90" s="66" t="str">
        <f t="shared" si="75"/>
        <v/>
      </c>
      <c r="J90" s="59" t="str">
        <f t="shared" ref="J90:U90" ca="1" si="98">IF($A90="","",
IF($C90&gt;J$3+6,0,IF($D90&gt;=J$3,$I90*5,0)
-IF($D90&gt;=J$3,IF(K$3&gt;$D90,NETWORKDAYS($D90,K$3)-2,0)*$I90,0)
-IF(AND($C90&gt;=J$3,$C90&lt;K$3),($C90-J$3)*$I90,0))
-IF(AND(TODAY()&gt;=J$3,TODAY()&lt;K$3),IF(TODAY()&gt;$C90,NETWORKDAYS($C90,TODAY()-1)*$I90,0),0)
)</f>
        <v/>
      </c>
      <c r="K90" s="59" t="str">
        <f t="shared" ca="1" si="98"/>
        <v/>
      </c>
      <c r="L90" s="59" t="str">
        <f t="shared" ca="1" si="98"/>
        <v/>
      </c>
      <c r="M90" s="59" t="str">
        <f t="shared" ca="1" si="98"/>
        <v/>
      </c>
      <c r="N90" s="59" t="str">
        <f t="shared" ca="1" si="98"/>
        <v/>
      </c>
      <c r="O90" s="59" t="str">
        <f t="shared" ca="1" si="98"/>
        <v/>
      </c>
      <c r="P90" s="59" t="str">
        <f t="shared" ca="1" si="98"/>
        <v/>
      </c>
      <c r="Q90" s="59" t="str">
        <f t="shared" ca="1" si="98"/>
        <v/>
      </c>
      <c r="R90" s="59" t="str">
        <f t="shared" ca="1" si="98"/>
        <v/>
      </c>
      <c r="S90" s="59" t="str">
        <f t="shared" ca="1" si="98"/>
        <v/>
      </c>
      <c r="T90" s="59" t="str">
        <f t="shared" ca="1" si="98"/>
        <v/>
      </c>
      <c r="U90" s="59" t="str">
        <f t="shared" ca="1" si="98"/>
        <v/>
      </c>
    </row>
    <row r="91" spans="1:24" ht="15" thickBot="1" x14ac:dyDescent="0.35">
      <c r="A91" s="68"/>
      <c r="B91" s="21"/>
      <c r="C91" s="61"/>
      <c r="D91" s="61"/>
      <c r="E91" s="67"/>
      <c r="F91" s="69" t="str">
        <f t="shared" ca="1" si="72"/>
        <v/>
      </c>
      <c r="G91" s="64" t="str">
        <f t="shared" ca="1" si="73"/>
        <v/>
      </c>
      <c r="H91" s="70" t="str">
        <f t="shared" si="74"/>
        <v/>
      </c>
      <c r="I91" s="66" t="str">
        <f t="shared" si="75"/>
        <v/>
      </c>
      <c r="J91" s="59" t="str">
        <f t="shared" ref="J91:U91" ca="1" si="99">IF($A91="","",
IF($C91&gt;J$3+6,0,IF($D91&gt;=J$3,$I91*5,0)
-IF($D91&gt;=J$3,IF(K$3&gt;$D91,NETWORKDAYS($D91,K$3)-2,0)*$I91,0)
-IF(AND($C91&gt;=J$3,$C91&lt;K$3),($C91-J$3)*$I91,0))
-IF(AND(TODAY()&gt;=J$3,TODAY()&lt;K$3),IF(TODAY()&gt;$C91,NETWORKDAYS($C91,TODAY()-1)*$I91,0),0)
)</f>
        <v/>
      </c>
      <c r="K91" s="59" t="str">
        <f t="shared" ca="1" si="99"/>
        <v/>
      </c>
      <c r="L91" s="59" t="str">
        <f t="shared" ca="1" si="99"/>
        <v/>
      </c>
      <c r="M91" s="59" t="str">
        <f t="shared" ca="1" si="99"/>
        <v/>
      </c>
      <c r="N91" s="59" t="str">
        <f t="shared" ca="1" si="99"/>
        <v/>
      </c>
      <c r="O91" s="59" t="str">
        <f t="shared" ca="1" si="99"/>
        <v/>
      </c>
      <c r="P91" s="59" t="str">
        <f t="shared" ca="1" si="99"/>
        <v/>
      </c>
      <c r="Q91" s="59" t="str">
        <f t="shared" ca="1" si="99"/>
        <v/>
      </c>
      <c r="R91" s="59" t="str">
        <f t="shared" ca="1" si="99"/>
        <v/>
      </c>
      <c r="S91" s="59" t="str">
        <f t="shared" ca="1" si="99"/>
        <v/>
      </c>
      <c r="T91" s="59" t="str">
        <f t="shared" ca="1" si="99"/>
        <v/>
      </c>
      <c r="U91" s="59" t="str">
        <f t="shared" ca="1" si="99"/>
        <v/>
      </c>
    </row>
    <row r="92" spans="1:24" ht="15" thickBot="1" x14ac:dyDescent="0.35">
      <c r="A92" s="68"/>
      <c r="B92" s="21"/>
      <c r="C92" s="61"/>
      <c r="D92" s="61"/>
      <c r="E92" s="67"/>
      <c r="F92" s="69" t="str">
        <f t="shared" ca="1" si="72"/>
        <v/>
      </c>
      <c r="G92" s="64" t="str">
        <f t="shared" ca="1" si="73"/>
        <v/>
      </c>
      <c r="H92" s="70" t="str">
        <f t="shared" si="74"/>
        <v/>
      </c>
      <c r="I92" s="66" t="str">
        <f t="shared" si="75"/>
        <v/>
      </c>
      <c r="J92" s="59" t="str">
        <f t="shared" ref="J92:U92" ca="1" si="100">IF($A92="","",
IF($C92&gt;J$3+6,0,IF($D92&gt;=J$3,$I92*5,0)
-IF($D92&gt;=J$3,IF(K$3&gt;$D92,NETWORKDAYS($D92,K$3)-2,0)*$I92,0)
-IF(AND($C92&gt;=J$3,$C92&lt;K$3),($C92-J$3)*$I92,0))
-IF(AND(TODAY()&gt;=J$3,TODAY()&lt;K$3),IF(TODAY()&gt;$C92,NETWORKDAYS($C92,TODAY()-1)*$I92,0),0)
)</f>
        <v/>
      </c>
      <c r="K92" s="59" t="str">
        <f t="shared" ca="1" si="100"/>
        <v/>
      </c>
      <c r="L92" s="59" t="str">
        <f t="shared" ca="1" si="100"/>
        <v/>
      </c>
      <c r="M92" s="59" t="str">
        <f t="shared" ca="1" si="100"/>
        <v/>
      </c>
      <c r="N92" s="59" t="str">
        <f t="shared" ca="1" si="100"/>
        <v/>
      </c>
      <c r="O92" s="59" t="str">
        <f t="shared" ca="1" si="100"/>
        <v/>
      </c>
      <c r="P92" s="59" t="str">
        <f t="shared" ca="1" si="100"/>
        <v/>
      </c>
      <c r="Q92" s="59" t="str">
        <f t="shared" ca="1" si="100"/>
        <v/>
      </c>
      <c r="R92" s="59" t="str">
        <f t="shared" ca="1" si="100"/>
        <v/>
      </c>
      <c r="S92" s="59" t="str">
        <f t="shared" ca="1" si="100"/>
        <v/>
      </c>
      <c r="T92" s="59" t="str">
        <f t="shared" ca="1" si="100"/>
        <v/>
      </c>
      <c r="U92" s="59" t="str">
        <f t="shared" ca="1" si="100"/>
        <v/>
      </c>
    </row>
    <row r="93" spans="1:24" ht="15" thickBot="1" x14ac:dyDescent="0.35">
      <c r="A93" s="68"/>
      <c r="B93" s="21"/>
      <c r="C93" s="61"/>
      <c r="D93" s="61"/>
      <c r="E93" s="67"/>
      <c r="F93" s="69" t="str">
        <f t="shared" ca="1" si="72"/>
        <v/>
      </c>
      <c r="G93" s="64" t="str">
        <f t="shared" ca="1" si="73"/>
        <v/>
      </c>
      <c r="H93" s="70" t="str">
        <f t="shared" si="74"/>
        <v/>
      </c>
      <c r="I93" s="66" t="str">
        <f t="shared" si="75"/>
        <v/>
      </c>
      <c r="J93" s="59" t="str">
        <f t="shared" ref="J93:U93" ca="1" si="101">IF($A93="","",
IF($C93&gt;J$3+6,0,IF($D93&gt;=J$3,$I93*5,0)
-IF($D93&gt;=J$3,IF(K$3&gt;$D93,NETWORKDAYS($D93,K$3)-2,0)*$I93,0)
-IF(AND($C93&gt;=J$3,$C93&lt;K$3),($C93-J$3)*$I93,0))
-IF(AND(TODAY()&gt;=J$3,TODAY()&lt;K$3),IF(TODAY()&gt;$C93,NETWORKDAYS($C93,TODAY()-1)*$I93,0),0)
)</f>
        <v/>
      </c>
      <c r="K93" s="59" t="str">
        <f t="shared" ca="1" si="101"/>
        <v/>
      </c>
      <c r="L93" s="59" t="str">
        <f t="shared" ca="1" si="101"/>
        <v/>
      </c>
      <c r="M93" s="59" t="str">
        <f t="shared" ca="1" si="101"/>
        <v/>
      </c>
      <c r="N93" s="59" t="str">
        <f t="shared" ca="1" si="101"/>
        <v/>
      </c>
      <c r="O93" s="59" t="str">
        <f t="shared" ca="1" si="101"/>
        <v/>
      </c>
      <c r="P93" s="59" t="str">
        <f t="shared" ca="1" si="101"/>
        <v/>
      </c>
      <c r="Q93" s="59" t="str">
        <f t="shared" ca="1" si="101"/>
        <v/>
      </c>
      <c r="R93" s="59" t="str">
        <f t="shared" ca="1" si="101"/>
        <v/>
      </c>
      <c r="S93" s="59" t="str">
        <f t="shared" ca="1" si="101"/>
        <v/>
      </c>
      <c r="T93" s="59" t="str">
        <f t="shared" ca="1" si="101"/>
        <v/>
      </c>
      <c r="U93" s="59" t="str">
        <f t="shared" ca="1" si="101"/>
        <v/>
      </c>
    </row>
    <row r="94" spans="1:24" ht="15" thickBot="1" x14ac:dyDescent="0.35">
      <c r="A94" s="68"/>
      <c r="B94" s="21"/>
      <c r="C94" s="61"/>
      <c r="D94" s="61"/>
      <c r="E94" s="67"/>
      <c r="F94" s="69" t="str">
        <f t="shared" ca="1" si="72"/>
        <v/>
      </c>
      <c r="G94" s="64" t="str">
        <f t="shared" ca="1" si="73"/>
        <v/>
      </c>
      <c r="H94" s="70" t="str">
        <f t="shared" si="74"/>
        <v/>
      </c>
      <c r="I94" s="66" t="str">
        <f t="shared" si="75"/>
        <v/>
      </c>
      <c r="J94" s="59" t="str">
        <f t="shared" ref="J94:U94" ca="1" si="102">IF($A94="","",
IF($C94&gt;J$3+6,0,IF($D94&gt;=J$3,$I94*5,0)
-IF($D94&gt;=J$3,IF(K$3&gt;$D94,NETWORKDAYS($D94,K$3)-2,0)*$I94,0)
-IF(AND($C94&gt;=J$3,$C94&lt;K$3),($C94-J$3)*$I94,0))
-IF(AND(TODAY()&gt;=J$3,TODAY()&lt;K$3),IF(TODAY()&gt;$C94,NETWORKDAYS($C94,TODAY()-1)*$I94,0),0)
)</f>
        <v/>
      </c>
      <c r="K94" s="59" t="str">
        <f t="shared" ca="1" si="102"/>
        <v/>
      </c>
      <c r="L94" s="59" t="str">
        <f t="shared" ca="1" si="102"/>
        <v/>
      </c>
      <c r="M94" s="59" t="str">
        <f t="shared" ca="1" si="102"/>
        <v/>
      </c>
      <c r="N94" s="59" t="str">
        <f t="shared" ca="1" si="102"/>
        <v/>
      </c>
      <c r="O94" s="59" t="str">
        <f t="shared" ca="1" si="102"/>
        <v/>
      </c>
      <c r="P94" s="59" t="str">
        <f t="shared" ca="1" si="102"/>
        <v/>
      </c>
      <c r="Q94" s="59" t="str">
        <f t="shared" ca="1" si="102"/>
        <v/>
      </c>
      <c r="R94" s="59" t="str">
        <f t="shared" ca="1" si="102"/>
        <v/>
      </c>
      <c r="S94" s="59" t="str">
        <f t="shared" ca="1" si="102"/>
        <v/>
      </c>
      <c r="T94" s="59" t="str">
        <f t="shared" ca="1" si="102"/>
        <v/>
      </c>
      <c r="U94" s="59" t="str">
        <f t="shared" ca="1" si="102"/>
        <v/>
      </c>
    </row>
    <row r="95" spans="1:24" ht="15" thickBot="1" x14ac:dyDescent="0.35">
      <c r="A95" s="68"/>
      <c r="B95" s="21"/>
      <c r="C95" s="61"/>
      <c r="D95" s="61"/>
      <c r="E95" s="67"/>
      <c r="F95" s="69" t="str">
        <f t="shared" ca="1" si="72"/>
        <v/>
      </c>
      <c r="G95" s="64" t="str">
        <f t="shared" ca="1" si="73"/>
        <v/>
      </c>
      <c r="H95" s="70" t="str">
        <f t="shared" si="74"/>
        <v/>
      </c>
      <c r="I95" s="66" t="str">
        <f t="shared" si="75"/>
        <v/>
      </c>
      <c r="J95" s="59" t="str">
        <f t="shared" ref="J95:U95" ca="1" si="103">IF($A95="","",
IF($C95&gt;J$3+6,0,IF($D95&gt;=J$3,$I95*5,0)
-IF($D95&gt;=J$3,IF(K$3&gt;$D95,NETWORKDAYS($D95,K$3)-2,0)*$I95,0)
-IF(AND($C95&gt;=J$3,$C95&lt;K$3),($C95-J$3)*$I95,0))
-IF(AND(TODAY()&gt;=J$3,TODAY()&lt;K$3),IF(TODAY()&gt;$C95,NETWORKDAYS($C95,TODAY()-1)*$I95,0),0)
)</f>
        <v/>
      </c>
      <c r="K95" s="59" t="str">
        <f t="shared" ca="1" si="103"/>
        <v/>
      </c>
      <c r="L95" s="59" t="str">
        <f t="shared" ca="1" si="103"/>
        <v/>
      </c>
      <c r="M95" s="59" t="str">
        <f t="shared" ca="1" si="103"/>
        <v/>
      </c>
      <c r="N95" s="59" t="str">
        <f t="shared" ca="1" si="103"/>
        <v/>
      </c>
      <c r="O95" s="59" t="str">
        <f t="shared" ca="1" si="103"/>
        <v/>
      </c>
      <c r="P95" s="59" t="str">
        <f t="shared" ca="1" si="103"/>
        <v/>
      </c>
      <c r="Q95" s="59" t="str">
        <f t="shared" ca="1" si="103"/>
        <v/>
      </c>
      <c r="R95" s="59" t="str">
        <f t="shared" ca="1" si="103"/>
        <v/>
      </c>
      <c r="S95" s="59" t="str">
        <f t="shared" ca="1" si="103"/>
        <v/>
      </c>
      <c r="T95" s="59" t="str">
        <f t="shared" ca="1" si="103"/>
        <v/>
      </c>
      <c r="U95" s="59" t="str">
        <f t="shared" ca="1" si="103"/>
        <v/>
      </c>
    </row>
    <row r="96" spans="1:24" ht="15" thickBot="1" x14ac:dyDescent="0.35">
      <c r="A96" s="68"/>
      <c r="B96" s="21"/>
      <c r="C96" s="61"/>
      <c r="D96" s="61"/>
      <c r="E96" s="67"/>
      <c r="F96" s="69" t="str">
        <f t="shared" ca="1" si="72"/>
        <v/>
      </c>
      <c r="G96" s="64" t="str">
        <f t="shared" ca="1" si="73"/>
        <v/>
      </c>
      <c r="H96" s="70" t="str">
        <f t="shared" si="74"/>
        <v/>
      </c>
      <c r="I96" s="66" t="str">
        <f t="shared" si="75"/>
        <v/>
      </c>
      <c r="J96" s="59" t="str">
        <f t="shared" ref="J96:U96" ca="1" si="104">IF($A96="","",
IF($C96&gt;J$3+6,0,IF($D96&gt;=J$3,$I96*5,0)
-IF($D96&gt;=J$3,IF(K$3&gt;$D96,NETWORKDAYS($D96,K$3)-2,0)*$I96,0)
-IF(AND($C96&gt;=J$3,$C96&lt;K$3),($C96-J$3)*$I96,0))
-IF(AND(TODAY()&gt;=J$3,TODAY()&lt;K$3),IF(TODAY()&gt;$C96,NETWORKDAYS($C96,TODAY()-1)*$I96,0),0)
)</f>
        <v/>
      </c>
      <c r="K96" s="59" t="str">
        <f t="shared" ca="1" si="104"/>
        <v/>
      </c>
      <c r="L96" s="59" t="str">
        <f t="shared" ca="1" si="104"/>
        <v/>
      </c>
      <c r="M96" s="59" t="str">
        <f t="shared" ca="1" si="104"/>
        <v/>
      </c>
      <c r="N96" s="59" t="str">
        <f t="shared" ca="1" si="104"/>
        <v/>
      </c>
      <c r="O96" s="59" t="str">
        <f t="shared" ca="1" si="104"/>
        <v/>
      </c>
      <c r="P96" s="59" t="str">
        <f t="shared" ca="1" si="104"/>
        <v/>
      </c>
      <c r="Q96" s="59" t="str">
        <f t="shared" ca="1" si="104"/>
        <v/>
      </c>
      <c r="R96" s="59" t="str">
        <f t="shared" ca="1" si="104"/>
        <v/>
      </c>
      <c r="S96" s="59" t="str">
        <f t="shared" ca="1" si="104"/>
        <v/>
      </c>
      <c r="T96" s="59" t="str">
        <f t="shared" ca="1" si="104"/>
        <v/>
      </c>
      <c r="U96" s="59" t="str">
        <f t="shared" ca="1" si="104"/>
        <v/>
      </c>
    </row>
    <row r="97" spans="1:21" ht="15" thickBot="1" x14ac:dyDescent="0.35">
      <c r="A97" s="68"/>
      <c r="B97" s="21"/>
      <c r="C97" s="61"/>
      <c r="D97" s="61"/>
      <c r="E97" s="67"/>
      <c r="F97" s="69" t="str">
        <f t="shared" ca="1" si="72"/>
        <v/>
      </c>
      <c r="G97" s="64" t="str">
        <f t="shared" ca="1" si="73"/>
        <v/>
      </c>
      <c r="H97" s="70" t="str">
        <f t="shared" si="74"/>
        <v/>
      </c>
      <c r="I97" s="66" t="str">
        <f t="shared" si="75"/>
        <v/>
      </c>
      <c r="J97" s="59" t="str">
        <f t="shared" ref="J97:U97" ca="1" si="105">IF($A97="","",
IF($C97&gt;J$3+6,0,IF($D97&gt;=J$3,$I97*5,0)
-IF($D97&gt;=J$3,IF(K$3&gt;$D97,NETWORKDAYS($D97,K$3)-2,0)*$I97,0)
-IF(AND($C97&gt;=J$3,$C97&lt;K$3),($C97-J$3)*$I97,0))
-IF(AND(TODAY()&gt;=J$3,TODAY()&lt;K$3),IF(TODAY()&gt;$C97,NETWORKDAYS($C97,TODAY()-1)*$I97,0),0)
)</f>
        <v/>
      </c>
      <c r="K97" s="59" t="str">
        <f t="shared" ca="1" si="105"/>
        <v/>
      </c>
      <c r="L97" s="59" t="str">
        <f t="shared" ca="1" si="105"/>
        <v/>
      </c>
      <c r="M97" s="59" t="str">
        <f t="shared" ca="1" si="105"/>
        <v/>
      </c>
      <c r="N97" s="59" t="str">
        <f t="shared" ca="1" si="105"/>
        <v/>
      </c>
      <c r="O97" s="59" t="str">
        <f t="shared" ca="1" si="105"/>
        <v/>
      </c>
      <c r="P97" s="59" t="str">
        <f t="shared" ca="1" si="105"/>
        <v/>
      </c>
      <c r="Q97" s="59" t="str">
        <f t="shared" ca="1" si="105"/>
        <v/>
      </c>
      <c r="R97" s="59" t="str">
        <f t="shared" ca="1" si="105"/>
        <v/>
      </c>
      <c r="S97" s="59" t="str">
        <f t="shared" ca="1" si="105"/>
        <v/>
      </c>
      <c r="T97" s="59" t="str">
        <f t="shared" ca="1" si="105"/>
        <v/>
      </c>
      <c r="U97" s="59" t="str">
        <f t="shared" ca="1" si="105"/>
        <v/>
      </c>
    </row>
    <row r="98" spans="1:21" ht="15" thickBot="1" x14ac:dyDescent="0.35">
      <c r="A98" s="68"/>
      <c r="B98" s="21"/>
      <c r="C98" s="61"/>
      <c r="D98" s="61"/>
      <c r="E98" s="67"/>
      <c r="F98" s="69" t="str">
        <f t="shared" ca="1" si="72"/>
        <v/>
      </c>
      <c r="G98" s="64" t="str">
        <f t="shared" ca="1" si="73"/>
        <v/>
      </c>
      <c r="H98" s="70" t="str">
        <f t="shared" si="74"/>
        <v/>
      </c>
      <c r="I98" s="66" t="str">
        <f t="shared" si="75"/>
        <v/>
      </c>
      <c r="J98" s="59" t="str">
        <f t="shared" ref="J98:U98" ca="1" si="106">IF($A98="","",
IF($C98&gt;J$3+6,0,IF($D98&gt;=J$3,$I98*5,0)
-IF($D98&gt;=J$3,IF(K$3&gt;$D98,NETWORKDAYS($D98,K$3)-2,0)*$I98,0)
-IF(AND($C98&gt;=J$3,$C98&lt;K$3),($C98-J$3)*$I98,0))
-IF(AND(TODAY()&gt;=J$3,TODAY()&lt;K$3),IF(TODAY()&gt;$C98,NETWORKDAYS($C98,TODAY()-1)*$I98,0),0)
)</f>
        <v/>
      </c>
      <c r="K98" s="59" t="str">
        <f t="shared" ca="1" si="106"/>
        <v/>
      </c>
      <c r="L98" s="59" t="str">
        <f t="shared" ca="1" si="106"/>
        <v/>
      </c>
      <c r="M98" s="59" t="str">
        <f t="shared" ca="1" si="106"/>
        <v/>
      </c>
      <c r="N98" s="59" t="str">
        <f t="shared" ca="1" si="106"/>
        <v/>
      </c>
      <c r="O98" s="59" t="str">
        <f t="shared" ca="1" si="106"/>
        <v/>
      </c>
      <c r="P98" s="59" t="str">
        <f t="shared" ca="1" si="106"/>
        <v/>
      </c>
      <c r="Q98" s="59" t="str">
        <f t="shared" ca="1" si="106"/>
        <v/>
      </c>
      <c r="R98" s="59" t="str">
        <f t="shared" ca="1" si="106"/>
        <v/>
      </c>
      <c r="S98" s="59" t="str">
        <f t="shared" ca="1" si="106"/>
        <v/>
      </c>
      <c r="T98" s="59" t="str">
        <f t="shared" ca="1" si="106"/>
        <v/>
      </c>
      <c r="U98" s="59" t="str">
        <f t="shared" ca="1" si="106"/>
        <v/>
      </c>
    </row>
    <row r="99" spans="1:21" ht="15" thickBot="1" x14ac:dyDescent="0.35">
      <c r="A99" s="68"/>
      <c r="B99" s="21"/>
      <c r="C99" s="61"/>
      <c r="D99" s="61"/>
      <c r="E99" s="67"/>
      <c r="F99" s="69" t="str">
        <f t="shared" ca="1" si="72"/>
        <v/>
      </c>
      <c r="G99" s="64" t="str">
        <f t="shared" ca="1" si="73"/>
        <v/>
      </c>
      <c r="H99" s="70" t="str">
        <f t="shared" si="74"/>
        <v/>
      </c>
      <c r="I99" s="66" t="str">
        <f t="shared" si="75"/>
        <v/>
      </c>
      <c r="J99" s="59" t="str">
        <f t="shared" ref="J99:U99" ca="1" si="107">IF($A99="","",
IF($C99&gt;J$3+6,0,IF($D99&gt;=J$3,$I99*5,0)
-IF($D99&gt;=J$3,IF(K$3&gt;$D99,NETWORKDAYS($D99,K$3)-2,0)*$I99,0)
-IF(AND($C99&gt;=J$3,$C99&lt;K$3),($C99-J$3)*$I99,0))
-IF(AND(TODAY()&gt;=J$3,TODAY()&lt;K$3),IF(TODAY()&gt;$C99,NETWORKDAYS($C99,TODAY()-1)*$I99,0),0)
)</f>
        <v/>
      </c>
      <c r="K99" s="59" t="str">
        <f t="shared" ca="1" si="107"/>
        <v/>
      </c>
      <c r="L99" s="59" t="str">
        <f t="shared" ca="1" si="107"/>
        <v/>
      </c>
      <c r="M99" s="59" t="str">
        <f t="shared" ca="1" si="107"/>
        <v/>
      </c>
      <c r="N99" s="59" t="str">
        <f t="shared" ca="1" si="107"/>
        <v/>
      </c>
      <c r="O99" s="59" t="str">
        <f t="shared" ca="1" si="107"/>
        <v/>
      </c>
      <c r="P99" s="59" t="str">
        <f t="shared" ca="1" si="107"/>
        <v/>
      </c>
      <c r="Q99" s="59" t="str">
        <f t="shared" ca="1" si="107"/>
        <v/>
      </c>
      <c r="R99" s="59" t="str">
        <f t="shared" ca="1" si="107"/>
        <v/>
      </c>
      <c r="S99" s="59" t="str">
        <f t="shared" ca="1" si="107"/>
        <v/>
      </c>
      <c r="T99" s="59" t="str">
        <f t="shared" ca="1" si="107"/>
        <v/>
      </c>
      <c r="U99" s="59" t="str">
        <f t="shared" ca="1" si="107"/>
        <v/>
      </c>
    </row>
    <row r="100" spans="1:21" ht="15" thickBot="1" x14ac:dyDescent="0.35">
      <c r="A100" s="68"/>
      <c r="B100" s="21"/>
      <c r="C100" s="61"/>
      <c r="D100" s="61"/>
      <c r="E100" s="67"/>
      <c r="F100" s="69" t="str">
        <f t="shared" ca="1" si="72"/>
        <v/>
      </c>
      <c r="G100" s="64" t="str">
        <f t="shared" ca="1" si="73"/>
        <v/>
      </c>
      <c r="H100" s="70" t="str">
        <f t="shared" si="74"/>
        <v/>
      </c>
      <c r="I100" s="66" t="str">
        <f t="shared" si="75"/>
        <v/>
      </c>
      <c r="J100" s="59" t="str">
        <f t="shared" ref="J100:U100" ca="1" si="108">IF($A100="","",
IF($C100&gt;J$3+6,0,IF($D100&gt;=J$3,$I100*5,0)
-IF($D100&gt;=J$3,IF(K$3&gt;$D100,NETWORKDAYS($D100,K$3)-2,0)*$I100,0)
-IF(AND($C100&gt;=J$3,$C100&lt;K$3),($C100-J$3)*$I100,0))
-IF(AND(TODAY()&gt;=J$3,TODAY()&lt;K$3),IF(TODAY()&gt;$C100,NETWORKDAYS($C100,TODAY()-1)*$I100,0),0)
)</f>
        <v/>
      </c>
      <c r="K100" s="59" t="str">
        <f t="shared" ca="1" si="108"/>
        <v/>
      </c>
      <c r="L100" s="59" t="str">
        <f t="shared" ca="1" si="108"/>
        <v/>
      </c>
      <c r="M100" s="59" t="str">
        <f t="shared" ca="1" si="108"/>
        <v/>
      </c>
      <c r="N100" s="59" t="str">
        <f t="shared" ca="1" si="108"/>
        <v/>
      </c>
      <c r="O100" s="59" t="str">
        <f t="shared" ca="1" si="108"/>
        <v/>
      </c>
      <c r="P100" s="59" t="str">
        <f t="shared" ca="1" si="108"/>
        <v/>
      </c>
      <c r="Q100" s="59" t="str">
        <f t="shared" ca="1" si="108"/>
        <v/>
      </c>
      <c r="R100" s="59" t="str">
        <f t="shared" ca="1" si="108"/>
        <v/>
      </c>
      <c r="S100" s="59" t="str">
        <f t="shared" ca="1" si="108"/>
        <v/>
      </c>
      <c r="T100" s="59" t="str">
        <f t="shared" ca="1" si="108"/>
        <v/>
      </c>
      <c r="U100" s="59" t="str">
        <f t="shared" ca="1" si="108"/>
        <v/>
      </c>
    </row>
    <row r="101" spans="1:21" ht="15" thickBot="1" x14ac:dyDescent="0.35">
      <c r="A101" s="68"/>
      <c r="B101" s="21"/>
      <c r="C101" s="61"/>
      <c r="D101" s="61"/>
      <c r="E101" s="67"/>
      <c r="F101" s="69" t="str">
        <f t="shared" ca="1" si="72"/>
        <v/>
      </c>
      <c r="G101" s="64" t="str">
        <f t="shared" ca="1" si="73"/>
        <v/>
      </c>
      <c r="H101" s="70" t="str">
        <f t="shared" si="74"/>
        <v/>
      </c>
      <c r="I101" s="66" t="str">
        <f t="shared" si="75"/>
        <v/>
      </c>
      <c r="J101" s="59" t="str">
        <f t="shared" ref="J101:U101" ca="1" si="109">IF($A101="","",
IF($C101&gt;J$3+6,0,IF($D101&gt;=J$3,$I101*5,0)
-IF($D101&gt;=J$3,IF(K$3&gt;$D101,NETWORKDAYS($D101,K$3)-2,0)*$I101,0)
-IF(AND($C101&gt;=J$3,$C101&lt;K$3),($C101-J$3)*$I101,0))
-IF(AND(TODAY()&gt;=J$3,TODAY()&lt;K$3),IF(TODAY()&gt;$C101,NETWORKDAYS($C101,TODAY()-1)*$I101,0),0)
)</f>
        <v/>
      </c>
      <c r="K101" s="59" t="str">
        <f t="shared" ca="1" si="109"/>
        <v/>
      </c>
      <c r="L101" s="59" t="str">
        <f t="shared" ca="1" si="109"/>
        <v/>
      </c>
      <c r="M101" s="59" t="str">
        <f t="shared" ca="1" si="109"/>
        <v/>
      </c>
      <c r="N101" s="59" t="str">
        <f t="shared" ca="1" si="109"/>
        <v/>
      </c>
      <c r="O101" s="59" t="str">
        <f t="shared" ca="1" si="109"/>
        <v/>
      </c>
      <c r="P101" s="59" t="str">
        <f t="shared" ca="1" si="109"/>
        <v/>
      </c>
      <c r="Q101" s="59" t="str">
        <f t="shared" ca="1" si="109"/>
        <v/>
      </c>
      <c r="R101" s="59" t="str">
        <f t="shared" ca="1" si="109"/>
        <v/>
      </c>
      <c r="S101" s="59" t="str">
        <f t="shared" ca="1" si="109"/>
        <v/>
      </c>
      <c r="T101" s="59" t="str">
        <f t="shared" ca="1" si="109"/>
        <v/>
      </c>
      <c r="U101" s="59" t="str">
        <f t="shared" ca="1" si="109"/>
        <v/>
      </c>
    </row>
    <row r="102" spans="1:21" ht="15" thickBot="1" x14ac:dyDescent="0.35">
      <c r="A102" s="68"/>
      <c r="B102" s="21"/>
      <c r="C102" s="61"/>
      <c r="D102" s="61"/>
      <c r="E102" s="67"/>
      <c r="F102" s="69" t="str">
        <f t="shared" ca="1" si="72"/>
        <v/>
      </c>
      <c r="G102" s="64" t="str">
        <f t="shared" ca="1" si="73"/>
        <v/>
      </c>
      <c r="H102" s="70" t="str">
        <f t="shared" si="74"/>
        <v/>
      </c>
      <c r="I102" s="66" t="str">
        <f t="shared" si="75"/>
        <v/>
      </c>
      <c r="J102" s="59" t="str">
        <f t="shared" ref="J102:U102" ca="1" si="110">IF($A102="","",
IF($C102&gt;J$3+6,0,IF($D102&gt;=J$3,$I102*5,0)
-IF($D102&gt;=J$3,IF(K$3&gt;$D102,NETWORKDAYS($D102,K$3)-2,0)*$I102,0)
-IF(AND($C102&gt;=J$3,$C102&lt;K$3),($C102-J$3)*$I102,0))
-IF(AND(TODAY()&gt;=J$3,TODAY()&lt;K$3),IF(TODAY()&gt;$C102,NETWORKDAYS($C102,TODAY()-1)*$I102,0),0)
)</f>
        <v/>
      </c>
      <c r="K102" s="59" t="str">
        <f t="shared" ca="1" si="110"/>
        <v/>
      </c>
      <c r="L102" s="59" t="str">
        <f t="shared" ca="1" si="110"/>
        <v/>
      </c>
      <c r="M102" s="59" t="str">
        <f t="shared" ca="1" si="110"/>
        <v/>
      </c>
      <c r="N102" s="59" t="str">
        <f t="shared" ca="1" si="110"/>
        <v/>
      </c>
      <c r="O102" s="59" t="str">
        <f t="shared" ca="1" si="110"/>
        <v/>
      </c>
      <c r="P102" s="59" t="str">
        <f t="shared" ca="1" si="110"/>
        <v/>
      </c>
      <c r="Q102" s="59" t="str">
        <f t="shared" ca="1" si="110"/>
        <v/>
      </c>
      <c r="R102" s="59" t="str">
        <f t="shared" ca="1" si="110"/>
        <v/>
      </c>
      <c r="S102" s="59" t="str">
        <f t="shared" ca="1" si="110"/>
        <v/>
      </c>
      <c r="T102" s="59" t="str">
        <f t="shared" ca="1" si="110"/>
        <v/>
      </c>
      <c r="U102" s="59" t="str">
        <f t="shared" ca="1" si="110"/>
        <v/>
      </c>
    </row>
    <row r="103" spans="1:21" ht="15" thickBot="1" x14ac:dyDescent="0.35">
      <c r="A103" s="68"/>
      <c r="B103" s="21"/>
      <c r="C103" s="61"/>
      <c r="D103" s="61"/>
      <c r="E103" s="67"/>
      <c r="F103" s="69" t="str">
        <f t="shared" ca="1" si="72"/>
        <v/>
      </c>
      <c r="G103" s="64" t="str">
        <f t="shared" ca="1" si="73"/>
        <v/>
      </c>
      <c r="H103" s="70" t="str">
        <f t="shared" si="74"/>
        <v/>
      </c>
      <c r="I103" s="66" t="str">
        <f t="shared" si="75"/>
        <v/>
      </c>
      <c r="J103" s="59" t="str">
        <f t="shared" ref="J103:U103" ca="1" si="111">IF($A103="","",
IF($C103&gt;J$3+6,0,IF($D103&gt;=J$3,$I103*5,0)
-IF($D103&gt;=J$3,IF(K$3&gt;$D103,NETWORKDAYS($D103,K$3)-2,0)*$I103,0)
-IF(AND($C103&gt;=J$3,$C103&lt;K$3),($C103-J$3)*$I103,0))
-IF(AND(TODAY()&gt;=J$3,TODAY()&lt;K$3),IF(TODAY()&gt;$C103,NETWORKDAYS($C103,TODAY()-1)*$I103,0),0)
)</f>
        <v/>
      </c>
      <c r="K103" s="59" t="str">
        <f t="shared" ca="1" si="111"/>
        <v/>
      </c>
      <c r="L103" s="59" t="str">
        <f t="shared" ca="1" si="111"/>
        <v/>
      </c>
      <c r="M103" s="59" t="str">
        <f t="shared" ca="1" si="111"/>
        <v/>
      </c>
      <c r="N103" s="59" t="str">
        <f t="shared" ca="1" si="111"/>
        <v/>
      </c>
      <c r="O103" s="59" t="str">
        <f t="shared" ca="1" si="111"/>
        <v/>
      </c>
      <c r="P103" s="59" t="str">
        <f t="shared" ca="1" si="111"/>
        <v/>
      </c>
      <c r="Q103" s="59" t="str">
        <f t="shared" ca="1" si="111"/>
        <v/>
      </c>
      <c r="R103" s="59" t="str">
        <f t="shared" ca="1" si="111"/>
        <v/>
      </c>
      <c r="S103" s="59" t="str">
        <f t="shared" ca="1" si="111"/>
        <v/>
      </c>
      <c r="T103" s="59" t="str">
        <f t="shared" ca="1" si="111"/>
        <v/>
      </c>
      <c r="U103" s="59" t="str">
        <f t="shared" ca="1" si="111"/>
        <v/>
      </c>
    </row>
    <row r="104" spans="1:21" ht="15" thickBot="1" x14ac:dyDescent="0.35">
      <c r="A104" s="68"/>
      <c r="B104" s="21"/>
      <c r="C104" s="61"/>
      <c r="D104" s="61"/>
      <c r="E104" s="67"/>
      <c r="F104" s="69" t="str">
        <f t="shared" ca="1" si="72"/>
        <v/>
      </c>
      <c r="G104" s="64" t="str">
        <f t="shared" ca="1" si="73"/>
        <v/>
      </c>
      <c r="H104" s="70" t="str">
        <f t="shared" si="74"/>
        <v/>
      </c>
      <c r="I104" s="66" t="str">
        <f t="shared" si="75"/>
        <v/>
      </c>
      <c r="J104" s="59" t="str">
        <f t="shared" ref="J104:U104" ca="1" si="112">IF($A104="","",
IF($C104&gt;J$3+6,0,IF($D104&gt;=J$3,$I104*5,0)
-IF($D104&gt;=J$3,IF(K$3&gt;$D104,NETWORKDAYS($D104,K$3)-2,0)*$I104,0)
-IF(AND($C104&gt;=J$3,$C104&lt;K$3),($C104-J$3)*$I104,0))
-IF(AND(TODAY()&gt;=J$3,TODAY()&lt;K$3),IF(TODAY()&gt;$C104,NETWORKDAYS($C104,TODAY()-1)*$I104,0),0)
)</f>
        <v/>
      </c>
      <c r="K104" s="59" t="str">
        <f t="shared" ca="1" si="112"/>
        <v/>
      </c>
      <c r="L104" s="59" t="str">
        <f t="shared" ca="1" si="112"/>
        <v/>
      </c>
      <c r="M104" s="59" t="str">
        <f t="shared" ca="1" si="112"/>
        <v/>
      </c>
      <c r="N104" s="59" t="str">
        <f t="shared" ca="1" si="112"/>
        <v/>
      </c>
      <c r="O104" s="59" t="str">
        <f t="shared" ca="1" si="112"/>
        <v/>
      </c>
      <c r="P104" s="59" t="str">
        <f t="shared" ca="1" si="112"/>
        <v/>
      </c>
      <c r="Q104" s="59" t="str">
        <f t="shared" ca="1" si="112"/>
        <v/>
      </c>
      <c r="R104" s="59" t="str">
        <f t="shared" ca="1" si="112"/>
        <v/>
      </c>
      <c r="S104" s="59" t="str">
        <f t="shared" ca="1" si="112"/>
        <v/>
      </c>
      <c r="T104" s="59" t="str">
        <f t="shared" ca="1" si="112"/>
        <v/>
      </c>
      <c r="U104" s="59" t="str">
        <f t="shared" ca="1" si="112"/>
        <v/>
      </c>
    </row>
    <row r="105" spans="1:21" ht="15" thickBot="1" x14ac:dyDescent="0.35">
      <c r="A105" s="68"/>
      <c r="B105" s="21"/>
      <c r="C105" s="61"/>
      <c r="D105" s="61"/>
      <c r="E105" s="67"/>
      <c r="F105" s="69" t="str">
        <f t="shared" ca="1" si="72"/>
        <v/>
      </c>
      <c r="G105" s="64" t="str">
        <f t="shared" ca="1" si="73"/>
        <v/>
      </c>
      <c r="H105" s="70" t="str">
        <f t="shared" si="74"/>
        <v/>
      </c>
      <c r="I105" s="66" t="str">
        <f t="shared" si="75"/>
        <v/>
      </c>
      <c r="J105" s="59" t="str">
        <f t="shared" ref="J105:U105" ca="1" si="113">IF($A105="","",
IF($C105&gt;J$3+6,0,IF($D105&gt;=J$3,$I105*5,0)
-IF($D105&gt;=J$3,IF(K$3&gt;$D105,NETWORKDAYS($D105,K$3)-2,0)*$I105,0)
-IF(AND($C105&gt;=J$3,$C105&lt;K$3),($C105-J$3)*$I105,0))
-IF(AND(TODAY()&gt;=J$3,TODAY()&lt;K$3),IF(TODAY()&gt;$C105,NETWORKDAYS($C105,TODAY()-1)*$I105,0),0)
)</f>
        <v/>
      </c>
      <c r="K105" s="59" t="str">
        <f t="shared" ca="1" si="113"/>
        <v/>
      </c>
      <c r="L105" s="59" t="str">
        <f t="shared" ca="1" si="113"/>
        <v/>
      </c>
      <c r="M105" s="59" t="str">
        <f t="shared" ca="1" si="113"/>
        <v/>
      </c>
      <c r="N105" s="59" t="str">
        <f t="shared" ca="1" si="113"/>
        <v/>
      </c>
      <c r="O105" s="59" t="str">
        <f t="shared" ca="1" si="113"/>
        <v/>
      </c>
      <c r="P105" s="59" t="str">
        <f t="shared" ca="1" si="113"/>
        <v/>
      </c>
      <c r="Q105" s="59" t="str">
        <f t="shared" ca="1" si="113"/>
        <v/>
      </c>
      <c r="R105" s="59" t="str">
        <f t="shared" ca="1" si="113"/>
        <v/>
      </c>
      <c r="S105" s="59" t="str">
        <f t="shared" ca="1" si="113"/>
        <v/>
      </c>
      <c r="T105" s="59" t="str">
        <f t="shared" ca="1" si="113"/>
        <v/>
      </c>
      <c r="U105" s="59" t="str">
        <f t="shared" ca="1" si="113"/>
        <v/>
      </c>
    </row>
    <row r="106" spans="1:21" ht="15" thickBot="1" x14ac:dyDescent="0.35">
      <c r="A106" s="68"/>
      <c r="B106" s="21"/>
      <c r="C106" s="61"/>
      <c r="D106" s="61"/>
      <c r="E106" s="67"/>
      <c r="F106" s="69" t="str">
        <f t="shared" ca="1" si="72"/>
        <v/>
      </c>
      <c r="G106" s="64" t="str">
        <f t="shared" ca="1" si="73"/>
        <v/>
      </c>
      <c r="H106" s="70" t="str">
        <f t="shared" si="74"/>
        <v/>
      </c>
      <c r="I106" s="66" t="str">
        <f t="shared" si="75"/>
        <v/>
      </c>
      <c r="J106" s="59" t="str">
        <f t="shared" ref="J106:U106" ca="1" si="114">IF($A106="","",
IF($C106&gt;J$3+6,0,IF($D106&gt;=J$3,$I106*5,0)
-IF($D106&gt;=J$3,IF(K$3&gt;$D106,NETWORKDAYS($D106,K$3)-2,0)*$I106,0)
-IF(AND($C106&gt;=J$3,$C106&lt;K$3),($C106-J$3)*$I106,0))
-IF(AND(TODAY()&gt;=J$3,TODAY()&lt;K$3),IF(TODAY()&gt;$C106,NETWORKDAYS($C106,TODAY()-1)*$I106,0),0)
)</f>
        <v/>
      </c>
      <c r="K106" s="59" t="str">
        <f t="shared" ca="1" si="114"/>
        <v/>
      </c>
      <c r="L106" s="59" t="str">
        <f t="shared" ca="1" si="114"/>
        <v/>
      </c>
      <c r="M106" s="59" t="str">
        <f t="shared" ca="1" si="114"/>
        <v/>
      </c>
      <c r="N106" s="59" t="str">
        <f t="shared" ca="1" si="114"/>
        <v/>
      </c>
      <c r="O106" s="59" t="str">
        <f t="shared" ca="1" si="114"/>
        <v/>
      </c>
      <c r="P106" s="59" t="str">
        <f t="shared" ca="1" si="114"/>
        <v/>
      </c>
      <c r="Q106" s="59" t="str">
        <f t="shared" ca="1" si="114"/>
        <v/>
      </c>
      <c r="R106" s="59" t="str">
        <f t="shared" ca="1" si="114"/>
        <v/>
      </c>
      <c r="S106" s="59" t="str">
        <f t="shared" ca="1" si="114"/>
        <v/>
      </c>
      <c r="T106" s="59" t="str">
        <f t="shared" ca="1" si="114"/>
        <v/>
      </c>
      <c r="U106" s="59" t="str">
        <f t="shared" ca="1" si="114"/>
        <v/>
      </c>
    </row>
    <row r="107" spans="1:21" ht="15" thickBot="1" x14ac:dyDescent="0.35">
      <c r="A107" s="68"/>
      <c r="B107" s="21"/>
      <c r="C107" s="61"/>
      <c r="D107" s="61"/>
      <c r="E107" s="67"/>
      <c r="F107" s="69" t="str">
        <f t="shared" ca="1" si="72"/>
        <v/>
      </c>
      <c r="G107" s="64" t="str">
        <f t="shared" ca="1" si="73"/>
        <v/>
      </c>
      <c r="H107" s="70" t="str">
        <f t="shared" si="74"/>
        <v/>
      </c>
      <c r="I107" s="66" t="str">
        <f t="shared" si="75"/>
        <v/>
      </c>
      <c r="J107" s="59" t="str">
        <f t="shared" ref="J107:U107" ca="1" si="115">IF($A107="","",
IF($C107&gt;J$3+6,0,IF($D107&gt;=J$3,$I107*5,0)
-IF($D107&gt;=J$3,IF(K$3&gt;$D107,NETWORKDAYS($D107,K$3)-2,0)*$I107,0)
-IF(AND($C107&gt;=J$3,$C107&lt;K$3),($C107-J$3)*$I107,0))
-IF(AND(TODAY()&gt;=J$3,TODAY()&lt;K$3),IF(TODAY()&gt;$C107,NETWORKDAYS($C107,TODAY()-1)*$I107,0),0)
)</f>
        <v/>
      </c>
      <c r="K107" s="59" t="str">
        <f t="shared" ca="1" si="115"/>
        <v/>
      </c>
      <c r="L107" s="59" t="str">
        <f t="shared" ca="1" si="115"/>
        <v/>
      </c>
      <c r="M107" s="59" t="str">
        <f t="shared" ca="1" si="115"/>
        <v/>
      </c>
      <c r="N107" s="59" t="str">
        <f t="shared" ca="1" si="115"/>
        <v/>
      </c>
      <c r="O107" s="59" t="str">
        <f t="shared" ca="1" si="115"/>
        <v/>
      </c>
      <c r="P107" s="59" t="str">
        <f t="shared" ca="1" si="115"/>
        <v/>
      </c>
      <c r="Q107" s="59" t="str">
        <f t="shared" ca="1" si="115"/>
        <v/>
      </c>
      <c r="R107" s="59" t="str">
        <f t="shared" ca="1" si="115"/>
        <v/>
      </c>
      <c r="S107" s="59" t="str">
        <f t="shared" ca="1" si="115"/>
        <v/>
      </c>
      <c r="T107" s="59" t="str">
        <f t="shared" ca="1" si="115"/>
        <v/>
      </c>
      <c r="U107" s="59" t="str">
        <f t="shared" ca="1" si="115"/>
        <v/>
      </c>
    </row>
    <row r="108" spans="1:21" ht="15" thickBot="1" x14ac:dyDescent="0.35">
      <c r="A108" s="68"/>
      <c r="B108" s="21"/>
      <c r="C108" s="61"/>
      <c r="D108" s="61"/>
      <c r="E108" s="67"/>
      <c r="F108" s="69" t="str">
        <f t="shared" ca="1" si="72"/>
        <v/>
      </c>
      <c r="G108" s="64" t="str">
        <f t="shared" ca="1" si="73"/>
        <v/>
      </c>
      <c r="H108" s="70" t="str">
        <f t="shared" si="74"/>
        <v/>
      </c>
      <c r="I108" s="66" t="str">
        <f t="shared" si="75"/>
        <v/>
      </c>
      <c r="J108" s="59" t="str">
        <f t="shared" ref="J108:U108" ca="1" si="116">IF($A108="","",
IF($C108&gt;J$3+6,0,IF($D108&gt;=J$3,$I108*5,0)
-IF($D108&gt;=J$3,IF(K$3&gt;$D108,NETWORKDAYS($D108,K$3)-2,0)*$I108,0)
-IF(AND($C108&gt;=J$3,$C108&lt;K$3),($C108-J$3)*$I108,0))
-IF(AND(TODAY()&gt;=J$3,TODAY()&lt;K$3),IF(TODAY()&gt;$C108,NETWORKDAYS($C108,TODAY()-1)*$I108,0),0)
)</f>
        <v/>
      </c>
      <c r="K108" s="59" t="str">
        <f t="shared" ca="1" si="116"/>
        <v/>
      </c>
      <c r="L108" s="59" t="str">
        <f t="shared" ca="1" si="116"/>
        <v/>
      </c>
      <c r="M108" s="59" t="str">
        <f t="shared" ca="1" si="116"/>
        <v/>
      </c>
      <c r="N108" s="59" t="str">
        <f t="shared" ca="1" si="116"/>
        <v/>
      </c>
      <c r="O108" s="59" t="str">
        <f t="shared" ca="1" si="116"/>
        <v/>
      </c>
      <c r="P108" s="59" t="str">
        <f t="shared" ca="1" si="116"/>
        <v/>
      </c>
      <c r="Q108" s="59" t="str">
        <f t="shared" ca="1" si="116"/>
        <v/>
      </c>
      <c r="R108" s="59" t="str">
        <f t="shared" ca="1" si="116"/>
        <v/>
      </c>
      <c r="S108" s="59" t="str">
        <f t="shared" ca="1" si="116"/>
        <v/>
      </c>
      <c r="T108" s="59" t="str">
        <f t="shared" ca="1" si="116"/>
        <v/>
      </c>
      <c r="U108" s="59" t="str">
        <f t="shared" ca="1" si="116"/>
        <v/>
      </c>
    </row>
    <row r="109" spans="1:21" ht="15" thickBot="1" x14ac:dyDescent="0.35">
      <c r="A109" s="68"/>
      <c r="B109" s="21"/>
      <c r="C109" s="61"/>
      <c r="D109" s="61"/>
      <c r="E109" s="67"/>
      <c r="F109" s="69" t="str">
        <f t="shared" ca="1" si="72"/>
        <v/>
      </c>
      <c r="G109" s="64" t="str">
        <f t="shared" ca="1" si="73"/>
        <v/>
      </c>
      <c r="H109" s="70" t="str">
        <f t="shared" si="74"/>
        <v/>
      </c>
      <c r="I109" s="66" t="str">
        <f t="shared" si="75"/>
        <v/>
      </c>
      <c r="J109" s="59" t="str">
        <f t="shared" ref="J109:U109" ca="1" si="117">IF($A109="","",
IF($C109&gt;J$3+6,0,IF($D109&gt;=J$3,$I109*5,0)
-IF($D109&gt;=J$3,IF(K$3&gt;$D109,NETWORKDAYS($D109,K$3)-2,0)*$I109,0)
-IF(AND($C109&gt;=J$3,$C109&lt;K$3),($C109-J$3)*$I109,0))
-IF(AND(TODAY()&gt;=J$3,TODAY()&lt;K$3),IF(TODAY()&gt;$C109,NETWORKDAYS($C109,TODAY()-1)*$I109,0),0)
)</f>
        <v/>
      </c>
      <c r="K109" s="59" t="str">
        <f t="shared" ca="1" si="117"/>
        <v/>
      </c>
      <c r="L109" s="59" t="str">
        <f t="shared" ca="1" si="117"/>
        <v/>
      </c>
      <c r="M109" s="59" t="str">
        <f t="shared" ca="1" si="117"/>
        <v/>
      </c>
      <c r="N109" s="59" t="str">
        <f t="shared" ca="1" si="117"/>
        <v/>
      </c>
      <c r="O109" s="59" t="str">
        <f t="shared" ca="1" si="117"/>
        <v/>
      </c>
      <c r="P109" s="59" t="str">
        <f t="shared" ca="1" si="117"/>
        <v/>
      </c>
      <c r="Q109" s="59" t="str">
        <f t="shared" ca="1" si="117"/>
        <v/>
      </c>
      <c r="R109" s="59" t="str">
        <f t="shared" ca="1" si="117"/>
        <v/>
      </c>
      <c r="S109" s="59" t="str">
        <f t="shared" ca="1" si="117"/>
        <v/>
      </c>
      <c r="T109" s="59" t="str">
        <f t="shared" ca="1" si="117"/>
        <v/>
      </c>
      <c r="U109" s="59" t="str">
        <f t="shared" ca="1" si="117"/>
        <v/>
      </c>
    </row>
    <row r="110" spans="1:21" ht="15" thickBot="1" x14ac:dyDescent="0.35">
      <c r="A110" s="68"/>
      <c r="B110" s="21"/>
      <c r="C110" s="61"/>
      <c r="D110" s="61"/>
      <c r="E110" s="67"/>
      <c r="F110" s="69" t="str">
        <f t="shared" ca="1" si="72"/>
        <v/>
      </c>
      <c r="G110" s="64" t="str">
        <f t="shared" ca="1" si="73"/>
        <v/>
      </c>
      <c r="H110" s="70" t="str">
        <f t="shared" si="74"/>
        <v/>
      </c>
      <c r="I110" s="66" t="str">
        <f t="shared" si="75"/>
        <v/>
      </c>
      <c r="J110" s="59" t="str">
        <f t="shared" ref="J110:U110" ca="1" si="118">IF($A110="","",
IF($C110&gt;J$3+6,0,IF($D110&gt;=J$3,$I110*5,0)
-IF($D110&gt;=J$3,IF(K$3&gt;$D110,NETWORKDAYS($D110,K$3)-2,0)*$I110,0)
-IF(AND($C110&gt;=J$3,$C110&lt;K$3),($C110-J$3)*$I110,0))
-IF(AND(TODAY()&gt;=J$3,TODAY()&lt;K$3),IF(TODAY()&gt;$C110,NETWORKDAYS($C110,TODAY()-1)*$I110,0),0)
)</f>
        <v/>
      </c>
      <c r="K110" s="59" t="str">
        <f t="shared" ca="1" si="118"/>
        <v/>
      </c>
      <c r="L110" s="59" t="str">
        <f t="shared" ca="1" si="118"/>
        <v/>
      </c>
      <c r="M110" s="59" t="str">
        <f t="shared" ca="1" si="118"/>
        <v/>
      </c>
      <c r="N110" s="59" t="str">
        <f t="shared" ca="1" si="118"/>
        <v/>
      </c>
      <c r="O110" s="59" t="str">
        <f t="shared" ca="1" si="118"/>
        <v/>
      </c>
      <c r="P110" s="59" t="str">
        <f t="shared" ca="1" si="118"/>
        <v/>
      </c>
      <c r="Q110" s="59" t="str">
        <f t="shared" ca="1" si="118"/>
        <v/>
      </c>
      <c r="R110" s="59" t="str">
        <f t="shared" ca="1" si="118"/>
        <v/>
      </c>
      <c r="S110" s="59" t="str">
        <f t="shared" ca="1" si="118"/>
        <v/>
      </c>
      <c r="T110" s="59" t="str">
        <f t="shared" ca="1" si="118"/>
        <v/>
      </c>
      <c r="U110" s="59" t="str">
        <f t="shared" ca="1" si="118"/>
        <v/>
      </c>
    </row>
    <row r="111" spans="1:21" ht="15" thickBot="1" x14ac:dyDescent="0.35">
      <c r="A111" s="68"/>
      <c r="B111" s="21"/>
      <c r="C111" s="61"/>
      <c r="D111" s="61"/>
      <c r="E111" s="67"/>
      <c r="F111" s="69" t="str">
        <f t="shared" ca="1" si="72"/>
        <v/>
      </c>
      <c r="G111" s="64" t="str">
        <f t="shared" ca="1" si="73"/>
        <v/>
      </c>
      <c r="H111" s="70" t="str">
        <f t="shared" si="74"/>
        <v/>
      </c>
      <c r="I111" s="66" t="str">
        <f t="shared" si="75"/>
        <v/>
      </c>
      <c r="J111" s="59" t="str">
        <f t="shared" ref="J111:U111" ca="1" si="119">IF($A111="","",
IF($C111&gt;J$3+6,0,IF($D111&gt;=J$3,$I111*5,0)
-IF($D111&gt;=J$3,IF(K$3&gt;$D111,NETWORKDAYS($D111,K$3)-2,0)*$I111,0)
-IF(AND($C111&gt;=J$3,$C111&lt;K$3),($C111-J$3)*$I111,0))
-IF(AND(TODAY()&gt;=J$3,TODAY()&lt;K$3),IF(TODAY()&gt;$C111,NETWORKDAYS($C111,TODAY()-1)*$I111,0),0)
)</f>
        <v/>
      </c>
      <c r="K111" s="59" t="str">
        <f t="shared" ca="1" si="119"/>
        <v/>
      </c>
      <c r="L111" s="59" t="str">
        <f t="shared" ca="1" si="119"/>
        <v/>
      </c>
      <c r="M111" s="59" t="str">
        <f t="shared" ca="1" si="119"/>
        <v/>
      </c>
      <c r="N111" s="59" t="str">
        <f t="shared" ca="1" si="119"/>
        <v/>
      </c>
      <c r="O111" s="59" t="str">
        <f t="shared" ca="1" si="119"/>
        <v/>
      </c>
      <c r="P111" s="59" t="str">
        <f t="shared" ca="1" si="119"/>
        <v/>
      </c>
      <c r="Q111" s="59" t="str">
        <f t="shared" ca="1" si="119"/>
        <v/>
      </c>
      <c r="R111" s="59" t="str">
        <f t="shared" ca="1" si="119"/>
        <v/>
      </c>
      <c r="S111" s="59" t="str">
        <f t="shared" ca="1" si="119"/>
        <v/>
      </c>
      <c r="T111" s="59" t="str">
        <f t="shared" ca="1" si="119"/>
        <v/>
      </c>
      <c r="U111" s="59" t="str">
        <f t="shared" ca="1" si="119"/>
        <v/>
      </c>
    </row>
    <row r="112" spans="1:21" ht="15" thickBot="1" x14ac:dyDescent="0.35">
      <c r="A112" s="68"/>
      <c r="B112" s="21"/>
      <c r="C112" s="61"/>
      <c r="D112" s="61"/>
      <c r="E112" s="67"/>
      <c r="F112" s="69" t="str">
        <f t="shared" ca="1" si="72"/>
        <v/>
      </c>
      <c r="G112" s="64" t="str">
        <f t="shared" ca="1" si="73"/>
        <v/>
      </c>
      <c r="H112" s="70" t="str">
        <f t="shared" si="74"/>
        <v/>
      </c>
      <c r="I112" s="66" t="str">
        <f t="shared" si="75"/>
        <v/>
      </c>
      <c r="J112" s="59" t="str">
        <f t="shared" ref="J112:U112" ca="1" si="120">IF($A112="","",
IF($C112&gt;J$3+6,0,IF($D112&gt;=J$3,$I112*5,0)
-IF($D112&gt;=J$3,IF(K$3&gt;$D112,NETWORKDAYS($D112,K$3)-2,0)*$I112,0)
-IF(AND($C112&gt;=J$3,$C112&lt;K$3),($C112-J$3)*$I112,0))
-IF(AND(TODAY()&gt;=J$3,TODAY()&lt;K$3),IF(TODAY()&gt;$C112,NETWORKDAYS($C112,TODAY()-1)*$I112,0),0)
)</f>
        <v/>
      </c>
      <c r="K112" s="59" t="str">
        <f t="shared" ca="1" si="120"/>
        <v/>
      </c>
      <c r="L112" s="59" t="str">
        <f t="shared" ca="1" si="120"/>
        <v/>
      </c>
      <c r="M112" s="59" t="str">
        <f t="shared" ca="1" si="120"/>
        <v/>
      </c>
      <c r="N112" s="59" t="str">
        <f t="shared" ca="1" si="120"/>
        <v/>
      </c>
      <c r="O112" s="59" t="str">
        <f t="shared" ca="1" si="120"/>
        <v/>
      </c>
      <c r="P112" s="59" t="str">
        <f t="shared" ca="1" si="120"/>
        <v/>
      </c>
      <c r="Q112" s="59" t="str">
        <f t="shared" ca="1" si="120"/>
        <v/>
      </c>
      <c r="R112" s="59" t="str">
        <f t="shared" ca="1" si="120"/>
        <v/>
      </c>
      <c r="S112" s="59" t="str">
        <f t="shared" ca="1" si="120"/>
        <v/>
      </c>
      <c r="T112" s="59" t="str">
        <f t="shared" ca="1" si="120"/>
        <v/>
      </c>
      <c r="U112" s="59" t="str">
        <f t="shared" ca="1" si="120"/>
        <v/>
      </c>
    </row>
    <row r="113" spans="1:21" ht="15" thickBot="1" x14ac:dyDescent="0.35">
      <c r="A113" s="68"/>
      <c r="B113" s="21"/>
      <c r="C113" s="61"/>
      <c r="D113" s="61"/>
      <c r="E113" s="67"/>
      <c r="F113" s="69" t="str">
        <f t="shared" ca="1" si="72"/>
        <v/>
      </c>
      <c r="G113" s="64" t="str">
        <f t="shared" ca="1" si="73"/>
        <v/>
      </c>
      <c r="H113" s="70" t="str">
        <f t="shared" si="74"/>
        <v/>
      </c>
      <c r="I113" s="66" t="str">
        <f t="shared" si="75"/>
        <v/>
      </c>
      <c r="J113" s="59" t="str">
        <f t="shared" ref="J113:U113" ca="1" si="121">IF($A113="","",
IF($C113&gt;J$3+6,0,IF($D113&gt;=J$3,$I113*5,0)
-IF($D113&gt;=J$3,IF(K$3&gt;$D113,NETWORKDAYS($D113,K$3)-2,0)*$I113,0)
-IF(AND($C113&gt;=J$3,$C113&lt;K$3),($C113-J$3)*$I113,0))
-IF(AND(TODAY()&gt;=J$3,TODAY()&lt;K$3),IF(TODAY()&gt;$C113,NETWORKDAYS($C113,TODAY()-1)*$I113,0),0)
)</f>
        <v/>
      </c>
      <c r="K113" s="59" t="str">
        <f t="shared" ca="1" si="121"/>
        <v/>
      </c>
      <c r="L113" s="59" t="str">
        <f t="shared" ca="1" si="121"/>
        <v/>
      </c>
      <c r="M113" s="59" t="str">
        <f t="shared" ca="1" si="121"/>
        <v/>
      </c>
      <c r="N113" s="59" t="str">
        <f t="shared" ca="1" si="121"/>
        <v/>
      </c>
      <c r="O113" s="59" t="str">
        <f t="shared" ca="1" si="121"/>
        <v/>
      </c>
      <c r="P113" s="59" t="str">
        <f t="shared" ca="1" si="121"/>
        <v/>
      </c>
      <c r="Q113" s="59" t="str">
        <f t="shared" ca="1" si="121"/>
        <v/>
      </c>
      <c r="R113" s="59" t="str">
        <f t="shared" ca="1" si="121"/>
        <v/>
      </c>
      <c r="S113" s="59" t="str">
        <f t="shared" ca="1" si="121"/>
        <v/>
      </c>
      <c r="T113" s="59" t="str">
        <f t="shared" ca="1" si="121"/>
        <v/>
      </c>
      <c r="U113" s="59" t="str">
        <f t="shared" ca="1" si="121"/>
        <v/>
      </c>
    </row>
    <row r="114" spans="1:21" ht="15" thickBot="1" x14ac:dyDescent="0.35">
      <c r="A114" s="68"/>
      <c r="B114" s="21"/>
      <c r="C114" s="61"/>
      <c r="D114" s="61"/>
      <c r="E114" s="67"/>
      <c r="F114" s="69" t="str">
        <f t="shared" ca="1" si="72"/>
        <v/>
      </c>
      <c r="G114" s="64" t="str">
        <f t="shared" ca="1" si="73"/>
        <v/>
      </c>
      <c r="H114" s="70" t="str">
        <f t="shared" si="74"/>
        <v/>
      </c>
      <c r="I114" s="66" t="str">
        <f t="shared" si="75"/>
        <v/>
      </c>
      <c r="J114" s="59" t="str">
        <f t="shared" ref="J114:U114" ca="1" si="122">IF($A114="","",
IF($C114&gt;J$3+6,0,IF($D114&gt;=J$3,$I114*5,0)
-IF($D114&gt;=J$3,IF(K$3&gt;$D114,NETWORKDAYS($D114,K$3)-2,0)*$I114,0)
-IF(AND($C114&gt;=J$3,$C114&lt;K$3),($C114-J$3)*$I114,0))
-IF(AND(TODAY()&gt;=J$3,TODAY()&lt;K$3),IF(TODAY()&gt;$C114,NETWORKDAYS($C114,TODAY()-1)*$I114,0),0)
)</f>
        <v/>
      </c>
      <c r="K114" s="59" t="str">
        <f t="shared" ca="1" si="122"/>
        <v/>
      </c>
      <c r="L114" s="59" t="str">
        <f t="shared" ca="1" si="122"/>
        <v/>
      </c>
      <c r="M114" s="59" t="str">
        <f t="shared" ca="1" si="122"/>
        <v/>
      </c>
      <c r="N114" s="59" t="str">
        <f t="shared" ca="1" si="122"/>
        <v/>
      </c>
      <c r="O114" s="59" t="str">
        <f t="shared" ca="1" si="122"/>
        <v/>
      </c>
      <c r="P114" s="59" t="str">
        <f t="shared" ca="1" si="122"/>
        <v/>
      </c>
      <c r="Q114" s="59" t="str">
        <f t="shared" ca="1" si="122"/>
        <v/>
      </c>
      <c r="R114" s="59" t="str">
        <f t="shared" ca="1" si="122"/>
        <v/>
      </c>
      <c r="S114" s="59" t="str">
        <f t="shared" ca="1" si="122"/>
        <v/>
      </c>
      <c r="T114" s="59" t="str">
        <f t="shared" ca="1" si="122"/>
        <v/>
      </c>
      <c r="U114" s="59" t="str">
        <f t="shared" ca="1" si="122"/>
        <v/>
      </c>
    </row>
    <row r="115" spans="1:21" ht="15" thickBot="1" x14ac:dyDescent="0.35">
      <c r="A115" s="68"/>
      <c r="B115" s="21"/>
      <c r="C115" s="61"/>
      <c r="D115" s="61"/>
      <c r="E115" s="67"/>
      <c r="F115" s="69" t="str">
        <f t="shared" ca="1" si="72"/>
        <v/>
      </c>
      <c r="G115" s="64" t="str">
        <f t="shared" ca="1" si="73"/>
        <v/>
      </c>
      <c r="H115" s="70" t="str">
        <f t="shared" si="74"/>
        <v/>
      </c>
      <c r="I115" s="66" t="str">
        <f t="shared" si="75"/>
        <v/>
      </c>
      <c r="J115" s="59" t="str">
        <f t="shared" ref="J115:U115" ca="1" si="123">IF($A115="","",
IF($C115&gt;J$3+6,0,IF($D115&gt;=J$3,$I115*5,0)
-IF($D115&gt;=J$3,IF(K$3&gt;$D115,NETWORKDAYS($D115,K$3)-2,0)*$I115,0)
-IF(AND($C115&gt;=J$3,$C115&lt;K$3),($C115-J$3)*$I115,0))
-IF(AND(TODAY()&gt;=J$3,TODAY()&lt;K$3),IF(TODAY()&gt;$C115,NETWORKDAYS($C115,TODAY()-1)*$I115,0),0)
)</f>
        <v/>
      </c>
      <c r="K115" s="59" t="str">
        <f t="shared" ca="1" si="123"/>
        <v/>
      </c>
      <c r="L115" s="59" t="str">
        <f t="shared" ca="1" si="123"/>
        <v/>
      </c>
      <c r="M115" s="59" t="str">
        <f t="shared" ca="1" si="123"/>
        <v/>
      </c>
      <c r="N115" s="59" t="str">
        <f t="shared" ca="1" si="123"/>
        <v/>
      </c>
      <c r="O115" s="59" t="str">
        <f t="shared" ca="1" si="123"/>
        <v/>
      </c>
      <c r="P115" s="59" t="str">
        <f t="shared" ca="1" si="123"/>
        <v/>
      </c>
      <c r="Q115" s="59" t="str">
        <f t="shared" ca="1" si="123"/>
        <v/>
      </c>
      <c r="R115" s="59" t="str">
        <f t="shared" ca="1" si="123"/>
        <v/>
      </c>
      <c r="S115" s="59" t="str">
        <f t="shared" ca="1" si="123"/>
        <v/>
      </c>
      <c r="T115" s="59" t="str">
        <f t="shared" ca="1" si="123"/>
        <v/>
      </c>
      <c r="U115" s="59" t="str">
        <f t="shared" ca="1" si="123"/>
        <v/>
      </c>
    </row>
    <row r="116" spans="1:21" ht="15" thickBot="1" x14ac:dyDescent="0.35">
      <c r="A116" s="68"/>
      <c r="B116" s="21"/>
      <c r="C116" s="61"/>
      <c r="D116" s="61"/>
      <c r="E116" s="67"/>
      <c r="F116" s="69" t="str">
        <f t="shared" ca="1" si="72"/>
        <v/>
      </c>
      <c r="G116" s="64" t="str">
        <f t="shared" ca="1" si="73"/>
        <v/>
      </c>
      <c r="H116" s="70" t="str">
        <f t="shared" si="74"/>
        <v/>
      </c>
      <c r="I116" s="66" t="str">
        <f t="shared" si="75"/>
        <v/>
      </c>
      <c r="J116" s="59" t="str">
        <f t="shared" ref="J116:U116" ca="1" si="124">IF($A116="","",
IF($C116&gt;J$3+6,0,IF($D116&gt;=J$3,$I116*5,0)
-IF($D116&gt;=J$3,IF(K$3&gt;$D116,NETWORKDAYS($D116,K$3)-2,0)*$I116,0)
-IF(AND($C116&gt;=J$3,$C116&lt;K$3),($C116-J$3)*$I116,0))
-IF(AND(TODAY()&gt;=J$3,TODAY()&lt;K$3),IF(TODAY()&gt;$C116,NETWORKDAYS($C116,TODAY()-1)*$I116,0),0)
)</f>
        <v/>
      </c>
      <c r="K116" s="59" t="str">
        <f t="shared" ca="1" si="124"/>
        <v/>
      </c>
      <c r="L116" s="59" t="str">
        <f t="shared" ca="1" si="124"/>
        <v/>
      </c>
      <c r="M116" s="59" t="str">
        <f t="shared" ca="1" si="124"/>
        <v/>
      </c>
      <c r="N116" s="59" t="str">
        <f t="shared" ca="1" si="124"/>
        <v/>
      </c>
      <c r="O116" s="59" t="str">
        <f t="shared" ca="1" si="124"/>
        <v/>
      </c>
      <c r="P116" s="59" t="str">
        <f t="shared" ca="1" si="124"/>
        <v/>
      </c>
      <c r="Q116" s="59" t="str">
        <f t="shared" ca="1" si="124"/>
        <v/>
      </c>
      <c r="R116" s="59" t="str">
        <f t="shared" ca="1" si="124"/>
        <v/>
      </c>
      <c r="S116" s="59" t="str">
        <f t="shared" ca="1" si="124"/>
        <v/>
      </c>
      <c r="T116" s="59" t="str">
        <f t="shared" ca="1" si="124"/>
        <v/>
      </c>
      <c r="U116" s="59" t="str">
        <f t="shared" ca="1" si="124"/>
        <v/>
      </c>
    </row>
    <row r="117" spans="1:21" ht="15" thickBot="1" x14ac:dyDescent="0.35">
      <c r="A117" s="68"/>
      <c r="B117" s="21"/>
      <c r="C117" s="61"/>
      <c r="D117" s="61"/>
      <c r="E117" s="67"/>
      <c r="F117" s="69" t="str">
        <f t="shared" ca="1" si="72"/>
        <v/>
      </c>
      <c r="G117" s="64" t="str">
        <f t="shared" ca="1" si="73"/>
        <v/>
      </c>
      <c r="H117" s="70" t="str">
        <f t="shared" si="74"/>
        <v/>
      </c>
      <c r="I117" s="66" t="str">
        <f t="shared" si="75"/>
        <v/>
      </c>
      <c r="J117" s="59" t="str">
        <f t="shared" ref="J117:U117" ca="1" si="125">IF($A117="","",
IF($C117&gt;J$3+6,0,IF($D117&gt;=J$3,$I117*5,0)
-IF($D117&gt;=J$3,IF(K$3&gt;$D117,NETWORKDAYS($D117,K$3)-2,0)*$I117,0)
-IF(AND($C117&gt;=J$3,$C117&lt;K$3),($C117-J$3)*$I117,0))
-IF(AND(TODAY()&gt;=J$3,TODAY()&lt;K$3),IF(TODAY()&gt;$C117,NETWORKDAYS($C117,TODAY()-1)*$I117,0),0)
)</f>
        <v/>
      </c>
      <c r="K117" s="59" t="str">
        <f t="shared" ca="1" si="125"/>
        <v/>
      </c>
      <c r="L117" s="59" t="str">
        <f t="shared" ca="1" si="125"/>
        <v/>
      </c>
      <c r="M117" s="59" t="str">
        <f t="shared" ca="1" si="125"/>
        <v/>
      </c>
      <c r="N117" s="59" t="str">
        <f t="shared" ca="1" si="125"/>
        <v/>
      </c>
      <c r="O117" s="59" t="str">
        <f t="shared" ca="1" si="125"/>
        <v/>
      </c>
      <c r="P117" s="59" t="str">
        <f t="shared" ca="1" si="125"/>
        <v/>
      </c>
      <c r="Q117" s="59" t="str">
        <f t="shared" ca="1" si="125"/>
        <v/>
      </c>
      <c r="R117" s="59" t="str">
        <f t="shared" ca="1" si="125"/>
        <v/>
      </c>
      <c r="S117" s="59" t="str">
        <f t="shared" ca="1" si="125"/>
        <v/>
      </c>
      <c r="T117" s="59" t="str">
        <f t="shared" ca="1" si="125"/>
        <v/>
      </c>
      <c r="U117" s="59" t="str">
        <f t="shared" ca="1" si="125"/>
        <v/>
      </c>
    </row>
    <row r="118" spans="1:21" ht="15" thickBot="1" x14ac:dyDescent="0.35">
      <c r="A118" s="68"/>
      <c r="B118" s="21"/>
      <c r="C118" s="61"/>
      <c r="D118" s="61"/>
      <c r="E118" s="67"/>
      <c r="F118" s="69" t="str">
        <f t="shared" ca="1" si="72"/>
        <v/>
      </c>
      <c r="G118" s="64" t="str">
        <f t="shared" ca="1" si="73"/>
        <v/>
      </c>
      <c r="H118" s="70" t="str">
        <f t="shared" si="74"/>
        <v/>
      </c>
      <c r="I118" s="66" t="str">
        <f t="shared" si="75"/>
        <v/>
      </c>
      <c r="J118" s="59" t="str">
        <f t="shared" ref="J118:U118" ca="1" si="126">IF($A118="","",
IF($C118&gt;J$3+6,0,IF($D118&gt;=J$3,$I118*5,0)
-IF($D118&gt;=J$3,IF(K$3&gt;$D118,NETWORKDAYS($D118,K$3)-2,0)*$I118,0)
-IF(AND($C118&gt;=J$3,$C118&lt;K$3),($C118-J$3)*$I118,0))
-IF(AND(TODAY()&gt;=J$3,TODAY()&lt;K$3),IF(TODAY()&gt;$C118,NETWORKDAYS($C118,TODAY()-1)*$I118,0),0)
)</f>
        <v/>
      </c>
      <c r="K118" s="59" t="str">
        <f t="shared" ca="1" si="126"/>
        <v/>
      </c>
      <c r="L118" s="59" t="str">
        <f t="shared" ca="1" si="126"/>
        <v/>
      </c>
      <c r="M118" s="59" t="str">
        <f t="shared" ca="1" si="126"/>
        <v/>
      </c>
      <c r="N118" s="59" t="str">
        <f t="shared" ca="1" si="126"/>
        <v/>
      </c>
      <c r="O118" s="59" t="str">
        <f t="shared" ca="1" si="126"/>
        <v/>
      </c>
      <c r="P118" s="59" t="str">
        <f t="shared" ca="1" si="126"/>
        <v/>
      </c>
      <c r="Q118" s="59" t="str">
        <f t="shared" ca="1" si="126"/>
        <v/>
      </c>
      <c r="R118" s="59" t="str">
        <f t="shared" ca="1" si="126"/>
        <v/>
      </c>
      <c r="S118" s="59" t="str">
        <f t="shared" ca="1" si="126"/>
        <v/>
      </c>
      <c r="T118" s="59" t="str">
        <f t="shared" ca="1" si="126"/>
        <v/>
      </c>
      <c r="U118" s="59" t="str">
        <f t="shared" ca="1" si="126"/>
        <v/>
      </c>
    </row>
    <row r="119" spans="1:21" ht="15" thickBot="1" x14ac:dyDescent="0.35">
      <c r="A119" s="68"/>
      <c r="B119" s="21"/>
      <c r="C119" s="61"/>
      <c r="D119" s="61"/>
      <c r="E119" s="67"/>
      <c r="F119" s="69" t="str">
        <f t="shared" ca="1" si="72"/>
        <v/>
      </c>
      <c r="G119" s="64" t="str">
        <f t="shared" ca="1" si="73"/>
        <v/>
      </c>
      <c r="H119" s="70" t="str">
        <f t="shared" si="74"/>
        <v/>
      </c>
      <c r="I119" s="66" t="str">
        <f t="shared" si="75"/>
        <v/>
      </c>
      <c r="J119" s="59" t="str">
        <f t="shared" ref="J119:U119" ca="1" si="127">IF($A119="","",
IF($C119&gt;J$3+6,0,IF($D119&gt;=J$3,$I119*5,0)
-IF($D119&gt;=J$3,IF(K$3&gt;$D119,NETWORKDAYS($D119,K$3)-2,0)*$I119,0)
-IF(AND($C119&gt;=J$3,$C119&lt;K$3),($C119-J$3)*$I119,0))
-IF(AND(TODAY()&gt;=J$3,TODAY()&lt;K$3),IF(TODAY()&gt;$C119,NETWORKDAYS($C119,TODAY()-1)*$I119,0),0)
)</f>
        <v/>
      </c>
      <c r="K119" s="59" t="str">
        <f t="shared" ca="1" si="127"/>
        <v/>
      </c>
      <c r="L119" s="59" t="str">
        <f t="shared" ca="1" si="127"/>
        <v/>
      </c>
      <c r="M119" s="59" t="str">
        <f t="shared" ca="1" si="127"/>
        <v/>
      </c>
      <c r="N119" s="59" t="str">
        <f t="shared" ca="1" si="127"/>
        <v/>
      </c>
      <c r="O119" s="59" t="str">
        <f t="shared" ca="1" si="127"/>
        <v/>
      </c>
      <c r="P119" s="59" t="str">
        <f t="shared" ca="1" si="127"/>
        <v/>
      </c>
      <c r="Q119" s="59" t="str">
        <f t="shared" ca="1" si="127"/>
        <v/>
      </c>
      <c r="R119" s="59" t="str">
        <f t="shared" ca="1" si="127"/>
        <v/>
      </c>
      <c r="S119" s="59" t="str">
        <f t="shared" ca="1" si="127"/>
        <v/>
      </c>
      <c r="T119" s="59" t="str">
        <f t="shared" ca="1" si="127"/>
        <v/>
      </c>
      <c r="U119" s="59" t="str">
        <f t="shared" ca="1" si="127"/>
        <v/>
      </c>
    </row>
    <row r="120" spans="1:21" ht="15" thickBot="1" x14ac:dyDescent="0.35">
      <c r="A120" s="68"/>
      <c r="B120" s="21"/>
      <c r="C120" s="61"/>
      <c r="D120" s="61"/>
      <c r="E120" s="67"/>
      <c r="F120" s="69" t="str">
        <f t="shared" ca="1" si="72"/>
        <v/>
      </c>
      <c r="G120" s="64" t="str">
        <f t="shared" ca="1" si="73"/>
        <v/>
      </c>
      <c r="H120" s="70" t="str">
        <f t="shared" si="74"/>
        <v/>
      </c>
      <c r="I120" s="66" t="str">
        <f t="shared" si="75"/>
        <v/>
      </c>
      <c r="J120" s="59" t="str">
        <f t="shared" ref="J120:U120" ca="1" si="128">IF($A120="","",
IF($C120&gt;J$3+6,0,IF($D120&gt;=J$3,$I120*5,0)
-IF($D120&gt;=J$3,IF(K$3&gt;$D120,NETWORKDAYS($D120,K$3)-2,0)*$I120,0)
-IF(AND($C120&gt;=J$3,$C120&lt;K$3),($C120-J$3)*$I120,0))
-IF(AND(TODAY()&gt;=J$3,TODAY()&lt;K$3),IF(TODAY()&gt;$C120,NETWORKDAYS($C120,TODAY()-1)*$I120,0),0)
)</f>
        <v/>
      </c>
      <c r="K120" s="59" t="str">
        <f t="shared" ca="1" si="128"/>
        <v/>
      </c>
      <c r="L120" s="59" t="str">
        <f t="shared" ca="1" si="128"/>
        <v/>
      </c>
      <c r="M120" s="59" t="str">
        <f t="shared" ca="1" si="128"/>
        <v/>
      </c>
      <c r="N120" s="59" t="str">
        <f t="shared" ca="1" si="128"/>
        <v/>
      </c>
      <c r="O120" s="59" t="str">
        <f t="shared" ca="1" si="128"/>
        <v/>
      </c>
      <c r="P120" s="59" t="str">
        <f t="shared" ca="1" si="128"/>
        <v/>
      </c>
      <c r="Q120" s="59" t="str">
        <f t="shared" ca="1" si="128"/>
        <v/>
      </c>
      <c r="R120" s="59" t="str">
        <f t="shared" ca="1" si="128"/>
        <v/>
      </c>
      <c r="S120" s="59" t="str">
        <f t="shared" ca="1" si="128"/>
        <v/>
      </c>
      <c r="T120" s="59" t="str">
        <f t="shared" ca="1" si="128"/>
        <v/>
      </c>
      <c r="U120" s="59" t="str">
        <f t="shared" ca="1" si="128"/>
        <v/>
      </c>
    </row>
    <row r="121" spans="1:21" ht="15" thickBot="1" x14ac:dyDescent="0.35">
      <c r="A121" s="68"/>
      <c r="B121" s="21"/>
      <c r="C121" s="61"/>
      <c r="D121" s="61"/>
      <c r="E121" s="67"/>
      <c r="F121" s="69" t="str">
        <f t="shared" ca="1" si="72"/>
        <v/>
      </c>
      <c r="G121" s="64" t="str">
        <f t="shared" ca="1" si="73"/>
        <v/>
      </c>
      <c r="H121" s="70" t="str">
        <f t="shared" si="74"/>
        <v/>
      </c>
      <c r="I121" s="66" t="str">
        <f t="shared" si="75"/>
        <v/>
      </c>
      <c r="J121" s="59" t="str">
        <f t="shared" ref="J121:U121" ca="1" si="129">IF($A121="","",
IF($C121&gt;J$3+6,0,IF($D121&gt;=J$3,$I121*5,0)
-IF($D121&gt;=J$3,IF(K$3&gt;$D121,NETWORKDAYS($D121,K$3)-2,0)*$I121,0)
-IF(AND($C121&gt;=J$3,$C121&lt;K$3),($C121-J$3)*$I121,0))
-IF(AND(TODAY()&gt;=J$3,TODAY()&lt;K$3),IF(TODAY()&gt;$C121,NETWORKDAYS($C121,TODAY()-1)*$I121,0),0)
)</f>
        <v/>
      </c>
      <c r="K121" s="59" t="str">
        <f t="shared" ca="1" si="129"/>
        <v/>
      </c>
      <c r="L121" s="59" t="str">
        <f t="shared" ca="1" si="129"/>
        <v/>
      </c>
      <c r="M121" s="59" t="str">
        <f t="shared" ca="1" si="129"/>
        <v/>
      </c>
      <c r="N121" s="59" t="str">
        <f t="shared" ca="1" si="129"/>
        <v/>
      </c>
      <c r="O121" s="59" t="str">
        <f t="shared" ca="1" si="129"/>
        <v/>
      </c>
      <c r="P121" s="59" t="str">
        <f t="shared" ca="1" si="129"/>
        <v/>
      </c>
      <c r="Q121" s="59" t="str">
        <f t="shared" ca="1" si="129"/>
        <v/>
      </c>
      <c r="R121" s="59" t="str">
        <f t="shared" ca="1" si="129"/>
        <v/>
      </c>
      <c r="S121" s="59" t="str">
        <f t="shared" ca="1" si="129"/>
        <v/>
      </c>
      <c r="T121" s="59" t="str">
        <f t="shared" ca="1" si="129"/>
        <v/>
      </c>
      <c r="U121" s="59" t="str">
        <f t="shared" ca="1" si="129"/>
        <v/>
      </c>
    </row>
    <row r="122" spans="1:21" ht="15" thickBot="1" x14ac:dyDescent="0.35">
      <c r="A122" s="68"/>
      <c r="B122" s="21"/>
      <c r="C122" s="61"/>
      <c r="D122" s="61"/>
      <c r="E122" s="67"/>
      <c r="F122" s="69" t="str">
        <f t="shared" ca="1" si="72"/>
        <v/>
      </c>
      <c r="G122" s="64" t="str">
        <f t="shared" ca="1" si="73"/>
        <v/>
      </c>
      <c r="H122" s="70" t="str">
        <f t="shared" si="74"/>
        <v/>
      </c>
      <c r="I122" s="66" t="str">
        <f t="shared" si="75"/>
        <v/>
      </c>
      <c r="J122" s="59" t="str">
        <f t="shared" ref="J122:U122" ca="1" si="130">IF($A122="","",
IF($C122&gt;J$3+6,0,IF($D122&gt;=J$3,$I122*5,0)
-IF($D122&gt;=J$3,IF(K$3&gt;$D122,NETWORKDAYS($D122,K$3)-2,0)*$I122,0)
-IF(AND($C122&gt;=J$3,$C122&lt;K$3),($C122-J$3)*$I122,0))
-IF(AND(TODAY()&gt;=J$3,TODAY()&lt;K$3),IF(TODAY()&gt;$C122,NETWORKDAYS($C122,TODAY()-1)*$I122,0),0)
)</f>
        <v/>
      </c>
      <c r="K122" s="59" t="str">
        <f t="shared" ca="1" si="130"/>
        <v/>
      </c>
      <c r="L122" s="59" t="str">
        <f t="shared" ca="1" si="130"/>
        <v/>
      </c>
      <c r="M122" s="59" t="str">
        <f t="shared" ca="1" si="130"/>
        <v/>
      </c>
      <c r="N122" s="59" t="str">
        <f t="shared" ca="1" si="130"/>
        <v/>
      </c>
      <c r="O122" s="59" t="str">
        <f t="shared" ca="1" si="130"/>
        <v/>
      </c>
      <c r="P122" s="59" t="str">
        <f t="shared" ca="1" si="130"/>
        <v/>
      </c>
      <c r="Q122" s="59" t="str">
        <f t="shared" ca="1" si="130"/>
        <v/>
      </c>
      <c r="R122" s="59" t="str">
        <f t="shared" ca="1" si="130"/>
        <v/>
      </c>
      <c r="S122" s="59" t="str">
        <f t="shared" ca="1" si="130"/>
        <v/>
      </c>
      <c r="T122" s="59" t="str">
        <f t="shared" ca="1" si="130"/>
        <v/>
      </c>
      <c r="U122" s="59" t="str">
        <f t="shared" ca="1" si="130"/>
        <v/>
      </c>
    </row>
    <row r="123" spans="1:21" ht="15" thickBot="1" x14ac:dyDescent="0.35">
      <c r="A123" s="68"/>
      <c r="B123" s="21"/>
      <c r="C123" s="61"/>
      <c r="D123" s="61"/>
      <c r="E123" s="67"/>
      <c r="F123" s="69" t="str">
        <f t="shared" ca="1" si="72"/>
        <v/>
      </c>
      <c r="G123" s="64" t="str">
        <f t="shared" ca="1" si="73"/>
        <v/>
      </c>
      <c r="H123" s="70" t="str">
        <f t="shared" si="74"/>
        <v/>
      </c>
      <c r="I123" s="66" t="str">
        <f t="shared" si="75"/>
        <v/>
      </c>
      <c r="J123" s="59" t="str">
        <f t="shared" ref="J123:U123" ca="1" si="131">IF($A123="","",
IF($C123&gt;J$3+6,0,IF($D123&gt;=J$3,$I123*5,0)
-IF($D123&gt;=J$3,IF(K$3&gt;$D123,NETWORKDAYS($D123,K$3)-2,0)*$I123,0)
-IF(AND($C123&gt;=J$3,$C123&lt;K$3),($C123-J$3)*$I123,0))
-IF(AND(TODAY()&gt;=J$3,TODAY()&lt;K$3),IF(TODAY()&gt;$C123,NETWORKDAYS($C123,TODAY()-1)*$I123,0),0)
)</f>
        <v/>
      </c>
      <c r="K123" s="59" t="str">
        <f t="shared" ca="1" si="131"/>
        <v/>
      </c>
      <c r="L123" s="59" t="str">
        <f t="shared" ca="1" si="131"/>
        <v/>
      </c>
      <c r="M123" s="59" t="str">
        <f t="shared" ca="1" si="131"/>
        <v/>
      </c>
      <c r="N123" s="59" t="str">
        <f t="shared" ca="1" si="131"/>
        <v/>
      </c>
      <c r="O123" s="59" t="str">
        <f t="shared" ca="1" si="131"/>
        <v/>
      </c>
      <c r="P123" s="59" t="str">
        <f t="shared" ca="1" si="131"/>
        <v/>
      </c>
      <c r="Q123" s="59" t="str">
        <f t="shared" ca="1" si="131"/>
        <v/>
      </c>
      <c r="R123" s="59" t="str">
        <f t="shared" ca="1" si="131"/>
        <v/>
      </c>
      <c r="S123" s="59" t="str">
        <f t="shared" ca="1" si="131"/>
        <v/>
      </c>
      <c r="T123" s="59" t="str">
        <f t="shared" ca="1" si="131"/>
        <v/>
      </c>
      <c r="U123" s="59" t="str">
        <f t="shared" ca="1" si="131"/>
        <v/>
      </c>
    </row>
    <row r="124" spans="1:21" ht="15" thickBot="1" x14ac:dyDescent="0.35">
      <c r="A124" s="68"/>
      <c r="B124" s="21"/>
      <c r="C124" s="61"/>
      <c r="D124" s="61"/>
      <c r="E124" s="67"/>
      <c r="F124" s="69" t="str">
        <f t="shared" ca="1" si="72"/>
        <v/>
      </c>
      <c r="G124" s="64" t="str">
        <f t="shared" ca="1" si="73"/>
        <v/>
      </c>
      <c r="H124" s="70" t="str">
        <f t="shared" si="74"/>
        <v/>
      </c>
      <c r="I124" s="66" t="str">
        <f t="shared" si="75"/>
        <v/>
      </c>
      <c r="J124" s="59" t="str">
        <f t="shared" ref="J124:U124" ca="1" si="132">IF($A124="","",
IF($C124&gt;J$3+6,0,IF($D124&gt;=J$3,$I124*5,0)
-IF($D124&gt;=J$3,IF(K$3&gt;$D124,NETWORKDAYS($D124,K$3)-2,0)*$I124,0)
-IF(AND($C124&gt;=J$3,$C124&lt;K$3),($C124-J$3)*$I124,0))
-IF(AND(TODAY()&gt;=J$3,TODAY()&lt;K$3),IF(TODAY()&gt;$C124,NETWORKDAYS($C124,TODAY()-1)*$I124,0),0)
)</f>
        <v/>
      </c>
      <c r="K124" s="59" t="str">
        <f t="shared" ca="1" si="132"/>
        <v/>
      </c>
      <c r="L124" s="59" t="str">
        <f t="shared" ca="1" si="132"/>
        <v/>
      </c>
      <c r="M124" s="59" t="str">
        <f t="shared" ca="1" si="132"/>
        <v/>
      </c>
      <c r="N124" s="59" t="str">
        <f t="shared" ca="1" si="132"/>
        <v/>
      </c>
      <c r="O124" s="59" t="str">
        <f t="shared" ca="1" si="132"/>
        <v/>
      </c>
      <c r="P124" s="59" t="str">
        <f t="shared" ca="1" si="132"/>
        <v/>
      </c>
      <c r="Q124" s="59" t="str">
        <f t="shared" ca="1" si="132"/>
        <v/>
      </c>
      <c r="R124" s="59" t="str">
        <f t="shared" ca="1" si="132"/>
        <v/>
      </c>
      <c r="S124" s="59" t="str">
        <f t="shared" ca="1" si="132"/>
        <v/>
      </c>
      <c r="T124" s="59" t="str">
        <f t="shared" ca="1" si="132"/>
        <v/>
      </c>
      <c r="U124" s="59" t="str">
        <f t="shared" ca="1" si="132"/>
        <v/>
      </c>
    </row>
    <row r="125" spans="1:21" ht="15" thickBot="1" x14ac:dyDescent="0.35">
      <c r="A125" s="68"/>
      <c r="B125" s="21"/>
      <c r="C125" s="61"/>
      <c r="D125" s="61"/>
      <c r="E125" s="67"/>
      <c r="F125" s="69" t="str">
        <f t="shared" ca="1" si="72"/>
        <v/>
      </c>
      <c r="G125" s="64" t="str">
        <f t="shared" ca="1" si="73"/>
        <v/>
      </c>
      <c r="H125" s="70" t="str">
        <f t="shared" si="74"/>
        <v/>
      </c>
      <c r="I125" s="66" t="str">
        <f t="shared" si="75"/>
        <v/>
      </c>
      <c r="J125" s="59" t="str">
        <f t="shared" ref="J125:U125" ca="1" si="133">IF($A125="","",
IF($C125&gt;J$3+6,0,IF($D125&gt;=J$3,$I125*5,0)
-IF($D125&gt;=J$3,IF(K$3&gt;$D125,NETWORKDAYS($D125,K$3)-2,0)*$I125,0)
-IF(AND($C125&gt;=J$3,$C125&lt;K$3),($C125-J$3)*$I125,0))
-IF(AND(TODAY()&gt;=J$3,TODAY()&lt;K$3),IF(TODAY()&gt;$C125,NETWORKDAYS($C125,TODAY()-1)*$I125,0),0)
)</f>
        <v/>
      </c>
      <c r="K125" s="59" t="str">
        <f t="shared" ca="1" si="133"/>
        <v/>
      </c>
      <c r="L125" s="59" t="str">
        <f t="shared" ca="1" si="133"/>
        <v/>
      </c>
      <c r="M125" s="59" t="str">
        <f t="shared" ca="1" si="133"/>
        <v/>
      </c>
      <c r="N125" s="59" t="str">
        <f t="shared" ca="1" si="133"/>
        <v/>
      </c>
      <c r="O125" s="59" t="str">
        <f t="shared" ca="1" si="133"/>
        <v/>
      </c>
      <c r="P125" s="59" t="str">
        <f t="shared" ca="1" si="133"/>
        <v/>
      </c>
      <c r="Q125" s="59" t="str">
        <f t="shared" ca="1" si="133"/>
        <v/>
      </c>
      <c r="R125" s="59" t="str">
        <f t="shared" ca="1" si="133"/>
        <v/>
      </c>
      <c r="S125" s="59" t="str">
        <f t="shared" ca="1" si="133"/>
        <v/>
      </c>
      <c r="T125" s="59" t="str">
        <f t="shared" ca="1" si="133"/>
        <v/>
      </c>
      <c r="U125" s="59" t="str">
        <f t="shared" ca="1" si="133"/>
        <v/>
      </c>
    </row>
    <row r="126" spans="1:21" ht="15" thickBot="1" x14ac:dyDescent="0.35">
      <c r="A126" s="68"/>
      <c r="B126" s="21"/>
      <c r="C126" s="61"/>
      <c r="D126" s="61"/>
      <c r="E126" s="67"/>
      <c r="F126" s="69" t="str">
        <f t="shared" ca="1" si="72"/>
        <v/>
      </c>
      <c r="G126" s="64" t="str">
        <f t="shared" ca="1" si="73"/>
        <v/>
      </c>
      <c r="H126" s="70" t="str">
        <f t="shared" si="74"/>
        <v/>
      </c>
      <c r="I126" s="66" t="str">
        <f t="shared" si="75"/>
        <v/>
      </c>
      <c r="J126" s="59" t="str">
        <f t="shared" ref="J126:U126" ca="1" si="134">IF($A126="","",
IF($C126&gt;J$3+6,0,IF($D126&gt;=J$3,$I126*5,0)
-IF($D126&gt;=J$3,IF(K$3&gt;$D126,NETWORKDAYS($D126,K$3)-2,0)*$I126,0)
-IF(AND($C126&gt;=J$3,$C126&lt;K$3),($C126-J$3)*$I126,0))
-IF(AND(TODAY()&gt;=J$3,TODAY()&lt;K$3),IF(TODAY()&gt;$C126,NETWORKDAYS($C126,TODAY()-1)*$I126,0),0)
)</f>
        <v/>
      </c>
      <c r="K126" s="59" t="str">
        <f t="shared" ca="1" si="134"/>
        <v/>
      </c>
      <c r="L126" s="59" t="str">
        <f t="shared" ca="1" si="134"/>
        <v/>
      </c>
      <c r="M126" s="59" t="str">
        <f t="shared" ca="1" si="134"/>
        <v/>
      </c>
      <c r="N126" s="59" t="str">
        <f t="shared" ca="1" si="134"/>
        <v/>
      </c>
      <c r="O126" s="59" t="str">
        <f t="shared" ca="1" si="134"/>
        <v/>
      </c>
      <c r="P126" s="59" t="str">
        <f t="shared" ca="1" si="134"/>
        <v/>
      </c>
      <c r="Q126" s="59" t="str">
        <f t="shared" ca="1" si="134"/>
        <v/>
      </c>
      <c r="R126" s="59" t="str">
        <f t="shared" ca="1" si="134"/>
        <v/>
      </c>
      <c r="S126" s="59" t="str">
        <f t="shared" ca="1" si="134"/>
        <v/>
      </c>
      <c r="T126" s="59" t="str">
        <f t="shared" ca="1" si="134"/>
        <v/>
      </c>
      <c r="U126" s="59" t="str">
        <f t="shared" ca="1" si="134"/>
        <v/>
      </c>
    </row>
    <row r="127" spans="1:21" ht="15" thickBot="1" x14ac:dyDescent="0.35">
      <c r="A127" s="68"/>
      <c r="B127" s="21"/>
      <c r="C127" s="61"/>
      <c r="D127" s="61"/>
      <c r="E127" s="67"/>
      <c r="F127" s="69" t="str">
        <f t="shared" ca="1" si="72"/>
        <v/>
      </c>
      <c r="G127" s="64" t="str">
        <f t="shared" ca="1" si="73"/>
        <v/>
      </c>
      <c r="H127" s="70" t="str">
        <f t="shared" si="74"/>
        <v/>
      </c>
      <c r="I127" s="66" t="str">
        <f t="shared" si="75"/>
        <v/>
      </c>
      <c r="J127" s="59" t="str">
        <f t="shared" ref="J127:U127" ca="1" si="135">IF($A127="","",
IF($C127&gt;J$3+6,0,IF($D127&gt;=J$3,$I127*5,0)
-IF($D127&gt;=J$3,IF(K$3&gt;$D127,NETWORKDAYS($D127,K$3)-2,0)*$I127,0)
-IF(AND($C127&gt;=J$3,$C127&lt;K$3),($C127-J$3)*$I127,0))
-IF(AND(TODAY()&gt;=J$3,TODAY()&lt;K$3),IF(TODAY()&gt;$C127,NETWORKDAYS($C127,TODAY()-1)*$I127,0),0)
)</f>
        <v/>
      </c>
      <c r="K127" s="59" t="str">
        <f t="shared" ca="1" si="135"/>
        <v/>
      </c>
      <c r="L127" s="59" t="str">
        <f t="shared" ca="1" si="135"/>
        <v/>
      </c>
      <c r="M127" s="59" t="str">
        <f t="shared" ca="1" si="135"/>
        <v/>
      </c>
      <c r="N127" s="59" t="str">
        <f t="shared" ca="1" si="135"/>
        <v/>
      </c>
      <c r="O127" s="59" t="str">
        <f t="shared" ca="1" si="135"/>
        <v/>
      </c>
      <c r="P127" s="59" t="str">
        <f t="shared" ca="1" si="135"/>
        <v/>
      </c>
      <c r="Q127" s="59" t="str">
        <f t="shared" ca="1" si="135"/>
        <v/>
      </c>
      <c r="R127" s="59" t="str">
        <f t="shared" ca="1" si="135"/>
        <v/>
      </c>
      <c r="S127" s="59" t="str">
        <f t="shared" ca="1" si="135"/>
        <v/>
      </c>
      <c r="T127" s="59" t="str">
        <f t="shared" ca="1" si="135"/>
        <v/>
      </c>
      <c r="U127" s="59" t="str">
        <f t="shared" ca="1" si="135"/>
        <v/>
      </c>
    </row>
    <row r="128" spans="1:21" ht="15" thickBot="1" x14ac:dyDescent="0.35">
      <c r="A128" s="68"/>
      <c r="B128" s="21"/>
      <c r="C128" s="61"/>
      <c r="D128" s="61"/>
      <c r="E128" s="67"/>
      <c r="F128" s="69" t="str">
        <f t="shared" ca="1" si="72"/>
        <v/>
      </c>
      <c r="G128" s="64" t="str">
        <f t="shared" ca="1" si="73"/>
        <v/>
      </c>
      <c r="H128" s="70" t="str">
        <f t="shared" si="74"/>
        <v/>
      </c>
      <c r="I128" s="66" t="str">
        <f t="shared" si="75"/>
        <v/>
      </c>
      <c r="J128" s="59" t="str">
        <f t="shared" ref="J128:U128" ca="1" si="136">IF($A128="","",
IF($C128&gt;J$3+6,0,IF($D128&gt;=J$3,$I128*5,0)
-IF($D128&gt;=J$3,IF(K$3&gt;$D128,NETWORKDAYS($D128,K$3)-2,0)*$I128,0)
-IF(AND($C128&gt;=J$3,$C128&lt;K$3),($C128-J$3)*$I128,0))
-IF(AND(TODAY()&gt;=J$3,TODAY()&lt;K$3),IF(TODAY()&gt;$C128,NETWORKDAYS($C128,TODAY()-1)*$I128,0),0)
)</f>
        <v/>
      </c>
      <c r="K128" s="59" t="str">
        <f t="shared" ca="1" si="136"/>
        <v/>
      </c>
      <c r="L128" s="59" t="str">
        <f t="shared" ca="1" si="136"/>
        <v/>
      </c>
      <c r="M128" s="59" t="str">
        <f t="shared" ca="1" si="136"/>
        <v/>
      </c>
      <c r="N128" s="59" t="str">
        <f t="shared" ca="1" si="136"/>
        <v/>
      </c>
      <c r="O128" s="59" t="str">
        <f t="shared" ca="1" si="136"/>
        <v/>
      </c>
      <c r="P128" s="59" t="str">
        <f t="shared" ca="1" si="136"/>
        <v/>
      </c>
      <c r="Q128" s="59" t="str">
        <f t="shared" ca="1" si="136"/>
        <v/>
      </c>
      <c r="R128" s="59" t="str">
        <f t="shared" ca="1" si="136"/>
        <v/>
      </c>
      <c r="S128" s="59" t="str">
        <f t="shared" ca="1" si="136"/>
        <v/>
      </c>
      <c r="T128" s="59" t="str">
        <f t="shared" ca="1" si="136"/>
        <v/>
      </c>
      <c r="U128" s="59" t="str">
        <f t="shared" ca="1" si="136"/>
        <v/>
      </c>
    </row>
    <row r="129" spans="1:21" ht="15" thickBot="1" x14ac:dyDescent="0.35">
      <c r="A129" s="68"/>
      <c r="B129" s="21"/>
      <c r="C129" s="61"/>
      <c r="D129" s="61"/>
      <c r="E129" s="67"/>
      <c r="F129" s="69" t="str">
        <f t="shared" ca="1" si="72"/>
        <v/>
      </c>
      <c r="G129" s="64" t="str">
        <f t="shared" ca="1" si="73"/>
        <v/>
      </c>
      <c r="H129" s="70" t="str">
        <f t="shared" si="74"/>
        <v/>
      </c>
      <c r="I129" s="66" t="str">
        <f t="shared" si="75"/>
        <v/>
      </c>
      <c r="J129" s="59" t="str">
        <f t="shared" ref="J129:U129" ca="1" si="137">IF($A129="","",
IF($C129&gt;J$3+6,0,IF($D129&gt;=J$3,$I129*5,0)
-IF($D129&gt;=J$3,IF(K$3&gt;$D129,NETWORKDAYS($D129,K$3)-2,0)*$I129,0)
-IF(AND($C129&gt;=J$3,$C129&lt;K$3),($C129-J$3)*$I129,0))
-IF(AND(TODAY()&gt;=J$3,TODAY()&lt;K$3),IF(TODAY()&gt;$C129,NETWORKDAYS($C129,TODAY()-1)*$I129,0),0)
)</f>
        <v/>
      </c>
      <c r="K129" s="59" t="str">
        <f t="shared" ca="1" si="137"/>
        <v/>
      </c>
      <c r="L129" s="59" t="str">
        <f t="shared" ca="1" si="137"/>
        <v/>
      </c>
      <c r="M129" s="59" t="str">
        <f t="shared" ca="1" si="137"/>
        <v/>
      </c>
      <c r="N129" s="59" t="str">
        <f t="shared" ca="1" si="137"/>
        <v/>
      </c>
      <c r="O129" s="59" t="str">
        <f t="shared" ca="1" si="137"/>
        <v/>
      </c>
      <c r="P129" s="59" t="str">
        <f t="shared" ca="1" si="137"/>
        <v/>
      </c>
      <c r="Q129" s="59" t="str">
        <f t="shared" ca="1" si="137"/>
        <v/>
      </c>
      <c r="R129" s="59" t="str">
        <f t="shared" ca="1" si="137"/>
        <v/>
      </c>
      <c r="S129" s="59" t="str">
        <f t="shared" ca="1" si="137"/>
        <v/>
      </c>
      <c r="T129" s="59" t="str">
        <f t="shared" ca="1" si="137"/>
        <v/>
      </c>
      <c r="U129" s="59" t="str">
        <f t="shared" ca="1" si="137"/>
        <v/>
      </c>
    </row>
    <row r="130" spans="1:21" ht="15" thickBot="1" x14ac:dyDescent="0.35">
      <c r="A130" s="68"/>
      <c r="B130" s="21"/>
      <c r="C130" s="61"/>
      <c r="D130" s="61"/>
      <c r="E130" s="67"/>
      <c r="F130" s="69" t="str">
        <f t="shared" ca="1" si="72"/>
        <v/>
      </c>
      <c r="G130" s="64" t="str">
        <f t="shared" ca="1" si="73"/>
        <v/>
      </c>
      <c r="H130" s="70" t="str">
        <f t="shared" si="74"/>
        <v/>
      </c>
      <c r="I130" s="66" t="str">
        <f t="shared" si="75"/>
        <v/>
      </c>
      <c r="J130" s="59" t="str">
        <f t="shared" ref="J130:U130" ca="1" si="138">IF($A130="","",
IF($C130&gt;J$3+6,0,IF($D130&gt;=J$3,$I130*5,0)
-IF($D130&gt;=J$3,IF(K$3&gt;$D130,NETWORKDAYS($D130,K$3)-2,0)*$I130,0)
-IF(AND($C130&gt;=J$3,$C130&lt;K$3),($C130-J$3)*$I130,0))
-IF(AND(TODAY()&gt;=J$3,TODAY()&lt;K$3),IF(TODAY()&gt;$C130,NETWORKDAYS($C130,TODAY()-1)*$I130,0),0)
)</f>
        <v/>
      </c>
      <c r="K130" s="59" t="str">
        <f t="shared" ca="1" si="138"/>
        <v/>
      </c>
      <c r="L130" s="59" t="str">
        <f t="shared" ca="1" si="138"/>
        <v/>
      </c>
      <c r="M130" s="59" t="str">
        <f t="shared" ca="1" si="138"/>
        <v/>
      </c>
      <c r="N130" s="59" t="str">
        <f t="shared" ca="1" si="138"/>
        <v/>
      </c>
      <c r="O130" s="59" t="str">
        <f t="shared" ca="1" si="138"/>
        <v/>
      </c>
      <c r="P130" s="59" t="str">
        <f t="shared" ca="1" si="138"/>
        <v/>
      </c>
      <c r="Q130" s="59" t="str">
        <f t="shared" ca="1" si="138"/>
        <v/>
      </c>
      <c r="R130" s="59" t="str">
        <f t="shared" ca="1" si="138"/>
        <v/>
      </c>
      <c r="S130" s="59" t="str">
        <f t="shared" ca="1" si="138"/>
        <v/>
      </c>
      <c r="T130" s="59" t="str">
        <f t="shared" ca="1" si="138"/>
        <v/>
      </c>
      <c r="U130" s="59" t="str">
        <f t="shared" ca="1" si="138"/>
        <v/>
      </c>
    </row>
    <row r="131" spans="1:21" ht="15" thickBot="1" x14ac:dyDescent="0.35">
      <c r="A131" s="68"/>
      <c r="B131" s="21"/>
      <c r="C131" s="61"/>
      <c r="D131" s="61"/>
      <c r="E131" s="67"/>
      <c r="F131" s="69" t="str">
        <f t="shared" ca="1" si="72"/>
        <v/>
      </c>
      <c r="G131" s="64" t="str">
        <f t="shared" ca="1" si="73"/>
        <v/>
      </c>
      <c r="H131" s="70" t="str">
        <f t="shared" si="74"/>
        <v/>
      </c>
      <c r="I131" s="66" t="str">
        <f t="shared" si="75"/>
        <v/>
      </c>
      <c r="J131" s="59" t="str">
        <f t="shared" ref="J131:U131" ca="1" si="139">IF($A131="","",
IF($C131&gt;J$3+6,0,IF($D131&gt;=J$3,$I131*5,0)
-IF($D131&gt;=J$3,IF(K$3&gt;$D131,NETWORKDAYS($D131,K$3)-2,0)*$I131,0)
-IF(AND($C131&gt;=J$3,$C131&lt;K$3),($C131-J$3)*$I131,0))
-IF(AND(TODAY()&gt;=J$3,TODAY()&lt;K$3),IF(TODAY()&gt;$C131,NETWORKDAYS($C131,TODAY()-1)*$I131,0),0)
)</f>
        <v/>
      </c>
      <c r="K131" s="59" t="str">
        <f t="shared" ca="1" si="139"/>
        <v/>
      </c>
      <c r="L131" s="59" t="str">
        <f t="shared" ca="1" si="139"/>
        <v/>
      </c>
      <c r="M131" s="59" t="str">
        <f t="shared" ca="1" si="139"/>
        <v/>
      </c>
      <c r="N131" s="59" t="str">
        <f t="shared" ca="1" si="139"/>
        <v/>
      </c>
      <c r="O131" s="59" t="str">
        <f t="shared" ca="1" si="139"/>
        <v/>
      </c>
      <c r="P131" s="59" t="str">
        <f t="shared" ca="1" si="139"/>
        <v/>
      </c>
      <c r="Q131" s="59" t="str">
        <f t="shared" ca="1" si="139"/>
        <v/>
      </c>
      <c r="R131" s="59" t="str">
        <f t="shared" ca="1" si="139"/>
        <v/>
      </c>
      <c r="S131" s="59" t="str">
        <f t="shared" ca="1" si="139"/>
        <v/>
      </c>
      <c r="T131" s="59" t="str">
        <f t="shared" ca="1" si="139"/>
        <v/>
      </c>
      <c r="U131" s="59" t="str">
        <f t="shared" ca="1" si="139"/>
        <v/>
      </c>
    </row>
    <row r="132" spans="1:21" ht="15" thickBot="1" x14ac:dyDescent="0.35">
      <c r="A132" s="68"/>
      <c r="B132" s="21"/>
      <c r="C132" s="61"/>
      <c r="D132" s="61"/>
      <c r="E132" s="67"/>
      <c r="F132" s="69" t="str">
        <f t="shared" ca="1" si="72"/>
        <v/>
      </c>
      <c r="G132" s="64" t="str">
        <f t="shared" ca="1" si="73"/>
        <v/>
      </c>
      <c r="H132" s="70" t="str">
        <f t="shared" si="74"/>
        <v/>
      </c>
      <c r="I132" s="66" t="str">
        <f t="shared" si="75"/>
        <v/>
      </c>
      <c r="J132" s="59" t="str">
        <f t="shared" ref="J132:U132" ca="1" si="140">IF($A132="","",
IF($C132&gt;J$3+6,0,IF($D132&gt;=J$3,$I132*5,0)
-IF($D132&gt;=J$3,IF(K$3&gt;$D132,NETWORKDAYS($D132,K$3)-2,0)*$I132,0)
-IF(AND($C132&gt;=J$3,$C132&lt;K$3),($C132-J$3)*$I132,0))
-IF(AND(TODAY()&gt;=J$3,TODAY()&lt;K$3),IF(TODAY()&gt;$C132,NETWORKDAYS($C132,TODAY()-1)*$I132,0),0)
)</f>
        <v/>
      </c>
      <c r="K132" s="59" t="str">
        <f t="shared" ca="1" si="140"/>
        <v/>
      </c>
      <c r="L132" s="59" t="str">
        <f t="shared" ca="1" si="140"/>
        <v/>
      </c>
      <c r="M132" s="59" t="str">
        <f t="shared" ca="1" si="140"/>
        <v/>
      </c>
      <c r="N132" s="59" t="str">
        <f t="shared" ca="1" si="140"/>
        <v/>
      </c>
      <c r="O132" s="59" t="str">
        <f t="shared" ca="1" si="140"/>
        <v/>
      </c>
      <c r="P132" s="59" t="str">
        <f t="shared" ca="1" si="140"/>
        <v/>
      </c>
      <c r="Q132" s="59" t="str">
        <f t="shared" ca="1" si="140"/>
        <v/>
      </c>
      <c r="R132" s="59" t="str">
        <f t="shared" ca="1" si="140"/>
        <v/>
      </c>
      <c r="S132" s="59" t="str">
        <f t="shared" ca="1" si="140"/>
        <v/>
      </c>
      <c r="T132" s="59" t="str">
        <f t="shared" ca="1" si="140"/>
        <v/>
      </c>
      <c r="U132" s="59" t="str">
        <f t="shared" ca="1" si="140"/>
        <v/>
      </c>
    </row>
    <row r="133" spans="1:21" ht="15" thickBot="1" x14ac:dyDescent="0.35">
      <c r="A133" s="68"/>
      <c r="B133" s="21"/>
      <c r="C133" s="61"/>
      <c r="D133" s="61"/>
      <c r="E133" s="67"/>
      <c r="F133" s="69" t="str">
        <f t="shared" ca="1" si="72"/>
        <v/>
      </c>
      <c r="G133" s="64" t="str">
        <f t="shared" ca="1" si="73"/>
        <v/>
      </c>
      <c r="H133" s="70" t="str">
        <f t="shared" si="74"/>
        <v/>
      </c>
      <c r="I133" s="66" t="str">
        <f t="shared" si="75"/>
        <v/>
      </c>
      <c r="J133" s="59" t="str">
        <f t="shared" ref="J133:U133" ca="1" si="141">IF($A133="","",
IF($C133&gt;J$3+6,0,IF($D133&gt;=J$3,$I133*5,0)
-IF($D133&gt;=J$3,IF(K$3&gt;$D133,NETWORKDAYS($D133,K$3)-2,0)*$I133,0)
-IF(AND($C133&gt;=J$3,$C133&lt;K$3),($C133-J$3)*$I133,0))
-IF(AND(TODAY()&gt;=J$3,TODAY()&lt;K$3),IF(TODAY()&gt;$C133,NETWORKDAYS($C133,TODAY()-1)*$I133,0),0)
)</f>
        <v/>
      </c>
      <c r="K133" s="59" t="str">
        <f t="shared" ca="1" si="141"/>
        <v/>
      </c>
      <c r="L133" s="59" t="str">
        <f t="shared" ca="1" si="141"/>
        <v/>
      </c>
      <c r="M133" s="59" t="str">
        <f t="shared" ca="1" si="141"/>
        <v/>
      </c>
      <c r="N133" s="59" t="str">
        <f t="shared" ca="1" si="141"/>
        <v/>
      </c>
      <c r="O133" s="59" t="str">
        <f t="shared" ca="1" si="141"/>
        <v/>
      </c>
      <c r="P133" s="59" t="str">
        <f t="shared" ca="1" si="141"/>
        <v/>
      </c>
      <c r="Q133" s="59" t="str">
        <f t="shared" ca="1" si="141"/>
        <v/>
      </c>
      <c r="R133" s="59" t="str">
        <f t="shared" ca="1" si="141"/>
        <v/>
      </c>
      <c r="S133" s="59" t="str">
        <f t="shared" ca="1" si="141"/>
        <v/>
      </c>
      <c r="T133" s="59" t="str">
        <f t="shared" ca="1" si="141"/>
        <v/>
      </c>
      <c r="U133" s="59" t="str">
        <f t="shared" ca="1" si="141"/>
        <v/>
      </c>
    </row>
    <row r="134" spans="1:21" ht="15" thickBot="1" x14ac:dyDescent="0.35">
      <c r="A134" s="68"/>
      <c r="B134" s="21"/>
      <c r="C134" s="61"/>
      <c r="D134" s="61"/>
      <c r="E134" s="67"/>
      <c r="F134" s="69" t="str">
        <f t="shared" ref="F134:F197" ca="1" si="142">IF(E134="","",E134-IF(TODAY()&lt;C134,0,(TODAY()-C134)*I134))</f>
        <v/>
      </c>
      <c r="G134" s="64" t="str">
        <f t="shared" ref="G134:G197" ca="1" si="143">IF(E134="","",NETWORKDAYS(TODAY(),D134)+1)</f>
        <v/>
      </c>
      <c r="H134" s="70" t="str">
        <f t="shared" ref="H134:H197" si="144">IF(E134="","",G134/5)</f>
        <v/>
      </c>
      <c r="I134" s="66" t="str">
        <f t="shared" ref="I134:I197" si="145">IF(E134="","",E134/((NETWORKDAYS(C134,D134))))</f>
        <v/>
      </c>
      <c r="J134" s="59" t="str">
        <f t="shared" ref="J134:U134" ca="1" si="146">IF($A134="","",
IF($C134&gt;J$3+6,0,IF($D134&gt;=J$3,$I134*5,0)
-IF($D134&gt;=J$3,IF(K$3&gt;$D134,NETWORKDAYS($D134,K$3)-2,0)*$I134,0)
-IF(AND($C134&gt;=J$3,$C134&lt;K$3),($C134-J$3)*$I134,0))
-IF(AND(TODAY()&gt;=J$3,TODAY()&lt;K$3),IF(TODAY()&gt;$C134,NETWORKDAYS($C134,TODAY()-1)*$I134,0),0)
)</f>
        <v/>
      </c>
      <c r="K134" s="59" t="str">
        <f t="shared" ca="1" si="146"/>
        <v/>
      </c>
      <c r="L134" s="59" t="str">
        <f t="shared" ca="1" si="146"/>
        <v/>
      </c>
      <c r="M134" s="59" t="str">
        <f t="shared" ca="1" si="146"/>
        <v/>
      </c>
      <c r="N134" s="59" t="str">
        <f t="shared" ca="1" si="146"/>
        <v/>
      </c>
      <c r="O134" s="59" t="str">
        <f t="shared" ca="1" si="146"/>
        <v/>
      </c>
      <c r="P134" s="59" t="str">
        <f t="shared" ca="1" si="146"/>
        <v/>
      </c>
      <c r="Q134" s="59" t="str">
        <f t="shared" ca="1" si="146"/>
        <v/>
      </c>
      <c r="R134" s="59" t="str">
        <f t="shared" ca="1" si="146"/>
        <v/>
      </c>
      <c r="S134" s="59" t="str">
        <f t="shared" ca="1" si="146"/>
        <v/>
      </c>
      <c r="T134" s="59" t="str">
        <f t="shared" ca="1" si="146"/>
        <v/>
      </c>
      <c r="U134" s="59" t="str">
        <f t="shared" ca="1" si="146"/>
        <v/>
      </c>
    </row>
    <row r="135" spans="1:21" ht="15" thickBot="1" x14ac:dyDescent="0.35">
      <c r="A135" s="68"/>
      <c r="B135" s="21"/>
      <c r="C135" s="61"/>
      <c r="D135" s="61"/>
      <c r="E135" s="67"/>
      <c r="F135" s="69" t="str">
        <f t="shared" ca="1" si="142"/>
        <v/>
      </c>
      <c r="G135" s="64" t="str">
        <f t="shared" ca="1" si="143"/>
        <v/>
      </c>
      <c r="H135" s="70" t="str">
        <f t="shared" si="144"/>
        <v/>
      </c>
      <c r="I135" s="66" t="str">
        <f t="shared" si="145"/>
        <v/>
      </c>
      <c r="J135" s="59" t="str">
        <f t="shared" ref="J135:U135" ca="1" si="147">IF($A135="","",
IF($C135&gt;J$3+6,0,IF($D135&gt;=J$3,$I135*5,0)
-IF($D135&gt;=J$3,IF(K$3&gt;$D135,NETWORKDAYS($D135,K$3)-2,0)*$I135,0)
-IF(AND($C135&gt;=J$3,$C135&lt;K$3),($C135-J$3)*$I135,0))
-IF(AND(TODAY()&gt;=J$3,TODAY()&lt;K$3),IF(TODAY()&gt;$C135,NETWORKDAYS($C135,TODAY()-1)*$I135,0),0)
)</f>
        <v/>
      </c>
      <c r="K135" s="59" t="str">
        <f t="shared" ca="1" si="147"/>
        <v/>
      </c>
      <c r="L135" s="59" t="str">
        <f t="shared" ca="1" si="147"/>
        <v/>
      </c>
      <c r="M135" s="59" t="str">
        <f t="shared" ca="1" si="147"/>
        <v/>
      </c>
      <c r="N135" s="59" t="str">
        <f t="shared" ca="1" si="147"/>
        <v/>
      </c>
      <c r="O135" s="59" t="str">
        <f t="shared" ca="1" si="147"/>
        <v/>
      </c>
      <c r="P135" s="59" t="str">
        <f t="shared" ca="1" si="147"/>
        <v/>
      </c>
      <c r="Q135" s="59" t="str">
        <f t="shared" ca="1" si="147"/>
        <v/>
      </c>
      <c r="R135" s="59" t="str">
        <f t="shared" ca="1" si="147"/>
        <v/>
      </c>
      <c r="S135" s="59" t="str">
        <f t="shared" ca="1" si="147"/>
        <v/>
      </c>
      <c r="T135" s="59" t="str">
        <f t="shared" ca="1" si="147"/>
        <v/>
      </c>
      <c r="U135" s="59" t="str">
        <f t="shared" ca="1" si="147"/>
        <v/>
      </c>
    </row>
    <row r="136" spans="1:21" ht="15" thickBot="1" x14ac:dyDescent="0.35">
      <c r="A136" s="68"/>
      <c r="B136" s="21"/>
      <c r="C136" s="61"/>
      <c r="D136" s="61"/>
      <c r="E136" s="67"/>
      <c r="F136" s="69" t="str">
        <f t="shared" ca="1" si="142"/>
        <v/>
      </c>
      <c r="G136" s="64" t="str">
        <f t="shared" ca="1" si="143"/>
        <v/>
      </c>
      <c r="H136" s="70" t="str">
        <f t="shared" si="144"/>
        <v/>
      </c>
      <c r="I136" s="66" t="str">
        <f t="shared" si="145"/>
        <v/>
      </c>
      <c r="J136" s="59" t="str">
        <f t="shared" ref="J136:U136" ca="1" si="148">IF($A136="","",
IF($C136&gt;J$3+6,0,IF($D136&gt;=J$3,$I136*5,0)
-IF($D136&gt;=J$3,IF(K$3&gt;$D136,NETWORKDAYS($D136,K$3)-2,0)*$I136,0)
-IF(AND($C136&gt;=J$3,$C136&lt;K$3),($C136-J$3)*$I136,0))
-IF(AND(TODAY()&gt;=J$3,TODAY()&lt;K$3),IF(TODAY()&gt;$C136,NETWORKDAYS($C136,TODAY()-1)*$I136,0),0)
)</f>
        <v/>
      </c>
      <c r="K136" s="59" t="str">
        <f t="shared" ca="1" si="148"/>
        <v/>
      </c>
      <c r="L136" s="59" t="str">
        <f t="shared" ca="1" si="148"/>
        <v/>
      </c>
      <c r="M136" s="59" t="str">
        <f t="shared" ca="1" si="148"/>
        <v/>
      </c>
      <c r="N136" s="59" t="str">
        <f t="shared" ca="1" si="148"/>
        <v/>
      </c>
      <c r="O136" s="59" t="str">
        <f t="shared" ca="1" si="148"/>
        <v/>
      </c>
      <c r="P136" s="59" t="str">
        <f t="shared" ca="1" si="148"/>
        <v/>
      </c>
      <c r="Q136" s="59" t="str">
        <f t="shared" ca="1" si="148"/>
        <v/>
      </c>
      <c r="R136" s="59" t="str">
        <f t="shared" ca="1" si="148"/>
        <v/>
      </c>
      <c r="S136" s="59" t="str">
        <f t="shared" ca="1" si="148"/>
        <v/>
      </c>
      <c r="T136" s="59" t="str">
        <f t="shared" ca="1" si="148"/>
        <v/>
      </c>
      <c r="U136" s="59" t="str">
        <f t="shared" ca="1" si="148"/>
        <v/>
      </c>
    </row>
    <row r="137" spans="1:21" ht="15" thickBot="1" x14ac:dyDescent="0.35">
      <c r="A137" s="68"/>
      <c r="B137" s="21"/>
      <c r="C137" s="61"/>
      <c r="D137" s="61"/>
      <c r="E137" s="67"/>
      <c r="F137" s="69" t="str">
        <f t="shared" ca="1" si="142"/>
        <v/>
      </c>
      <c r="G137" s="64" t="str">
        <f t="shared" ca="1" si="143"/>
        <v/>
      </c>
      <c r="H137" s="70" t="str">
        <f t="shared" si="144"/>
        <v/>
      </c>
      <c r="I137" s="66" t="str">
        <f t="shared" si="145"/>
        <v/>
      </c>
      <c r="J137" s="59" t="str">
        <f t="shared" ref="J137:U137" ca="1" si="149">IF($A137="","",
IF($C137&gt;J$3+6,0,IF($D137&gt;=J$3,$I137*5,0)
-IF($D137&gt;=J$3,IF(K$3&gt;$D137,NETWORKDAYS($D137,K$3)-2,0)*$I137,0)
-IF(AND($C137&gt;=J$3,$C137&lt;K$3),($C137-J$3)*$I137,0))
-IF(AND(TODAY()&gt;=J$3,TODAY()&lt;K$3),IF(TODAY()&gt;$C137,NETWORKDAYS($C137,TODAY()-1)*$I137,0),0)
)</f>
        <v/>
      </c>
      <c r="K137" s="59" t="str">
        <f t="shared" ca="1" si="149"/>
        <v/>
      </c>
      <c r="L137" s="59" t="str">
        <f t="shared" ca="1" si="149"/>
        <v/>
      </c>
      <c r="M137" s="59" t="str">
        <f t="shared" ca="1" si="149"/>
        <v/>
      </c>
      <c r="N137" s="59" t="str">
        <f t="shared" ca="1" si="149"/>
        <v/>
      </c>
      <c r="O137" s="59" t="str">
        <f t="shared" ca="1" si="149"/>
        <v/>
      </c>
      <c r="P137" s="59" t="str">
        <f t="shared" ca="1" si="149"/>
        <v/>
      </c>
      <c r="Q137" s="59" t="str">
        <f t="shared" ca="1" si="149"/>
        <v/>
      </c>
      <c r="R137" s="59" t="str">
        <f t="shared" ca="1" si="149"/>
        <v/>
      </c>
      <c r="S137" s="59" t="str">
        <f t="shared" ca="1" si="149"/>
        <v/>
      </c>
      <c r="T137" s="59" t="str">
        <f t="shared" ca="1" si="149"/>
        <v/>
      </c>
      <c r="U137" s="59" t="str">
        <f t="shared" ca="1" si="149"/>
        <v/>
      </c>
    </row>
    <row r="138" spans="1:21" ht="15" thickBot="1" x14ac:dyDescent="0.35">
      <c r="A138" s="68"/>
      <c r="B138" s="21"/>
      <c r="C138" s="61"/>
      <c r="D138" s="61"/>
      <c r="E138" s="67"/>
      <c r="F138" s="69" t="str">
        <f t="shared" ca="1" si="142"/>
        <v/>
      </c>
      <c r="G138" s="64" t="str">
        <f t="shared" ca="1" si="143"/>
        <v/>
      </c>
      <c r="H138" s="70" t="str">
        <f t="shared" si="144"/>
        <v/>
      </c>
      <c r="I138" s="66" t="str">
        <f t="shared" si="145"/>
        <v/>
      </c>
      <c r="J138" s="59" t="str">
        <f t="shared" ref="J138:U138" ca="1" si="150">IF($A138="","",
IF($C138&gt;J$3+6,0,IF($D138&gt;=J$3,$I138*5,0)
-IF($D138&gt;=J$3,IF(K$3&gt;$D138,NETWORKDAYS($D138,K$3)-2,0)*$I138,0)
-IF(AND($C138&gt;=J$3,$C138&lt;K$3),($C138-J$3)*$I138,0))
-IF(AND(TODAY()&gt;=J$3,TODAY()&lt;K$3),IF(TODAY()&gt;$C138,NETWORKDAYS($C138,TODAY()-1)*$I138,0),0)
)</f>
        <v/>
      </c>
      <c r="K138" s="59" t="str">
        <f t="shared" ca="1" si="150"/>
        <v/>
      </c>
      <c r="L138" s="59" t="str">
        <f t="shared" ca="1" si="150"/>
        <v/>
      </c>
      <c r="M138" s="59" t="str">
        <f t="shared" ca="1" si="150"/>
        <v/>
      </c>
      <c r="N138" s="59" t="str">
        <f t="shared" ca="1" si="150"/>
        <v/>
      </c>
      <c r="O138" s="59" t="str">
        <f t="shared" ca="1" si="150"/>
        <v/>
      </c>
      <c r="P138" s="59" t="str">
        <f t="shared" ca="1" si="150"/>
        <v/>
      </c>
      <c r="Q138" s="59" t="str">
        <f t="shared" ca="1" si="150"/>
        <v/>
      </c>
      <c r="R138" s="59" t="str">
        <f t="shared" ca="1" si="150"/>
        <v/>
      </c>
      <c r="S138" s="59" t="str">
        <f t="shared" ca="1" si="150"/>
        <v/>
      </c>
      <c r="T138" s="59" t="str">
        <f t="shared" ca="1" si="150"/>
        <v/>
      </c>
      <c r="U138" s="59" t="str">
        <f t="shared" ca="1" si="150"/>
        <v/>
      </c>
    </row>
    <row r="139" spans="1:21" ht="15" thickBot="1" x14ac:dyDescent="0.35">
      <c r="A139" s="68"/>
      <c r="B139" s="21"/>
      <c r="C139" s="61"/>
      <c r="D139" s="61"/>
      <c r="E139" s="67"/>
      <c r="F139" s="69" t="str">
        <f t="shared" ca="1" si="142"/>
        <v/>
      </c>
      <c r="G139" s="64" t="str">
        <f t="shared" ca="1" si="143"/>
        <v/>
      </c>
      <c r="H139" s="70" t="str">
        <f t="shared" si="144"/>
        <v/>
      </c>
      <c r="I139" s="66" t="str">
        <f t="shared" si="145"/>
        <v/>
      </c>
      <c r="J139" s="59" t="str">
        <f t="shared" ref="J139:U139" ca="1" si="151">IF($A139="","",
IF($C139&gt;J$3+6,0,IF($D139&gt;=J$3,$I139*5,0)
-IF($D139&gt;=J$3,IF(K$3&gt;$D139,NETWORKDAYS($D139,K$3)-2,0)*$I139,0)
-IF(AND($C139&gt;=J$3,$C139&lt;K$3),($C139-J$3)*$I139,0))
-IF(AND(TODAY()&gt;=J$3,TODAY()&lt;K$3),IF(TODAY()&gt;$C139,NETWORKDAYS($C139,TODAY()-1)*$I139,0),0)
)</f>
        <v/>
      </c>
      <c r="K139" s="59" t="str">
        <f t="shared" ca="1" si="151"/>
        <v/>
      </c>
      <c r="L139" s="59" t="str">
        <f t="shared" ca="1" si="151"/>
        <v/>
      </c>
      <c r="M139" s="59" t="str">
        <f t="shared" ca="1" si="151"/>
        <v/>
      </c>
      <c r="N139" s="59" t="str">
        <f t="shared" ca="1" si="151"/>
        <v/>
      </c>
      <c r="O139" s="59" t="str">
        <f t="shared" ca="1" si="151"/>
        <v/>
      </c>
      <c r="P139" s="59" t="str">
        <f t="shared" ca="1" si="151"/>
        <v/>
      </c>
      <c r="Q139" s="59" t="str">
        <f t="shared" ca="1" si="151"/>
        <v/>
      </c>
      <c r="R139" s="59" t="str">
        <f t="shared" ca="1" si="151"/>
        <v/>
      </c>
      <c r="S139" s="59" t="str">
        <f t="shared" ca="1" si="151"/>
        <v/>
      </c>
      <c r="T139" s="59" t="str">
        <f t="shared" ca="1" si="151"/>
        <v/>
      </c>
      <c r="U139" s="59" t="str">
        <f t="shared" ca="1" si="151"/>
        <v/>
      </c>
    </row>
    <row r="140" spans="1:21" ht="15" thickBot="1" x14ac:dyDescent="0.35">
      <c r="A140" s="68"/>
      <c r="B140" s="21"/>
      <c r="C140" s="61"/>
      <c r="D140" s="61"/>
      <c r="E140" s="67"/>
      <c r="F140" s="69" t="str">
        <f t="shared" ca="1" si="142"/>
        <v/>
      </c>
      <c r="G140" s="64" t="str">
        <f t="shared" ca="1" si="143"/>
        <v/>
      </c>
      <c r="H140" s="70" t="str">
        <f t="shared" si="144"/>
        <v/>
      </c>
      <c r="I140" s="66" t="str">
        <f t="shared" si="145"/>
        <v/>
      </c>
      <c r="J140" s="59" t="str">
        <f t="shared" ref="J140:U140" ca="1" si="152">IF($A140="","",
IF($C140&gt;J$3+6,0,IF($D140&gt;=J$3,$I140*5,0)
-IF($D140&gt;=J$3,IF(K$3&gt;$D140,NETWORKDAYS($D140,K$3)-2,0)*$I140,0)
-IF(AND($C140&gt;=J$3,$C140&lt;K$3),($C140-J$3)*$I140,0))
-IF(AND(TODAY()&gt;=J$3,TODAY()&lt;K$3),IF(TODAY()&gt;$C140,NETWORKDAYS($C140,TODAY()-1)*$I140,0),0)
)</f>
        <v/>
      </c>
      <c r="K140" s="59" t="str">
        <f t="shared" ca="1" si="152"/>
        <v/>
      </c>
      <c r="L140" s="59" t="str">
        <f t="shared" ca="1" si="152"/>
        <v/>
      </c>
      <c r="M140" s="59" t="str">
        <f t="shared" ca="1" si="152"/>
        <v/>
      </c>
      <c r="N140" s="59" t="str">
        <f t="shared" ca="1" si="152"/>
        <v/>
      </c>
      <c r="O140" s="59" t="str">
        <f t="shared" ca="1" si="152"/>
        <v/>
      </c>
      <c r="P140" s="59" t="str">
        <f t="shared" ca="1" si="152"/>
        <v/>
      </c>
      <c r="Q140" s="59" t="str">
        <f t="shared" ca="1" si="152"/>
        <v/>
      </c>
      <c r="R140" s="59" t="str">
        <f t="shared" ca="1" si="152"/>
        <v/>
      </c>
      <c r="S140" s="59" t="str">
        <f t="shared" ca="1" si="152"/>
        <v/>
      </c>
      <c r="T140" s="59" t="str">
        <f t="shared" ca="1" si="152"/>
        <v/>
      </c>
      <c r="U140" s="59" t="str">
        <f t="shared" ca="1" si="152"/>
        <v/>
      </c>
    </row>
    <row r="141" spans="1:21" ht="15" thickBot="1" x14ac:dyDescent="0.35">
      <c r="A141" s="68"/>
      <c r="B141" s="21"/>
      <c r="C141" s="61"/>
      <c r="D141" s="61"/>
      <c r="E141" s="67"/>
      <c r="F141" s="69" t="str">
        <f t="shared" ca="1" si="142"/>
        <v/>
      </c>
      <c r="G141" s="64" t="str">
        <f t="shared" ca="1" si="143"/>
        <v/>
      </c>
      <c r="H141" s="70" t="str">
        <f t="shared" si="144"/>
        <v/>
      </c>
      <c r="I141" s="66" t="str">
        <f t="shared" si="145"/>
        <v/>
      </c>
      <c r="J141" s="59" t="str">
        <f t="shared" ref="J141:U141" ca="1" si="153">IF($A141="","",
IF($C141&gt;J$3+6,0,IF($D141&gt;=J$3,$I141*5,0)
-IF($D141&gt;=J$3,IF(K$3&gt;$D141,NETWORKDAYS($D141,K$3)-2,0)*$I141,0)
-IF(AND($C141&gt;=J$3,$C141&lt;K$3),($C141-J$3)*$I141,0))
-IF(AND(TODAY()&gt;=J$3,TODAY()&lt;K$3),IF(TODAY()&gt;$C141,NETWORKDAYS($C141,TODAY()-1)*$I141,0),0)
)</f>
        <v/>
      </c>
      <c r="K141" s="59" t="str">
        <f t="shared" ca="1" si="153"/>
        <v/>
      </c>
      <c r="L141" s="59" t="str">
        <f t="shared" ca="1" si="153"/>
        <v/>
      </c>
      <c r="M141" s="59" t="str">
        <f t="shared" ca="1" si="153"/>
        <v/>
      </c>
      <c r="N141" s="59" t="str">
        <f t="shared" ca="1" si="153"/>
        <v/>
      </c>
      <c r="O141" s="59" t="str">
        <f t="shared" ca="1" si="153"/>
        <v/>
      </c>
      <c r="P141" s="59" t="str">
        <f t="shared" ca="1" si="153"/>
        <v/>
      </c>
      <c r="Q141" s="59" t="str">
        <f t="shared" ca="1" si="153"/>
        <v/>
      </c>
      <c r="R141" s="59" t="str">
        <f t="shared" ca="1" si="153"/>
        <v/>
      </c>
      <c r="S141" s="59" t="str">
        <f t="shared" ca="1" si="153"/>
        <v/>
      </c>
      <c r="T141" s="59" t="str">
        <f t="shared" ca="1" si="153"/>
        <v/>
      </c>
      <c r="U141" s="59" t="str">
        <f t="shared" ca="1" si="153"/>
        <v/>
      </c>
    </row>
    <row r="142" spans="1:21" ht="15" thickBot="1" x14ac:dyDescent="0.35">
      <c r="A142" s="68"/>
      <c r="B142" s="21"/>
      <c r="C142" s="61"/>
      <c r="D142" s="61"/>
      <c r="E142" s="67"/>
      <c r="F142" s="69" t="str">
        <f t="shared" ca="1" si="142"/>
        <v/>
      </c>
      <c r="G142" s="64" t="str">
        <f t="shared" ca="1" si="143"/>
        <v/>
      </c>
      <c r="H142" s="70" t="str">
        <f t="shared" si="144"/>
        <v/>
      </c>
      <c r="I142" s="66" t="str">
        <f t="shared" si="145"/>
        <v/>
      </c>
      <c r="J142" s="59" t="str">
        <f t="shared" ref="J142:U142" ca="1" si="154">IF($A142="","",
IF($C142&gt;J$3+6,0,IF($D142&gt;=J$3,$I142*5,0)
-IF($D142&gt;=J$3,IF(K$3&gt;$D142,NETWORKDAYS($D142,K$3)-2,0)*$I142,0)
-IF(AND($C142&gt;=J$3,$C142&lt;K$3),($C142-J$3)*$I142,0))
-IF(AND(TODAY()&gt;=J$3,TODAY()&lt;K$3),IF(TODAY()&gt;$C142,NETWORKDAYS($C142,TODAY()-1)*$I142,0),0)
)</f>
        <v/>
      </c>
      <c r="K142" s="59" t="str">
        <f t="shared" ca="1" si="154"/>
        <v/>
      </c>
      <c r="L142" s="59" t="str">
        <f t="shared" ca="1" si="154"/>
        <v/>
      </c>
      <c r="M142" s="59" t="str">
        <f t="shared" ca="1" si="154"/>
        <v/>
      </c>
      <c r="N142" s="59" t="str">
        <f t="shared" ca="1" si="154"/>
        <v/>
      </c>
      <c r="O142" s="59" t="str">
        <f t="shared" ca="1" si="154"/>
        <v/>
      </c>
      <c r="P142" s="59" t="str">
        <f t="shared" ca="1" si="154"/>
        <v/>
      </c>
      <c r="Q142" s="59" t="str">
        <f t="shared" ca="1" si="154"/>
        <v/>
      </c>
      <c r="R142" s="59" t="str">
        <f t="shared" ca="1" si="154"/>
        <v/>
      </c>
      <c r="S142" s="59" t="str">
        <f t="shared" ca="1" si="154"/>
        <v/>
      </c>
      <c r="T142" s="59" t="str">
        <f t="shared" ca="1" si="154"/>
        <v/>
      </c>
      <c r="U142" s="59" t="str">
        <f t="shared" ca="1" si="154"/>
        <v/>
      </c>
    </row>
    <row r="143" spans="1:21" ht="15" thickBot="1" x14ac:dyDescent="0.35">
      <c r="A143" s="68"/>
      <c r="B143" s="21"/>
      <c r="C143" s="61"/>
      <c r="D143" s="61"/>
      <c r="E143" s="67"/>
      <c r="F143" s="69" t="str">
        <f t="shared" ca="1" si="142"/>
        <v/>
      </c>
      <c r="G143" s="64" t="str">
        <f t="shared" ca="1" si="143"/>
        <v/>
      </c>
      <c r="H143" s="70" t="str">
        <f t="shared" si="144"/>
        <v/>
      </c>
      <c r="I143" s="66" t="str">
        <f t="shared" si="145"/>
        <v/>
      </c>
      <c r="J143" s="59" t="str">
        <f t="shared" ref="J143:U143" ca="1" si="155">IF($A143="","",
IF($C143&gt;J$3+6,0,IF($D143&gt;=J$3,$I143*5,0)
-IF($D143&gt;=J$3,IF(K$3&gt;$D143,NETWORKDAYS($D143,K$3)-2,0)*$I143,0)
-IF(AND($C143&gt;=J$3,$C143&lt;K$3),($C143-J$3)*$I143,0))
-IF(AND(TODAY()&gt;=J$3,TODAY()&lt;K$3),IF(TODAY()&gt;$C143,NETWORKDAYS($C143,TODAY()-1)*$I143,0),0)
)</f>
        <v/>
      </c>
      <c r="K143" s="59" t="str">
        <f t="shared" ca="1" si="155"/>
        <v/>
      </c>
      <c r="L143" s="59" t="str">
        <f t="shared" ca="1" si="155"/>
        <v/>
      </c>
      <c r="M143" s="59" t="str">
        <f t="shared" ca="1" si="155"/>
        <v/>
      </c>
      <c r="N143" s="59" t="str">
        <f t="shared" ca="1" si="155"/>
        <v/>
      </c>
      <c r="O143" s="59" t="str">
        <f t="shared" ca="1" si="155"/>
        <v/>
      </c>
      <c r="P143" s="59" t="str">
        <f t="shared" ca="1" si="155"/>
        <v/>
      </c>
      <c r="Q143" s="59" t="str">
        <f t="shared" ca="1" si="155"/>
        <v/>
      </c>
      <c r="R143" s="59" t="str">
        <f t="shared" ca="1" si="155"/>
        <v/>
      </c>
      <c r="S143" s="59" t="str">
        <f t="shared" ca="1" si="155"/>
        <v/>
      </c>
      <c r="T143" s="59" t="str">
        <f t="shared" ca="1" si="155"/>
        <v/>
      </c>
      <c r="U143" s="59" t="str">
        <f t="shared" ca="1" si="155"/>
        <v/>
      </c>
    </row>
    <row r="144" spans="1:21" ht="15" thickBot="1" x14ac:dyDescent="0.35">
      <c r="A144" s="68"/>
      <c r="B144" s="21"/>
      <c r="C144" s="61"/>
      <c r="D144" s="61"/>
      <c r="E144" s="67"/>
      <c r="F144" s="69" t="str">
        <f t="shared" ca="1" si="142"/>
        <v/>
      </c>
      <c r="G144" s="64" t="str">
        <f t="shared" ca="1" si="143"/>
        <v/>
      </c>
      <c r="H144" s="70" t="str">
        <f t="shared" si="144"/>
        <v/>
      </c>
      <c r="I144" s="66" t="str">
        <f t="shared" si="145"/>
        <v/>
      </c>
      <c r="J144" s="59" t="str">
        <f t="shared" ref="J144:U144" ca="1" si="156">IF($A144="","",
IF($C144&gt;J$3+6,0,IF($D144&gt;=J$3,$I144*5,0)
-IF($D144&gt;=J$3,IF(K$3&gt;$D144,NETWORKDAYS($D144,K$3)-2,0)*$I144,0)
-IF(AND($C144&gt;=J$3,$C144&lt;K$3),($C144-J$3)*$I144,0))
-IF(AND(TODAY()&gt;=J$3,TODAY()&lt;K$3),IF(TODAY()&gt;$C144,NETWORKDAYS($C144,TODAY()-1)*$I144,0),0)
)</f>
        <v/>
      </c>
      <c r="K144" s="59" t="str">
        <f t="shared" ca="1" si="156"/>
        <v/>
      </c>
      <c r="L144" s="59" t="str">
        <f t="shared" ca="1" si="156"/>
        <v/>
      </c>
      <c r="M144" s="59" t="str">
        <f t="shared" ca="1" si="156"/>
        <v/>
      </c>
      <c r="N144" s="59" t="str">
        <f t="shared" ca="1" si="156"/>
        <v/>
      </c>
      <c r="O144" s="59" t="str">
        <f t="shared" ca="1" si="156"/>
        <v/>
      </c>
      <c r="P144" s="59" t="str">
        <f t="shared" ca="1" si="156"/>
        <v/>
      </c>
      <c r="Q144" s="59" t="str">
        <f t="shared" ca="1" si="156"/>
        <v/>
      </c>
      <c r="R144" s="59" t="str">
        <f t="shared" ca="1" si="156"/>
        <v/>
      </c>
      <c r="S144" s="59" t="str">
        <f t="shared" ca="1" si="156"/>
        <v/>
      </c>
      <c r="T144" s="59" t="str">
        <f t="shared" ca="1" si="156"/>
        <v/>
      </c>
      <c r="U144" s="59" t="str">
        <f t="shared" ca="1" si="156"/>
        <v/>
      </c>
    </row>
    <row r="145" spans="1:21" ht="15" thickBot="1" x14ac:dyDescent="0.35">
      <c r="A145" s="68"/>
      <c r="B145" s="21"/>
      <c r="C145" s="61"/>
      <c r="D145" s="61"/>
      <c r="E145" s="67"/>
      <c r="F145" s="69" t="str">
        <f t="shared" ca="1" si="142"/>
        <v/>
      </c>
      <c r="G145" s="64" t="str">
        <f t="shared" ca="1" si="143"/>
        <v/>
      </c>
      <c r="H145" s="70" t="str">
        <f t="shared" si="144"/>
        <v/>
      </c>
      <c r="I145" s="66" t="str">
        <f t="shared" si="145"/>
        <v/>
      </c>
      <c r="J145" s="59" t="str">
        <f t="shared" ref="J145:U145" ca="1" si="157">IF($A145="","",
IF($C145&gt;J$3+6,0,IF($D145&gt;=J$3,$I145*5,0)
-IF($D145&gt;=J$3,IF(K$3&gt;$D145,NETWORKDAYS($D145,K$3)-2,0)*$I145,0)
-IF(AND($C145&gt;=J$3,$C145&lt;K$3),($C145-J$3)*$I145,0))
-IF(AND(TODAY()&gt;=J$3,TODAY()&lt;K$3),IF(TODAY()&gt;$C145,NETWORKDAYS($C145,TODAY()-1)*$I145,0),0)
)</f>
        <v/>
      </c>
      <c r="K145" s="59" t="str">
        <f t="shared" ca="1" si="157"/>
        <v/>
      </c>
      <c r="L145" s="59" t="str">
        <f t="shared" ca="1" si="157"/>
        <v/>
      </c>
      <c r="M145" s="59" t="str">
        <f t="shared" ca="1" si="157"/>
        <v/>
      </c>
      <c r="N145" s="59" t="str">
        <f t="shared" ca="1" si="157"/>
        <v/>
      </c>
      <c r="O145" s="59" t="str">
        <f t="shared" ca="1" si="157"/>
        <v/>
      </c>
      <c r="P145" s="59" t="str">
        <f t="shared" ca="1" si="157"/>
        <v/>
      </c>
      <c r="Q145" s="59" t="str">
        <f t="shared" ca="1" si="157"/>
        <v/>
      </c>
      <c r="R145" s="59" t="str">
        <f t="shared" ca="1" si="157"/>
        <v/>
      </c>
      <c r="S145" s="59" t="str">
        <f t="shared" ca="1" si="157"/>
        <v/>
      </c>
      <c r="T145" s="59" t="str">
        <f t="shared" ca="1" si="157"/>
        <v/>
      </c>
      <c r="U145" s="59" t="str">
        <f t="shared" ca="1" si="157"/>
        <v/>
      </c>
    </row>
    <row r="146" spans="1:21" ht="15" thickBot="1" x14ac:dyDescent="0.35">
      <c r="A146" s="68"/>
      <c r="B146" s="21"/>
      <c r="C146" s="61"/>
      <c r="D146" s="61"/>
      <c r="E146" s="67"/>
      <c r="F146" s="69" t="str">
        <f t="shared" ca="1" si="142"/>
        <v/>
      </c>
      <c r="G146" s="64" t="str">
        <f t="shared" ca="1" si="143"/>
        <v/>
      </c>
      <c r="H146" s="70" t="str">
        <f t="shared" si="144"/>
        <v/>
      </c>
      <c r="I146" s="66" t="str">
        <f t="shared" si="145"/>
        <v/>
      </c>
      <c r="J146" s="59" t="str">
        <f t="shared" ref="J146:U146" ca="1" si="158">IF($A146="","",
IF($C146&gt;J$3+6,0,IF($D146&gt;=J$3,$I146*5,0)
-IF($D146&gt;=J$3,IF(K$3&gt;$D146,NETWORKDAYS($D146,K$3)-2,0)*$I146,0)
-IF(AND($C146&gt;=J$3,$C146&lt;K$3),($C146-J$3)*$I146,0))
-IF(AND(TODAY()&gt;=J$3,TODAY()&lt;K$3),IF(TODAY()&gt;$C146,NETWORKDAYS($C146,TODAY()-1)*$I146,0),0)
)</f>
        <v/>
      </c>
      <c r="K146" s="59" t="str">
        <f t="shared" ca="1" si="158"/>
        <v/>
      </c>
      <c r="L146" s="59" t="str">
        <f t="shared" ca="1" si="158"/>
        <v/>
      </c>
      <c r="M146" s="59" t="str">
        <f t="shared" ca="1" si="158"/>
        <v/>
      </c>
      <c r="N146" s="59" t="str">
        <f t="shared" ca="1" si="158"/>
        <v/>
      </c>
      <c r="O146" s="59" t="str">
        <f t="shared" ca="1" si="158"/>
        <v/>
      </c>
      <c r="P146" s="59" t="str">
        <f t="shared" ca="1" si="158"/>
        <v/>
      </c>
      <c r="Q146" s="59" t="str">
        <f t="shared" ca="1" si="158"/>
        <v/>
      </c>
      <c r="R146" s="59" t="str">
        <f t="shared" ca="1" si="158"/>
        <v/>
      </c>
      <c r="S146" s="59" t="str">
        <f t="shared" ca="1" si="158"/>
        <v/>
      </c>
      <c r="T146" s="59" t="str">
        <f t="shared" ca="1" si="158"/>
        <v/>
      </c>
      <c r="U146" s="59" t="str">
        <f t="shared" ca="1" si="158"/>
        <v/>
      </c>
    </row>
    <row r="147" spans="1:21" ht="15" thickBot="1" x14ac:dyDescent="0.35">
      <c r="A147" s="68"/>
      <c r="B147" s="21"/>
      <c r="C147" s="61"/>
      <c r="D147" s="61"/>
      <c r="E147" s="67"/>
      <c r="F147" s="69" t="str">
        <f t="shared" ca="1" si="142"/>
        <v/>
      </c>
      <c r="G147" s="64" t="str">
        <f t="shared" ca="1" si="143"/>
        <v/>
      </c>
      <c r="H147" s="70" t="str">
        <f t="shared" si="144"/>
        <v/>
      </c>
      <c r="I147" s="66" t="str">
        <f t="shared" si="145"/>
        <v/>
      </c>
      <c r="J147" s="59" t="str">
        <f t="shared" ref="J147:U147" ca="1" si="159">IF($A147="","",
IF($C147&gt;J$3+6,0,IF($D147&gt;=J$3,$I147*5,0)
-IF($D147&gt;=J$3,IF(K$3&gt;$D147,NETWORKDAYS($D147,K$3)-2,0)*$I147,0)
-IF(AND($C147&gt;=J$3,$C147&lt;K$3),($C147-J$3)*$I147,0))
-IF(AND(TODAY()&gt;=J$3,TODAY()&lt;K$3),IF(TODAY()&gt;$C147,NETWORKDAYS($C147,TODAY()-1)*$I147,0),0)
)</f>
        <v/>
      </c>
      <c r="K147" s="59" t="str">
        <f t="shared" ca="1" si="159"/>
        <v/>
      </c>
      <c r="L147" s="59" t="str">
        <f t="shared" ca="1" si="159"/>
        <v/>
      </c>
      <c r="M147" s="59" t="str">
        <f t="shared" ca="1" si="159"/>
        <v/>
      </c>
      <c r="N147" s="59" t="str">
        <f t="shared" ca="1" si="159"/>
        <v/>
      </c>
      <c r="O147" s="59" t="str">
        <f t="shared" ca="1" si="159"/>
        <v/>
      </c>
      <c r="P147" s="59" t="str">
        <f t="shared" ca="1" si="159"/>
        <v/>
      </c>
      <c r="Q147" s="59" t="str">
        <f t="shared" ca="1" si="159"/>
        <v/>
      </c>
      <c r="R147" s="59" t="str">
        <f t="shared" ca="1" si="159"/>
        <v/>
      </c>
      <c r="S147" s="59" t="str">
        <f t="shared" ca="1" si="159"/>
        <v/>
      </c>
      <c r="T147" s="59" t="str">
        <f t="shared" ca="1" si="159"/>
        <v/>
      </c>
      <c r="U147" s="59" t="str">
        <f t="shared" ca="1" si="159"/>
        <v/>
      </c>
    </row>
    <row r="148" spans="1:21" ht="15" thickBot="1" x14ac:dyDescent="0.35">
      <c r="A148" s="68"/>
      <c r="B148" s="21"/>
      <c r="C148" s="61"/>
      <c r="D148" s="61"/>
      <c r="E148" s="67"/>
      <c r="F148" s="69" t="str">
        <f t="shared" ca="1" si="142"/>
        <v/>
      </c>
      <c r="G148" s="64" t="str">
        <f t="shared" ca="1" si="143"/>
        <v/>
      </c>
      <c r="H148" s="70" t="str">
        <f t="shared" si="144"/>
        <v/>
      </c>
      <c r="I148" s="66" t="str">
        <f t="shared" si="145"/>
        <v/>
      </c>
      <c r="J148" s="59" t="str">
        <f t="shared" ref="J148:U148" ca="1" si="160">IF($A148="","",
IF($C148&gt;J$3+6,0,IF($D148&gt;=J$3,$I148*5,0)
-IF($D148&gt;=J$3,IF(K$3&gt;$D148,NETWORKDAYS($D148,K$3)-2,0)*$I148,0)
-IF(AND($C148&gt;=J$3,$C148&lt;K$3),($C148-J$3)*$I148,0))
-IF(AND(TODAY()&gt;=J$3,TODAY()&lt;K$3),IF(TODAY()&gt;$C148,NETWORKDAYS($C148,TODAY()-1)*$I148,0),0)
)</f>
        <v/>
      </c>
      <c r="K148" s="59" t="str">
        <f t="shared" ca="1" si="160"/>
        <v/>
      </c>
      <c r="L148" s="59" t="str">
        <f t="shared" ca="1" si="160"/>
        <v/>
      </c>
      <c r="M148" s="59" t="str">
        <f t="shared" ca="1" si="160"/>
        <v/>
      </c>
      <c r="N148" s="59" t="str">
        <f t="shared" ca="1" si="160"/>
        <v/>
      </c>
      <c r="O148" s="59" t="str">
        <f t="shared" ca="1" si="160"/>
        <v/>
      </c>
      <c r="P148" s="59" t="str">
        <f t="shared" ca="1" si="160"/>
        <v/>
      </c>
      <c r="Q148" s="59" t="str">
        <f t="shared" ca="1" si="160"/>
        <v/>
      </c>
      <c r="R148" s="59" t="str">
        <f t="shared" ca="1" si="160"/>
        <v/>
      </c>
      <c r="S148" s="59" t="str">
        <f t="shared" ca="1" si="160"/>
        <v/>
      </c>
      <c r="T148" s="59" t="str">
        <f t="shared" ca="1" si="160"/>
        <v/>
      </c>
      <c r="U148" s="59" t="str">
        <f t="shared" ca="1" si="160"/>
        <v/>
      </c>
    </row>
    <row r="149" spans="1:21" ht="15" thickBot="1" x14ac:dyDescent="0.35">
      <c r="A149" s="68"/>
      <c r="B149" s="21"/>
      <c r="C149" s="61"/>
      <c r="D149" s="61"/>
      <c r="E149" s="67"/>
      <c r="F149" s="69" t="str">
        <f t="shared" ca="1" si="142"/>
        <v/>
      </c>
      <c r="G149" s="64" t="str">
        <f t="shared" ca="1" si="143"/>
        <v/>
      </c>
      <c r="H149" s="70" t="str">
        <f t="shared" si="144"/>
        <v/>
      </c>
      <c r="I149" s="66" t="str">
        <f t="shared" si="145"/>
        <v/>
      </c>
      <c r="J149" s="59" t="str">
        <f t="shared" ref="J149:U149" ca="1" si="161">IF($A149="","",
IF($C149&gt;J$3+6,0,IF($D149&gt;=J$3,$I149*5,0)
-IF($D149&gt;=J$3,IF(K$3&gt;$D149,NETWORKDAYS($D149,K$3)-2,0)*$I149,0)
-IF(AND($C149&gt;=J$3,$C149&lt;K$3),($C149-J$3)*$I149,0))
-IF(AND(TODAY()&gt;=J$3,TODAY()&lt;K$3),IF(TODAY()&gt;$C149,NETWORKDAYS($C149,TODAY()-1)*$I149,0),0)
)</f>
        <v/>
      </c>
      <c r="K149" s="59" t="str">
        <f t="shared" ca="1" si="161"/>
        <v/>
      </c>
      <c r="L149" s="59" t="str">
        <f t="shared" ca="1" si="161"/>
        <v/>
      </c>
      <c r="M149" s="59" t="str">
        <f t="shared" ca="1" si="161"/>
        <v/>
      </c>
      <c r="N149" s="59" t="str">
        <f t="shared" ca="1" si="161"/>
        <v/>
      </c>
      <c r="O149" s="59" t="str">
        <f t="shared" ca="1" si="161"/>
        <v/>
      </c>
      <c r="P149" s="59" t="str">
        <f t="shared" ca="1" si="161"/>
        <v/>
      </c>
      <c r="Q149" s="59" t="str">
        <f t="shared" ca="1" si="161"/>
        <v/>
      </c>
      <c r="R149" s="59" t="str">
        <f t="shared" ca="1" si="161"/>
        <v/>
      </c>
      <c r="S149" s="59" t="str">
        <f t="shared" ca="1" si="161"/>
        <v/>
      </c>
      <c r="T149" s="59" t="str">
        <f t="shared" ca="1" si="161"/>
        <v/>
      </c>
      <c r="U149" s="59" t="str">
        <f t="shared" ca="1" si="161"/>
        <v/>
      </c>
    </row>
    <row r="150" spans="1:21" ht="15" thickBot="1" x14ac:dyDescent="0.35">
      <c r="A150" s="68"/>
      <c r="B150" s="21"/>
      <c r="C150" s="61"/>
      <c r="D150" s="61"/>
      <c r="E150" s="67"/>
      <c r="F150" s="69" t="str">
        <f t="shared" ca="1" si="142"/>
        <v/>
      </c>
      <c r="G150" s="64" t="str">
        <f t="shared" ca="1" si="143"/>
        <v/>
      </c>
      <c r="H150" s="70" t="str">
        <f t="shared" si="144"/>
        <v/>
      </c>
      <c r="I150" s="66" t="str">
        <f t="shared" si="145"/>
        <v/>
      </c>
      <c r="J150" s="59" t="str">
        <f t="shared" ref="J150:U150" ca="1" si="162">IF($A150="","",
IF($C150&gt;J$3+6,0,IF($D150&gt;=J$3,$I150*5,0)
-IF($D150&gt;=J$3,IF(K$3&gt;$D150,NETWORKDAYS($D150,K$3)-2,0)*$I150,0)
-IF(AND($C150&gt;=J$3,$C150&lt;K$3),($C150-J$3)*$I150,0))
-IF(AND(TODAY()&gt;=J$3,TODAY()&lt;K$3),IF(TODAY()&gt;$C150,NETWORKDAYS($C150,TODAY()-1)*$I150,0),0)
)</f>
        <v/>
      </c>
      <c r="K150" s="59" t="str">
        <f t="shared" ca="1" si="162"/>
        <v/>
      </c>
      <c r="L150" s="59" t="str">
        <f t="shared" ca="1" si="162"/>
        <v/>
      </c>
      <c r="M150" s="59" t="str">
        <f t="shared" ca="1" si="162"/>
        <v/>
      </c>
      <c r="N150" s="59" t="str">
        <f t="shared" ca="1" si="162"/>
        <v/>
      </c>
      <c r="O150" s="59" t="str">
        <f t="shared" ca="1" si="162"/>
        <v/>
      </c>
      <c r="P150" s="59" t="str">
        <f t="shared" ca="1" si="162"/>
        <v/>
      </c>
      <c r="Q150" s="59" t="str">
        <f t="shared" ca="1" si="162"/>
        <v/>
      </c>
      <c r="R150" s="59" t="str">
        <f t="shared" ca="1" si="162"/>
        <v/>
      </c>
      <c r="S150" s="59" t="str">
        <f t="shared" ca="1" si="162"/>
        <v/>
      </c>
      <c r="T150" s="59" t="str">
        <f t="shared" ca="1" si="162"/>
        <v/>
      </c>
      <c r="U150" s="59" t="str">
        <f t="shared" ca="1" si="162"/>
        <v/>
      </c>
    </row>
    <row r="151" spans="1:21" ht="15" thickBot="1" x14ac:dyDescent="0.35">
      <c r="A151" s="68"/>
      <c r="B151" s="21"/>
      <c r="C151" s="61"/>
      <c r="D151" s="61"/>
      <c r="E151" s="67"/>
      <c r="F151" s="69" t="str">
        <f t="shared" ca="1" si="142"/>
        <v/>
      </c>
      <c r="G151" s="64" t="str">
        <f t="shared" ca="1" si="143"/>
        <v/>
      </c>
      <c r="H151" s="70" t="str">
        <f t="shared" si="144"/>
        <v/>
      </c>
      <c r="I151" s="66" t="str">
        <f t="shared" si="145"/>
        <v/>
      </c>
      <c r="J151" s="59" t="str">
        <f t="shared" ref="J151:U151" ca="1" si="163">IF($A151="","",
IF($C151&gt;J$3+6,0,IF($D151&gt;=J$3,$I151*5,0)
-IF($D151&gt;=J$3,IF(K$3&gt;$D151,NETWORKDAYS($D151,K$3)-2,0)*$I151,0)
-IF(AND($C151&gt;=J$3,$C151&lt;K$3),($C151-J$3)*$I151,0))
-IF(AND(TODAY()&gt;=J$3,TODAY()&lt;K$3),IF(TODAY()&gt;$C151,NETWORKDAYS($C151,TODAY()-1)*$I151,0),0)
)</f>
        <v/>
      </c>
      <c r="K151" s="59" t="str">
        <f t="shared" ca="1" si="163"/>
        <v/>
      </c>
      <c r="L151" s="59" t="str">
        <f t="shared" ca="1" si="163"/>
        <v/>
      </c>
      <c r="M151" s="59" t="str">
        <f t="shared" ca="1" si="163"/>
        <v/>
      </c>
      <c r="N151" s="59" t="str">
        <f t="shared" ca="1" si="163"/>
        <v/>
      </c>
      <c r="O151" s="59" t="str">
        <f t="shared" ca="1" si="163"/>
        <v/>
      </c>
      <c r="P151" s="59" t="str">
        <f t="shared" ca="1" si="163"/>
        <v/>
      </c>
      <c r="Q151" s="59" t="str">
        <f t="shared" ca="1" si="163"/>
        <v/>
      </c>
      <c r="R151" s="59" t="str">
        <f t="shared" ca="1" si="163"/>
        <v/>
      </c>
      <c r="S151" s="59" t="str">
        <f t="shared" ca="1" si="163"/>
        <v/>
      </c>
      <c r="T151" s="59" t="str">
        <f t="shared" ca="1" si="163"/>
        <v/>
      </c>
      <c r="U151" s="59" t="str">
        <f t="shared" ca="1" si="163"/>
        <v/>
      </c>
    </row>
    <row r="152" spans="1:21" ht="15" thickBot="1" x14ac:dyDescent="0.35">
      <c r="A152" s="68"/>
      <c r="B152" s="21"/>
      <c r="C152" s="61"/>
      <c r="D152" s="61"/>
      <c r="E152" s="67"/>
      <c r="F152" s="69" t="str">
        <f t="shared" ca="1" si="142"/>
        <v/>
      </c>
      <c r="G152" s="64" t="str">
        <f t="shared" ca="1" si="143"/>
        <v/>
      </c>
      <c r="H152" s="70" t="str">
        <f t="shared" si="144"/>
        <v/>
      </c>
      <c r="I152" s="66" t="str">
        <f t="shared" si="145"/>
        <v/>
      </c>
      <c r="J152" s="59" t="str">
        <f t="shared" ref="J152:U152" ca="1" si="164">IF($A152="","",
IF($C152&gt;J$3+6,0,IF($D152&gt;=J$3,$I152*5,0)
-IF($D152&gt;=J$3,IF(K$3&gt;$D152,NETWORKDAYS($D152,K$3)-2,0)*$I152,0)
-IF(AND($C152&gt;=J$3,$C152&lt;K$3),($C152-J$3)*$I152,0))
-IF(AND(TODAY()&gt;=J$3,TODAY()&lt;K$3),IF(TODAY()&gt;$C152,NETWORKDAYS($C152,TODAY()-1)*$I152,0),0)
)</f>
        <v/>
      </c>
      <c r="K152" s="59" t="str">
        <f t="shared" ca="1" si="164"/>
        <v/>
      </c>
      <c r="L152" s="59" t="str">
        <f t="shared" ca="1" si="164"/>
        <v/>
      </c>
      <c r="M152" s="59" t="str">
        <f t="shared" ca="1" si="164"/>
        <v/>
      </c>
      <c r="N152" s="59" t="str">
        <f t="shared" ca="1" si="164"/>
        <v/>
      </c>
      <c r="O152" s="59" t="str">
        <f t="shared" ca="1" si="164"/>
        <v/>
      </c>
      <c r="P152" s="59" t="str">
        <f t="shared" ca="1" si="164"/>
        <v/>
      </c>
      <c r="Q152" s="59" t="str">
        <f t="shared" ca="1" si="164"/>
        <v/>
      </c>
      <c r="R152" s="59" t="str">
        <f t="shared" ca="1" si="164"/>
        <v/>
      </c>
      <c r="S152" s="59" t="str">
        <f t="shared" ca="1" si="164"/>
        <v/>
      </c>
      <c r="T152" s="59" t="str">
        <f t="shared" ca="1" si="164"/>
        <v/>
      </c>
      <c r="U152" s="59" t="str">
        <f t="shared" ca="1" si="164"/>
        <v/>
      </c>
    </row>
    <row r="153" spans="1:21" ht="15" thickBot="1" x14ac:dyDescent="0.35">
      <c r="A153" s="68"/>
      <c r="B153" s="21"/>
      <c r="C153" s="61"/>
      <c r="D153" s="61"/>
      <c r="E153" s="67"/>
      <c r="F153" s="69" t="str">
        <f t="shared" ca="1" si="142"/>
        <v/>
      </c>
      <c r="G153" s="64" t="str">
        <f t="shared" ca="1" si="143"/>
        <v/>
      </c>
      <c r="H153" s="70" t="str">
        <f t="shared" si="144"/>
        <v/>
      </c>
      <c r="I153" s="66" t="str">
        <f t="shared" si="145"/>
        <v/>
      </c>
      <c r="J153" s="59" t="str">
        <f t="shared" ref="J153:U153" ca="1" si="165">IF($A153="","",
IF($C153&gt;J$3+6,0,IF($D153&gt;=J$3,$I153*5,0)
-IF($D153&gt;=J$3,IF(K$3&gt;$D153,NETWORKDAYS($D153,K$3)-2,0)*$I153,0)
-IF(AND($C153&gt;=J$3,$C153&lt;K$3),($C153-J$3)*$I153,0))
-IF(AND(TODAY()&gt;=J$3,TODAY()&lt;K$3),IF(TODAY()&gt;$C153,NETWORKDAYS($C153,TODAY()-1)*$I153,0),0)
)</f>
        <v/>
      </c>
      <c r="K153" s="59" t="str">
        <f t="shared" ca="1" si="165"/>
        <v/>
      </c>
      <c r="L153" s="59" t="str">
        <f t="shared" ca="1" si="165"/>
        <v/>
      </c>
      <c r="M153" s="59" t="str">
        <f t="shared" ca="1" si="165"/>
        <v/>
      </c>
      <c r="N153" s="59" t="str">
        <f t="shared" ca="1" si="165"/>
        <v/>
      </c>
      <c r="O153" s="59" t="str">
        <f t="shared" ca="1" si="165"/>
        <v/>
      </c>
      <c r="P153" s="59" t="str">
        <f t="shared" ca="1" si="165"/>
        <v/>
      </c>
      <c r="Q153" s="59" t="str">
        <f t="shared" ca="1" si="165"/>
        <v/>
      </c>
      <c r="R153" s="59" t="str">
        <f t="shared" ca="1" si="165"/>
        <v/>
      </c>
      <c r="S153" s="59" t="str">
        <f t="shared" ca="1" si="165"/>
        <v/>
      </c>
      <c r="T153" s="59" t="str">
        <f t="shared" ca="1" si="165"/>
        <v/>
      </c>
      <c r="U153" s="59" t="str">
        <f t="shared" ca="1" si="165"/>
        <v/>
      </c>
    </row>
    <row r="154" spans="1:21" ht="15" thickBot="1" x14ac:dyDescent="0.35">
      <c r="A154" s="68"/>
      <c r="B154" s="21"/>
      <c r="C154" s="61"/>
      <c r="D154" s="61"/>
      <c r="E154" s="67"/>
      <c r="F154" s="69" t="str">
        <f t="shared" ca="1" si="142"/>
        <v/>
      </c>
      <c r="G154" s="64" t="str">
        <f t="shared" ca="1" si="143"/>
        <v/>
      </c>
      <c r="H154" s="70" t="str">
        <f t="shared" si="144"/>
        <v/>
      </c>
      <c r="I154" s="66" t="str">
        <f t="shared" si="145"/>
        <v/>
      </c>
      <c r="J154" s="59" t="str">
        <f t="shared" ref="J154:U154" ca="1" si="166">IF($A154="","",
IF($C154&gt;J$3+6,0,IF($D154&gt;=J$3,$I154*5,0)
-IF($D154&gt;=J$3,IF(K$3&gt;$D154,NETWORKDAYS($D154,K$3)-2,0)*$I154,0)
-IF(AND($C154&gt;=J$3,$C154&lt;K$3),($C154-J$3)*$I154,0))
-IF(AND(TODAY()&gt;=J$3,TODAY()&lt;K$3),IF(TODAY()&gt;$C154,NETWORKDAYS($C154,TODAY()-1)*$I154,0),0)
)</f>
        <v/>
      </c>
      <c r="K154" s="59" t="str">
        <f t="shared" ca="1" si="166"/>
        <v/>
      </c>
      <c r="L154" s="59" t="str">
        <f t="shared" ca="1" si="166"/>
        <v/>
      </c>
      <c r="M154" s="59" t="str">
        <f t="shared" ca="1" si="166"/>
        <v/>
      </c>
      <c r="N154" s="59" t="str">
        <f t="shared" ca="1" si="166"/>
        <v/>
      </c>
      <c r="O154" s="59" t="str">
        <f t="shared" ca="1" si="166"/>
        <v/>
      </c>
      <c r="P154" s="59" t="str">
        <f t="shared" ca="1" si="166"/>
        <v/>
      </c>
      <c r="Q154" s="59" t="str">
        <f t="shared" ca="1" si="166"/>
        <v/>
      </c>
      <c r="R154" s="59" t="str">
        <f t="shared" ca="1" si="166"/>
        <v/>
      </c>
      <c r="S154" s="59" t="str">
        <f t="shared" ca="1" si="166"/>
        <v/>
      </c>
      <c r="T154" s="59" t="str">
        <f t="shared" ca="1" si="166"/>
        <v/>
      </c>
      <c r="U154" s="59" t="str">
        <f t="shared" ca="1" si="166"/>
        <v/>
      </c>
    </row>
    <row r="155" spans="1:21" ht="15" thickBot="1" x14ac:dyDescent="0.35">
      <c r="A155" s="68"/>
      <c r="B155" s="21"/>
      <c r="C155" s="61"/>
      <c r="D155" s="61"/>
      <c r="E155" s="67"/>
      <c r="F155" s="69" t="str">
        <f t="shared" ca="1" si="142"/>
        <v/>
      </c>
      <c r="G155" s="64" t="str">
        <f t="shared" ca="1" si="143"/>
        <v/>
      </c>
      <c r="H155" s="70" t="str">
        <f t="shared" si="144"/>
        <v/>
      </c>
      <c r="I155" s="66" t="str">
        <f t="shared" si="145"/>
        <v/>
      </c>
      <c r="J155" s="59" t="str">
        <f t="shared" ref="J155:U155" ca="1" si="167">IF($A155="","",
IF($C155&gt;J$3+6,0,IF($D155&gt;=J$3,$I155*5,0)
-IF($D155&gt;=J$3,IF(K$3&gt;$D155,NETWORKDAYS($D155,K$3)-2,0)*$I155,0)
-IF(AND($C155&gt;=J$3,$C155&lt;K$3),($C155-J$3)*$I155,0))
-IF(AND(TODAY()&gt;=J$3,TODAY()&lt;K$3),IF(TODAY()&gt;$C155,NETWORKDAYS($C155,TODAY()-1)*$I155,0),0)
)</f>
        <v/>
      </c>
      <c r="K155" s="59" t="str">
        <f t="shared" ca="1" si="167"/>
        <v/>
      </c>
      <c r="L155" s="59" t="str">
        <f t="shared" ca="1" si="167"/>
        <v/>
      </c>
      <c r="M155" s="59" t="str">
        <f t="shared" ca="1" si="167"/>
        <v/>
      </c>
      <c r="N155" s="59" t="str">
        <f t="shared" ca="1" si="167"/>
        <v/>
      </c>
      <c r="O155" s="59" t="str">
        <f t="shared" ca="1" si="167"/>
        <v/>
      </c>
      <c r="P155" s="59" t="str">
        <f t="shared" ca="1" si="167"/>
        <v/>
      </c>
      <c r="Q155" s="59" t="str">
        <f t="shared" ca="1" si="167"/>
        <v/>
      </c>
      <c r="R155" s="59" t="str">
        <f t="shared" ca="1" si="167"/>
        <v/>
      </c>
      <c r="S155" s="59" t="str">
        <f t="shared" ca="1" si="167"/>
        <v/>
      </c>
      <c r="T155" s="59" t="str">
        <f t="shared" ca="1" si="167"/>
        <v/>
      </c>
      <c r="U155" s="59" t="str">
        <f t="shared" ca="1" si="167"/>
        <v/>
      </c>
    </row>
    <row r="156" spans="1:21" ht="15" thickBot="1" x14ac:dyDescent="0.35">
      <c r="A156" s="68"/>
      <c r="B156" s="21"/>
      <c r="C156" s="61"/>
      <c r="D156" s="61"/>
      <c r="E156" s="67"/>
      <c r="F156" s="69" t="str">
        <f t="shared" ca="1" si="142"/>
        <v/>
      </c>
      <c r="G156" s="64" t="str">
        <f t="shared" ca="1" si="143"/>
        <v/>
      </c>
      <c r="H156" s="70" t="str">
        <f t="shared" si="144"/>
        <v/>
      </c>
      <c r="I156" s="66" t="str">
        <f t="shared" si="145"/>
        <v/>
      </c>
      <c r="J156" s="59" t="str">
        <f t="shared" ref="J156:U156" ca="1" si="168">IF($A156="","",
IF($C156&gt;J$3+6,0,IF($D156&gt;=J$3,$I156*5,0)
-IF($D156&gt;=J$3,IF(K$3&gt;$D156,NETWORKDAYS($D156,K$3)-2,0)*$I156,0)
-IF(AND($C156&gt;=J$3,$C156&lt;K$3),($C156-J$3)*$I156,0))
-IF(AND(TODAY()&gt;=J$3,TODAY()&lt;K$3),IF(TODAY()&gt;$C156,NETWORKDAYS($C156,TODAY()-1)*$I156,0),0)
)</f>
        <v/>
      </c>
      <c r="K156" s="59" t="str">
        <f t="shared" ca="1" si="168"/>
        <v/>
      </c>
      <c r="L156" s="59" t="str">
        <f t="shared" ca="1" si="168"/>
        <v/>
      </c>
      <c r="M156" s="59" t="str">
        <f t="shared" ca="1" si="168"/>
        <v/>
      </c>
      <c r="N156" s="59" t="str">
        <f t="shared" ca="1" si="168"/>
        <v/>
      </c>
      <c r="O156" s="59" t="str">
        <f t="shared" ca="1" si="168"/>
        <v/>
      </c>
      <c r="P156" s="59" t="str">
        <f t="shared" ca="1" si="168"/>
        <v/>
      </c>
      <c r="Q156" s="59" t="str">
        <f t="shared" ca="1" si="168"/>
        <v/>
      </c>
      <c r="R156" s="59" t="str">
        <f t="shared" ca="1" si="168"/>
        <v/>
      </c>
      <c r="S156" s="59" t="str">
        <f t="shared" ca="1" si="168"/>
        <v/>
      </c>
      <c r="T156" s="59" t="str">
        <f t="shared" ca="1" si="168"/>
        <v/>
      </c>
      <c r="U156" s="59" t="str">
        <f t="shared" ca="1" si="168"/>
        <v/>
      </c>
    </row>
    <row r="157" spans="1:21" ht="15" thickBot="1" x14ac:dyDescent="0.35">
      <c r="A157" s="68"/>
      <c r="B157" s="21"/>
      <c r="C157" s="61"/>
      <c r="D157" s="61"/>
      <c r="E157" s="67"/>
      <c r="F157" s="69" t="str">
        <f t="shared" ca="1" si="142"/>
        <v/>
      </c>
      <c r="G157" s="64" t="str">
        <f t="shared" ca="1" si="143"/>
        <v/>
      </c>
      <c r="H157" s="70" t="str">
        <f t="shared" si="144"/>
        <v/>
      </c>
      <c r="I157" s="66" t="str">
        <f t="shared" si="145"/>
        <v/>
      </c>
      <c r="J157" s="59" t="str">
        <f t="shared" ref="J157:U157" ca="1" si="169">IF($A157="","",
IF($C157&gt;J$3+6,0,IF($D157&gt;=J$3,$I157*5,0)
-IF($D157&gt;=J$3,IF(K$3&gt;$D157,NETWORKDAYS($D157,K$3)-2,0)*$I157,0)
-IF(AND($C157&gt;=J$3,$C157&lt;K$3),($C157-J$3)*$I157,0))
-IF(AND(TODAY()&gt;=J$3,TODAY()&lt;K$3),IF(TODAY()&gt;$C157,NETWORKDAYS($C157,TODAY()-1)*$I157,0),0)
)</f>
        <v/>
      </c>
      <c r="K157" s="59" t="str">
        <f t="shared" ca="1" si="169"/>
        <v/>
      </c>
      <c r="L157" s="59" t="str">
        <f t="shared" ca="1" si="169"/>
        <v/>
      </c>
      <c r="M157" s="59" t="str">
        <f t="shared" ca="1" si="169"/>
        <v/>
      </c>
      <c r="N157" s="59" t="str">
        <f t="shared" ca="1" si="169"/>
        <v/>
      </c>
      <c r="O157" s="59" t="str">
        <f t="shared" ca="1" si="169"/>
        <v/>
      </c>
      <c r="P157" s="59" t="str">
        <f t="shared" ca="1" si="169"/>
        <v/>
      </c>
      <c r="Q157" s="59" t="str">
        <f t="shared" ca="1" si="169"/>
        <v/>
      </c>
      <c r="R157" s="59" t="str">
        <f t="shared" ca="1" si="169"/>
        <v/>
      </c>
      <c r="S157" s="59" t="str">
        <f t="shared" ca="1" si="169"/>
        <v/>
      </c>
      <c r="T157" s="59" t="str">
        <f t="shared" ca="1" si="169"/>
        <v/>
      </c>
      <c r="U157" s="59" t="str">
        <f t="shared" ca="1" si="169"/>
        <v/>
      </c>
    </row>
    <row r="158" spans="1:21" ht="15" thickBot="1" x14ac:dyDescent="0.35">
      <c r="A158" s="68"/>
      <c r="B158" s="21"/>
      <c r="C158" s="61"/>
      <c r="D158" s="61"/>
      <c r="E158" s="67"/>
      <c r="F158" s="69" t="str">
        <f t="shared" ca="1" si="142"/>
        <v/>
      </c>
      <c r="G158" s="64" t="str">
        <f t="shared" ca="1" si="143"/>
        <v/>
      </c>
      <c r="H158" s="70" t="str">
        <f t="shared" si="144"/>
        <v/>
      </c>
      <c r="I158" s="66" t="str">
        <f t="shared" si="145"/>
        <v/>
      </c>
      <c r="J158" s="59" t="str">
        <f t="shared" ref="J158:U158" ca="1" si="170">IF($A158="","",
IF($C158&gt;J$3+6,0,IF($D158&gt;=J$3,$I158*5,0)
-IF($D158&gt;=J$3,IF(K$3&gt;$D158,NETWORKDAYS($D158,K$3)-2,0)*$I158,0)
-IF(AND($C158&gt;=J$3,$C158&lt;K$3),($C158-J$3)*$I158,0))
-IF(AND(TODAY()&gt;=J$3,TODAY()&lt;K$3),IF(TODAY()&gt;$C158,NETWORKDAYS($C158,TODAY()-1)*$I158,0),0)
)</f>
        <v/>
      </c>
      <c r="K158" s="59" t="str">
        <f t="shared" ca="1" si="170"/>
        <v/>
      </c>
      <c r="L158" s="59" t="str">
        <f t="shared" ca="1" si="170"/>
        <v/>
      </c>
      <c r="M158" s="59" t="str">
        <f t="shared" ca="1" si="170"/>
        <v/>
      </c>
      <c r="N158" s="59" t="str">
        <f t="shared" ca="1" si="170"/>
        <v/>
      </c>
      <c r="O158" s="59" t="str">
        <f t="shared" ca="1" si="170"/>
        <v/>
      </c>
      <c r="P158" s="59" t="str">
        <f t="shared" ca="1" si="170"/>
        <v/>
      </c>
      <c r="Q158" s="59" t="str">
        <f t="shared" ca="1" si="170"/>
        <v/>
      </c>
      <c r="R158" s="59" t="str">
        <f t="shared" ca="1" si="170"/>
        <v/>
      </c>
      <c r="S158" s="59" t="str">
        <f t="shared" ca="1" si="170"/>
        <v/>
      </c>
      <c r="T158" s="59" t="str">
        <f t="shared" ca="1" si="170"/>
        <v/>
      </c>
      <c r="U158" s="59" t="str">
        <f t="shared" ca="1" si="170"/>
        <v/>
      </c>
    </row>
    <row r="159" spans="1:21" ht="15" thickBot="1" x14ac:dyDescent="0.35">
      <c r="A159" s="68"/>
      <c r="B159" s="21"/>
      <c r="C159" s="61"/>
      <c r="D159" s="61"/>
      <c r="E159" s="67"/>
      <c r="F159" s="69" t="str">
        <f t="shared" ca="1" si="142"/>
        <v/>
      </c>
      <c r="G159" s="64" t="str">
        <f t="shared" ca="1" si="143"/>
        <v/>
      </c>
      <c r="H159" s="70" t="str">
        <f t="shared" si="144"/>
        <v/>
      </c>
      <c r="I159" s="66" t="str">
        <f t="shared" si="145"/>
        <v/>
      </c>
      <c r="J159" s="59" t="str">
        <f t="shared" ref="J159:U159" ca="1" si="171">IF($A159="","",
IF($C159&gt;J$3+6,0,IF($D159&gt;=J$3,$I159*5,0)
-IF($D159&gt;=J$3,IF(K$3&gt;$D159,NETWORKDAYS($D159,K$3)-2,0)*$I159,0)
-IF(AND($C159&gt;=J$3,$C159&lt;K$3),($C159-J$3)*$I159,0))
-IF(AND(TODAY()&gt;=J$3,TODAY()&lt;K$3),IF(TODAY()&gt;$C159,NETWORKDAYS($C159,TODAY()-1)*$I159,0),0)
)</f>
        <v/>
      </c>
      <c r="K159" s="59" t="str">
        <f t="shared" ca="1" si="171"/>
        <v/>
      </c>
      <c r="L159" s="59" t="str">
        <f t="shared" ca="1" si="171"/>
        <v/>
      </c>
      <c r="M159" s="59" t="str">
        <f t="shared" ca="1" si="171"/>
        <v/>
      </c>
      <c r="N159" s="59" t="str">
        <f t="shared" ca="1" si="171"/>
        <v/>
      </c>
      <c r="O159" s="59" t="str">
        <f t="shared" ca="1" si="171"/>
        <v/>
      </c>
      <c r="P159" s="59" t="str">
        <f t="shared" ca="1" si="171"/>
        <v/>
      </c>
      <c r="Q159" s="59" t="str">
        <f t="shared" ca="1" si="171"/>
        <v/>
      </c>
      <c r="R159" s="59" t="str">
        <f t="shared" ca="1" si="171"/>
        <v/>
      </c>
      <c r="S159" s="59" t="str">
        <f t="shared" ca="1" si="171"/>
        <v/>
      </c>
      <c r="T159" s="59" t="str">
        <f t="shared" ca="1" si="171"/>
        <v/>
      </c>
      <c r="U159" s="59" t="str">
        <f t="shared" ca="1" si="171"/>
        <v/>
      </c>
    </row>
    <row r="160" spans="1:21" ht="15" thickBot="1" x14ac:dyDescent="0.35">
      <c r="A160" s="68"/>
      <c r="B160" s="21"/>
      <c r="C160" s="61"/>
      <c r="D160" s="61"/>
      <c r="E160" s="67"/>
      <c r="F160" s="69" t="str">
        <f t="shared" ca="1" si="142"/>
        <v/>
      </c>
      <c r="G160" s="64" t="str">
        <f t="shared" ca="1" si="143"/>
        <v/>
      </c>
      <c r="H160" s="70" t="str">
        <f t="shared" si="144"/>
        <v/>
      </c>
      <c r="I160" s="66" t="str">
        <f t="shared" si="145"/>
        <v/>
      </c>
      <c r="J160" s="59" t="str">
        <f t="shared" ref="J160:U160" ca="1" si="172">IF($A160="","",
IF($C160&gt;J$3+6,0,IF($D160&gt;=J$3,$I160*5,0)
-IF($D160&gt;=J$3,IF(K$3&gt;$D160,NETWORKDAYS($D160,K$3)-2,0)*$I160,0)
-IF(AND($C160&gt;=J$3,$C160&lt;K$3),($C160-J$3)*$I160,0))
-IF(AND(TODAY()&gt;=J$3,TODAY()&lt;K$3),IF(TODAY()&gt;$C160,NETWORKDAYS($C160,TODAY()-1)*$I160,0),0)
)</f>
        <v/>
      </c>
      <c r="K160" s="59" t="str">
        <f t="shared" ca="1" si="172"/>
        <v/>
      </c>
      <c r="L160" s="59" t="str">
        <f t="shared" ca="1" si="172"/>
        <v/>
      </c>
      <c r="M160" s="59" t="str">
        <f t="shared" ca="1" si="172"/>
        <v/>
      </c>
      <c r="N160" s="59" t="str">
        <f t="shared" ca="1" si="172"/>
        <v/>
      </c>
      <c r="O160" s="59" t="str">
        <f t="shared" ca="1" si="172"/>
        <v/>
      </c>
      <c r="P160" s="59" t="str">
        <f t="shared" ca="1" si="172"/>
        <v/>
      </c>
      <c r="Q160" s="59" t="str">
        <f t="shared" ca="1" si="172"/>
        <v/>
      </c>
      <c r="R160" s="59" t="str">
        <f t="shared" ca="1" si="172"/>
        <v/>
      </c>
      <c r="S160" s="59" t="str">
        <f t="shared" ca="1" si="172"/>
        <v/>
      </c>
      <c r="T160" s="59" t="str">
        <f t="shared" ca="1" si="172"/>
        <v/>
      </c>
      <c r="U160" s="59" t="str">
        <f t="shared" ca="1" si="172"/>
        <v/>
      </c>
    </row>
    <row r="161" spans="1:21" ht="15" thickBot="1" x14ac:dyDescent="0.35">
      <c r="A161" s="68"/>
      <c r="B161" s="21"/>
      <c r="C161" s="61"/>
      <c r="D161" s="61"/>
      <c r="E161" s="67"/>
      <c r="F161" s="69" t="str">
        <f t="shared" ca="1" si="142"/>
        <v/>
      </c>
      <c r="G161" s="64" t="str">
        <f t="shared" ca="1" si="143"/>
        <v/>
      </c>
      <c r="H161" s="70" t="str">
        <f t="shared" si="144"/>
        <v/>
      </c>
      <c r="I161" s="66" t="str">
        <f t="shared" si="145"/>
        <v/>
      </c>
      <c r="J161" s="59" t="str">
        <f t="shared" ref="J161:U161" ca="1" si="173">IF($A161="","",
IF($C161&gt;J$3+6,0,IF($D161&gt;=J$3,$I161*5,0)
-IF($D161&gt;=J$3,IF(K$3&gt;$D161,NETWORKDAYS($D161,K$3)-2,0)*$I161,0)
-IF(AND($C161&gt;=J$3,$C161&lt;K$3),($C161-J$3)*$I161,0))
-IF(AND(TODAY()&gt;=J$3,TODAY()&lt;K$3),IF(TODAY()&gt;$C161,NETWORKDAYS($C161,TODAY()-1)*$I161,0),0)
)</f>
        <v/>
      </c>
      <c r="K161" s="59" t="str">
        <f t="shared" ca="1" si="173"/>
        <v/>
      </c>
      <c r="L161" s="59" t="str">
        <f t="shared" ca="1" si="173"/>
        <v/>
      </c>
      <c r="M161" s="59" t="str">
        <f t="shared" ca="1" si="173"/>
        <v/>
      </c>
      <c r="N161" s="59" t="str">
        <f t="shared" ca="1" si="173"/>
        <v/>
      </c>
      <c r="O161" s="59" t="str">
        <f t="shared" ca="1" si="173"/>
        <v/>
      </c>
      <c r="P161" s="59" t="str">
        <f t="shared" ca="1" si="173"/>
        <v/>
      </c>
      <c r="Q161" s="59" t="str">
        <f t="shared" ca="1" si="173"/>
        <v/>
      </c>
      <c r="R161" s="59" t="str">
        <f t="shared" ca="1" si="173"/>
        <v/>
      </c>
      <c r="S161" s="59" t="str">
        <f t="shared" ca="1" si="173"/>
        <v/>
      </c>
      <c r="T161" s="59" t="str">
        <f t="shared" ca="1" si="173"/>
        <v/>
      </c>
      <c r="U161" s="59" t="str">
        <f t="shared" ca="1" si="173"/>
        <v/>
      </c>
    </row>
    <row r="162" spans="1:21" ht="15" thickBot="1" x14ac:dyDescent="0.35">
      <c r="A162" s="68"/>
      <c r="B162" s="21"/>
      <c r="C162" s="61"/>
      <c r="D162" s="61"/>
      <c r="E162" s="67"/>
      <c r="F162" s="69" t="str">
        <f t="shared" ca="1" si="142"/>
        <v/>
      </c>
      <c r="G162" s="64" t="str">
        <f t="shared" ca="1" si="143"/>
        <v/>
      </c>
      <c r="H162" s="70" t="str">
        <f t="shared" si="144"/>
        <v/>
      </c>
      <c r="I162" s="66" t="str">
        <f t="shared" si="145"/>
        <v/>
      </c>
      <c r="J162" s="59" t="str">
        <f t="shared" ref="J162:U162" ca="1" si="174">IF($A162="","",
IF($C162&gt;J$3+6,0,IF($D162&gt;=J$3,$I162*5,0)
-IF($D162&gt;=J$3,IF(K$3&gt;$D162,NETWORKDAYS($D162,K$3)-2,0)*$I162,0)
-IF(AND($C162&gt;=J$3,$C162&lt;K$3),($C162-J$3)*$I162,0))
-IF(AND(TODAY()&gt;=J$3,TODAY()&lt;K$3),IF(TODAY()&gt;$C162,NETWORKDAYS($C162,TODAY()-1)*$I162,0),0)
)</f>
        <v/>
      </c>
      <c r="K162" s="59" t="str">
        <f t="shared" ca="1" si="174"/>
        <v/>
      </c>
      <c r="L162" s="59" t="str">
        <f t="shared" ca="1" si="174"/>
        <v/>
      </c>
      <c r="M162" s="59" t="str">
        <f t="shared" ca="1" si="174"/>
        <v/>
      </c>
      <c r="N162" s="59" t="str">
        <f t="shared" ca="1" si="174"/>
        <v/>
      </c>
      <c r="O162" s="59" t="str">
        <f t="shared" ca="1" si="174"/>
        <v/>
      </c>
      <c r="P162" s="59" t="str">
        <f t="shared" ca="1" si="174"/>
        <v/>
      </c>
      <c r="Q162" s="59" t="str">
        <f t="shared" ca="1" si="174"/>
        <v/>
      </c>
      <c r="R162" s="59" t="str">
        <f t="shared" ca="1" si="174"/>
        <v/>
      </c>
      <c r="S162" s="59" t="str">
        <f t="shared" ca="1" si="174"/>
        <v/>
      </c>
      <c r="T162" s="59" t="str">
        <f t="shared" ca="1" si="174"/>
        <v/>
      </c>
      <c r="U162" s="59" t="str">
        <f t="shared" ca="1" si="174"/>
        <v/>
      </c>
    </row>
    <row r="163" spans="1:21" ht="15" thickBot="1" x14ac:dyDescent="0.35">
      <c r="A163" s="68"/>
      <c r="B163" s="21"/>
      <c r="C163" s="61"/>
      <c r="D163" s="61"/>
      <c r="E163" s="67"/>
      <c r="F163" s="69" t="str">
        <f t="shared" ca="1" si="142"/>
        <v/>
      </c>
      <c r="G163" s="64" t="str">
        <f t="shared" ca="1" si="143"/>
        <v/>
      </c>
      <c r="H163" s="70" t="str">
        <f t="shared" si="144"/>
        <v/>
      </c>
      <c r="I163" s="66" t="str">
        <f t="shared" si="145"/>
        <v/>
      </c>
      <c r="J163" s="59" t="str">
        <f t="shared" ref="J163:U163" ca="1" si="175">IF($A163="","",
IF($C163&gt;J$3+6,0,IF($D163&gt;=J$3,$I163*5,0)
-IF($D163&gt;=J$3,IF(K$3&gt;$D163,NETWORKDAYS($D163,K$3)-2,0)*$I163,0)
-IF(AND($C163&gt;=J$3,$C163&lt;K$3),($C163-J$3)*$I163,0))
-IF(AND(TODAY()&gt;=J$3,TODAY()&lt;K$3),IF(TODAY()&gt;$C163,NETWORKDAYS($C163,TODAY()-1)*$I163,0),0)
)</f>
        <v/>
      </c>
      <c r="K163" s="59" t="str">
        <f t="shared" ca="1" si="175"/>
        <v/>
      </c>
      <c r="L163" s="59" t="str">
        <f t="shared" ca="1" si="175"/>
        <v/>
      </c>
      <c r="M163" s="59" t="str">
        <f t="shared" ca="1" si="175"/>
        <v/>
      </c>
      <c r="N163" s="59" t="str">
        <f t="shared" ca="1" si="175"/>
        <v/>
      </c>
      <c r="O163" s="59" t="str">
        <f t="shared" ca="1" si="175"/>
        <v/>
      </c>
      <c r="P163" s="59" t="str">
        <f t="shared" ca="1" si="175"/>
        <v/>
      </c>
      <c r="Q163" s="59" t="str">
        <f t="shared" ca="1" si="175"/>
        <v/>
      </c>
      <c r="R163" s="59" t="str">
        <f t="shared" ca="1" si="175"/>
        <v/>
      </c>
      <c r="S163" s="59" t="str">
        <f t="shared" ca="1" si="175"/>
        <v/>
      </c>
      <c r="T163" s="59" t="str">
        <f t="shared" ca="1" si="175"/>
        <v/>
      </c>
      <c r="U163" s="59" t="str">
        <f t="shared" ca="1" si="175"/>
        <v/>
      </c>
    </row>
    <row r="164" spans="1:21" ht="15" thickBot="1" x14ac:dyDescent="0.35">
      <c r="A164" s="68"/>
      <c r="B164" s="21"/>
      <c r="C164" s="61"/>
      <c r="D164" s="61"/>
      <c r="E164" s="67"/>
      <c r="F164" s="69" t="str">
        <f t="shared" ca="1" si="142"/>
        <v/>
      </c>
      <c r="G164" s="64" t="str">
        <f t="shared" ca="1" si="143"/>
        <v/>
      </c>
      <c r="H164" s="70" t="str">
        <f t="shared" si="144"/>
        <v/>
      </c>
      <c r="I164" s="66" t="str">
        <f t="shared" si="145"/>
        <v/>
      </c>
      <c r="J164" s="59" t="str">
        <f t="shared" ref="J164:U164" ca="1" si="176">IF($A164="","",
IF($C164&gt;J$3+6,0,IF($D164&gt;=J$3,$I164*5,0)
-IF($D164&gt;=J$3,IF(K$3&gt;$D164,NETWORKDAYS($D164,K$3)-2,0)*$I164,0)
-IF(AND($C164&gt;=J$3,$C164&lt;K$3),($C164-J$3)*$I164,0))
-IF(AND(TODAY()&gt;=J$3,TODAY()&lt;K$3),IF(TODAY()&gt;$C164,NETWORKDAYS($C164,TODAY()-1)*$I164,0),0)
)</f>
        <v/>
      </c>
      <c r="K164" s="59" t="str">
        <f t="shared" ca="1" si="176"/>
        <v/>
      </c>
      <c r="L164" s="59" t="str">
        <f t="shared" ca="1" si="176"/>
        <v/>
      </c>
      <c r="M164" s="59" t="str">
        <f t="shared" ca="1" si="176"/>
        <v/>
      </c>
      <c r="N164" s="59" t="str">
        <f t="shared" ca="1" si="176"/>
        <v/>
      </c>
      <c r="O164" s="59" t="str">
        <f t="shared" ca="1" si="176"/>
        <v/>
      </c>
      <c r="P164" s="59" t="str">
        <f t="shared" ca="1" si="176"/>
        <v/>
      </c>
      <c r="Q164" s="59" t="str">
        <f t="shared" ca="1" si="176"/>
        <v/>
      </c>
      <c r="R164" s="59" t="str">
        <f t="shared" ca="1" si="176"/>
        <v/>
      </c>
      <c r="S164" s="59" t="str">
        <f t="shared" ca="1" si="176"/>
        <v/>
      </c>
      <c r="T164" s="59" t="str">
        <f t="shared" ca="1" si="176"/>
        <v/>
      </c>
      <c r="U164" s="59" t="str">
        <f t="shared" ca="1" si="176"/>
        <v/>
      </c>
    </row>
    <row r="165" spans="1:21" ht="15" thickBot="1" x14ac:dyDescent="0.35">
      <c r="A165" s="68"/>
      <c r="B165" s="21"/>
      <c r="C165" s="61"/>
      <c r="D165" s="61"/>
      <c r="E165" s="67"/>
      <c r="F165" s="69" t="str">
        <f t="shared" ca="1" si="142"/>
        <v/>
      </c>
      <c r="G165" s="64" t="str">
        <f t="shared" ca="1" si="143"/>
        <v/>
      </c>
      <c r="H165" s="70" t="str">
        <f t="shared" si="144"/>
        <v/>
      </c>
      <c r="I165" s="66" t="str">
        <f t="shared" si="145"/>
        <v/>
      </c>
      <c r="J165" s="59" t="str">
        <f t="shared" ref="J165:U165" ca="1" si="177">IF($A165="","",
IF($C165&gt;J$3+6,0,IF($D165&gt;=J$3,$I165*5,0)
-IF($D165&gt;=J$3,IF(K$3&gt;$D165,NETWORKDAYS($D165,K$3)-2,0)*$I165,0)
-IF(AND($C165&gt;=J$3,$C165&lt;K$3),($C165-J$3)*$I165,0))
-IF(AND(TODAY()&gt;=J$3,TODAY()&lt;K$3),IF(TODAY()&gt;$C165,NETWORKDAYS($C165,TODAY()-1)*$I165,0),0)
)</f>
        <v/>
      </c>
      <c r="K165" s="59" t="str">
        <f t="shared" ca="1" si="177"/>
        <v/>
      </c>
      <c r="L165" s="59" t="str">
        <f t="shared" ca="1" si="177"/>
        <v/>
      </c>
      <c r="M165" s="59" t="str">
        <f t="shared" ca="1" si="177"/>
        <v/>
      </c>
      <c r="N165" s="59" t="str">
        <f t="shared" ca="1" si="177"/>
        <v/>
      </c>
      <c r="O165" s="59" t="str">
        <f t="shared" ca="1" si="177"/>
        <v/>
      </c>
      <c r="P165" s="59" t="str">
        <f t="shared" ca="1" si="177"/>
        <v/>
      </c>
      <c r="Q165" s="59" t="str">
        <f t="shared" ca="1" si="177"/>
        <v/>
      </c>
      <c r="R165" s="59" t="str">
        <f t="shared" ca="1" si="177"/>
        <v/>
      </c>
      <c r="S165" s="59" t="str">
        <f t="shared" ca="1" si="177"/>
        <v/>
      </c>
      <c r="T165" s="59" t="str">
        <f t="shared" ca="1" si="177"/>
        <v/>
      </c>
      <c r="U165" s="59" t="str">
        <f t="shared" ca="1" si="177"/>
        <v/>
      </c>
    </row>
    <row r="166" spans="1:21" ht="15" thickBot="1" x14ac:dyDescent="0.35">
      <c r="A166" s="68"/>
      <c r="B166" s="21"/>
      <c r="C166" s="61"/>
      <c r="D166" s="61"/>
      <c r="E166" s="67"/>
      <c r="F166" s="69" t="str">
        <f t="shared" ca="1" si="142"/>
        <v/>
      </c>
      <c r="G166" s="64" t="str">
        <f t="shared" ca="1" si="143"/>
        <v/>
      </c>
      <c r="H166" s="70" t="str">
        <f t="shared" si="144"/>
        <v/>
      </c>
      <c r="I166" s="66" t="str">
        <f t="shared" si="145"/>
        <v/>
      </c>
      <c r="J166" s="59" t="str">
        <f t="shared" ref="J166:U166" ca="1" si="178">IF($A166="","",
IF($C166&gt;J$3+6,0,IF($D166&gt;=J$3,$I166*5,0)
-IF($D166&gt;=J$3,IF(K$3&gt;$D166,NETWORKDAYS($D166,K$3)-2,0)*$I166,0)
-IF(AND($C166&gt;=J$3,$C166&lt;K$3),($C166-J$3)*$I166,0))
-IF(AND(TODAY()&gt;=J$3,TODAY()&lt;K$3),IF(TODAY()&gt;$C166,NETWORKDAYS($C166,TODAY()-1)*$I166,0),0)
)</f>
        <v/>
      </c>
      <c r="K166" s="59" t="str">
        <f t="shared" ca="1" si="178"/>
        <v/>
      </c>
      <c r="L166" s="59" t="str">
        <f t="shared" ca="1" si="178"/>
        <v/>
      </c>
      <c r="M166" s="59" t="str">
        <f t="shared" ca="1" si="178"/>
        <v/>
      </c>
      <c r="N166" s="59" t="str">
        <f t="shared" ca="1" si="178"/>
        <v/>
      </c>
      <c r="O166" s="59" t="str">
        <f t="shared" ca="1" si="178"/>
        <v/>
      </c>
      <c r="P166" s="59" t="str">
        <f t="shared" ca="1" si="178"/>
        <v/>
      </c>
      <c r="Q166" s="59" t="str">
        <f t="shared" ca="1" si="178"/>
        <v/>
      </c>
      <c r="R166" s="59" t="str">
        <f t="shared" ca="1" si="178"/>
        <v/>
      </c>
      <c r="S166" s="59" t="str">
        <f t="shared" ca="1" si="178"/>
        <v/>
      </c>
      <c r="T166" s="59" t="str">
        <f t="shared" ca="1" si="178"/>
        <v/>
      </c>
      <c r="U166" s="59" t="str">
        <f t="shared" ca="1" si="178"/>
        <v/>
      </c>
    </row>
    <row r="167" spans="1:21" ht="15" thickBot="1" x14ac:dyDescent="0.35">
      <c r="A167" s="68"/>
      <c r="B167" s="21"/>
      <c r="C167" s="61"/>
      <c r="D167" s="61"/>
      <c r="E167" s="67"/>
      <c r="F167" s="69" t="str">
        <f t="shared" ca="1" si="142"/>
        <v/>
      </c>
      <c r="G167" s="64" t="str">
        <f t="shared" ca="1" si="143"/>
        <v/>
      </c>
      <c r="H167" s="70" t="str">
        <f t="shared" si="144"/>
        <v/>
      </c>
      <c r="I167" s="66" t="str">
        <f t="shared" si="145"/>
        <v/>
      </c>
      <c r="J167" s="59" t="str">
        <f t="shared" ref="J167:U167" ca="1" si="179">IF($A167="","",
IF($C167&gt;J$3+6,0,IF($D167&gt;=J$3,$I167*5,0)
-IF($D167&gt;=J$3,IF(K$3&gt;$D167,NETWORKDAYS($D167,K$3)-2,0)*$I167,0)
-IF(AND($C167&gt;=J$3,$C167&lt;K$3),($C167-J$3)*$I167,0))
-IF(AND(TODAY()&gt;=J$3,TODAY()&lt;K$3),IF(TODAY()&gt;$C167,NETWORKDAYS($C167,TODAY()-1)*$I167,0),0)
)</f>
        <v/>
      </c>
      <c r="K167" s="59" t="str">
        <f t="shared" ca="1" si="179"/>
        <v/>
      </c>
      <c r="L167" s="59" t="str">
        <f t="shared" ca="1" si="179"/>
        <v/>
      </c>
      <c r="M167" s="59" t="str">
        <f t="shared" ca="1" si="179"/>
        <v/>
      </c>
      <c r="N167" s="59" t="str">
        <f t="shared" ca="1" si="179"/>
        <v/>
      </c>
      <c r="O167" s="59" t="str">
        <f t="shared" ca="1" si="179"/>
        <v/>
      </c>
      <c r="P167" s="59" t="str">
        <f t="shared" ca="1" si="179"/>
        <v/>
      </c>
      <c r="Q167" s="59" t="str">
        <f t="shared" ca="1" si="179"/>
        <v/>
      </c>
      <c r="R167" s="59" t="str">
        <f t="shared" ca="1" si="179"/>
        <v/>
      </c>
      <c r="S167" s="59" t="str">
        <f t="shared" ca="1" si="179"/>
        <v/>
      </c>
      <c r="T167" s="59" t="str">
        <f t="shared" ca="1" si="179"/>
        <v/>
      </c>
      <c r="U167" s="59" t="str">
        <f t="shared" ca="1" si="179"/>
        <v/>
      </c>
    </row>
    <row r="168" spans="1:21" ht="15" thickBot="1" x14ac:dyDescent="0.35">
      <c r="A168" s="68"/>
      <c r="B168" s="21"/>
      <c r="C168" s="61"/>
      <c r="D168" s="61"/>
      <c r="E168" s="67"/>
      <c r="F168" s="69" t="str">
        <f t="shared" ca="1" si="142"/>
        <v/>
      </c>
      <c r="G168" s="64" t="str">
        <f t="shared" ca="1" si="143"/>
        <v/>
      </c>
      <c r="H168" s="70" t="str">
        <f t="shared" si="144"/>
        <v/>
      </c>
      <c r="I168" s="66" t="str">
        <f t="shared" si="145"/>
        <v/>
      </c>
      <c r="J168" s="59" t="str">
        <f t="shared" ref="J168:U168" ca="1" si="180">IF($A168="","",
IF($C168&gt;J$3+6,0,IF($D168&gt;=J$3,$I168*5,0)
-IF($D168&gt;=J$3,IF(K$3&gt;$D168,NETWORKDAYS($D168,K$3)-2,0)*$I168,0)
-IF(AND($C168&gt;=J$3,$C168&lt;K$3),($C168-J$3)*$I168,0))
-IF(AND(TODAY()&gt;=J$3,TODAY()&lt;K$3),IF(TODAY()&gt;$C168,NETWORKDAYS($C168,TODAY()-1)*$I168,0),0)
)</f>
        <v/>
      </c>
      <c r="K168" s="59" t="str">
        <f t="shared" ca="1" si="180"/>
        <v/>
      </c>
      <c r="L168" s="59" t="str">
        <f t="shared" ca="1" si="180"/>
        <v/>
      </c>
      <c r="M168" s="59" t="str">
        <f t="shared" ca="1" si="180"/>
        <v/>
      </c>
      <c r="N168" s="59" t="str">
        <f t="shared" ca="1" si="180"/>
        <v/>
      </c>
      <c r="O168" s="59" t="str">
        <f t="shared" ca="1" si="180"/>
        <v/>
      </c>
      <c r="P168" s="59" t="str">
        <f t="shared" ca="1" si="180"/>
        <v/>
      </c>
      <c r="Q168" s="59" t="str">
        <f t="shared" ca="1" si="180"/>
        <v/>
      </c>
      <c r="R168" s="59" t="str">
        <f t="shared" ca="1" si="180"/>
        <v/>
      </c>
      <c r="S168" s="59" t="str">
        <f t="shared" ca="1" si="180"/>
        <v/>
      </c>
      <c r="T168" s="59" t="str">
        <f t="shared" ca="1" si="180"/>
        <v/>
      </c>
      <c r="U168" s="59" t="str">
        <f t="shared" ca="1" si="180"/>
        <v/>
      </c>
    </row>
    <row r="169" spans="1:21" ht="15" thickBot="1" x14ac:dyDescent="0.35">
      <c r="A169" s="68"/>
      <c r="B169" s="21"/>
      <c r="C169" s="61"/>
      <c r="D169" s="61"/>
      <c r="E169" s="67"/>
      <c r="F169" s="69" t="str">
        <f t="shared" ca="1" si="142"/>
        <v/>
      </c>
      <c r="G169" s="64" t="str">
        <f t="shared" ca="1" si="143"/>
        <v/>
      </c>
      <c r="H169" s="70" t="str">
        <f t="shared" si="144"/>
        <v/>
      </c>
      <c r="I169" s="66" t="str">
        <f t="shared" si="145"/>
        <v/>
      </c>
      <c r="J169" s="59" t="str">
        <f t="shared" ref="J169:U169" ca="1" si="181">IF($A169="","",
IF($C169&gt;J$3+6,0,IF($D169&gt;=J$3,$I169*5,0)
-IF($D169&gt;=J$3,IF(K$3&gt;$D169,NETWORKDAYS($D169,K$3)-2,0)*$I169,0)
-IF(AND($C169&gt;=J$3,$C169&lt;K$3),($C169-J$3)*$I169,0))
-IF(AND(TODAY()&gt;=J$3,TODAY()&lt;K$3),IF(TODAY()&gt;$C169,NETWORKDAYS($C169,TODAY()-1)*$I169,0),0)
)</f>
        <v/>
      </c>
      <c r="K169" s="59" t="str">
        <f t="shared" ca="1" si="181"/>
        <v/>
      </c>
      <c r="L169" s="59" t="str">
        <f t="shared" ca="1" si="181"/>
        <v/>
      </c>
      <c r="M169" s="59" t="str">
        <f t="shared" ca="1" si="181"/>
        <v/>
      </c>
      <c r="N169" s="59" t="str">
        <f t="shared" ca="1" si="181"/>
        <v/>
      </c>
      <c r="O169" s="59" t="str">
        <f t="shared" ca="1" si="181"/>
        <v/>
      </c>
      <c r="P169" s="59" t="str">
        <f t="shared" ca="1" si="181"/>
        <v/>
      </c>
      <c r="Q169" s="59" t="str">
        <f t="shared" ca="1" si="181"/>
        <v/>
      </c>
      <c r="R169" s="59" t="str">
        <f t="shared" ca="1" si="181"/>
        <v/>
      </c>
      <c r="S169" s="59" t="str">
        <f t="shared" ca="1" si="181"/>
        <v/>
      </c>
      <c r="T169" s="59" t="str">
        <f t="shared" ca="1" si="181"/>
        <v/>
      </c>
      <c r="U169" s="59" t="str">
        <f t="shared" ca="1" si="181"/>
        <v/>
      </c>
    </row>
    <row r="170" spans="1:21" ht="15" thickBot="1" x14ac:dyDescent="0.35">
      <c r="A170" s="68"/>
      <c r="B170" s="21"/>
      <c r="C170" s="61"/>
      <c r="D170" s="61"/>
      <c r="E170" s="67"/>
      <c r="F170" s="69" t="str">
        <f t="shared" ca="1" si="142"/>
        <v/>
      </c>
      <c r="G170" s="64" t="str">
        <f t="shared" ca="1" si="143"/>
        <v/>
      </c>
      <c r="H170" s="70" t="str">
        <f t="shared" si="144"/>
        <v/>
      </c>
      <c r="I170" s="66" t="str">
        <f t="shared" si="145"/>
        <v/>
      </c>
      <c r="J170" s="59" t="str">
        <f t="shared" ref="J170:U170" ca="1" si="182">IF($A170="","",
IF($C170&gt;J$3+6,0,IF($D170&gt;=J$3,$I170*5,0)
-IF($D170&gt;=J$3,IF(K$3&gt;$D170,NETWORKDAYS($D170,K$3)-2,0)*$I170,0)
-IF(AND($C170&gt;=J$3,$C170&lt;K$3),($C170-J$3)*$I170,0))
-IF(AND(TODAY()&gt;=J$3,TODAY()&lt;K$3),IF(TODAY()&gt;$C170,NETWORKDAYS($C170,TODAY()-1)*$I170,0),0)
)</f>
        <v/>
      </c>
      <c r="K170" s="59" t="str">
        <f t="shared" ca="1" si="182"/>
        <v/>
      </c>
      <c r="L170" s="59" t="str">
        <f t="shared" ca="1" si="182"/>
        <v/>
      </c>
      <c r="M170" s="59" t="str">
        <f t="shared" ca="1" si="182"/>
        <v/>
      </c>
      <c r="N170" s="59" t="str">
        <f t="shared" ca="1" si="182"/>
        <v/>
      </c>
      <c r="O170" s="59" t="str">
        <f t="shared" ca="1" si="182"/>
        <v/>
      </c>
      <c r="P170" s="59" t="str">
        <f t="shared" ca="1" si="182"/>
        <v/>
      </c>
      <c r="Q170" s="59" t="str">
        <f t="shared" ca="1" si="182"/>
        <v/>
      </c>
      <c r="R170" s="59" t="str">
        <f t="shared" ca="1" si="182"/>
        <v/>
      </c>
      <c r="S170" s="59" t="str">
        <f t="shared" ca="1" si="182"/>
        <v/>
      </c>
      <c r="T170" s="59" t="str">
        <f t="shared" ca="1" si="182"/>
        <v/>
      </c>
      <c r="U170" s="59" t="str">
        <f t="shared" ca="1" si="182"/>
        <v/>
      </c>
    </row>
    <row r="171" spans="1:21" ht="15" thickBot="1" x14ac:dyDescent="0.35">
      <c r="A171" s="68"/>
      <c r="B171" s="21"/>
      <c r="C171" s="61"/>
      <c r="D171" s="61"/>
      <c r="E171" s="67"/>
      <c r="F171" s="69" t="str">
        <f t="shared" ca="1" si="142"/>
        <v/>
      </c>
      <c r="G171" s="64" t="str">
        <f t="shared" ca="1" si="143"/>
        <v/>
      </c>
      <c r="H171" s="70" t="str">
        <f t="shared" si="144"/>
        <v/>
      </c>
      <c r="I171" s="66" t="str">
        <f t="shared" si="145"/>
        <v/>
      </c>
      <c r="J171" s="59" t="str">
        <f t="shared" ref="J171:U171" ca="1" si="183">IF($A171="","",
IF($C171&gt;J$3+6,0,IF($D171&gt;=J$3,$I171*5,0)
-IF($D171&gt;=J$3,IF(K$3&gt;$D171,NETWORKDAYS($D171,K$3)-2,0)*$I171,0)
-IF(AND($C171&gt;=J$3,$C171&lt;K$3),($C171-J$3)*$I171,0))
-IF(AND(TODAY()&gt;=J$3,TODAY()&lt;K$3),IF(TODAY()&gt;$C171,NETWORKDAYS($C171,TODAY()-1)*$I171,0),0)
)</f>
        <v/>
      </c>
      <c r="K171" s="59" t="str">
        <f t="shared" ca="1" si="183"/>
        <v/>
      </c>
      <c r="L171" s="59" t="str">
        <f t="shared" ca="1" si="183"/>
        <v/>
      </c>
      <c r="M171" s="59" t="str">
        <f t="shared" ca="1" si="183"/>
        <v/>
      </c>
      <c r="N171" s="59" t="str">
        <f t="shared" ca="1" si="183"/>
        <v/>
      </c>
      <c r="O171" s="59" t="str">
        <f t="shared" ca="1" si="183"/>
        <v/>
      </c>
      <c r="P171" s="59" t="str">
        <f t="shared" ca="1" si="183"/>
        <v/>
      </c>
      <c r="Q171" s="59" t="str">
        <f t="shared" ca="1" si="183"/>
        <v/>
      </c>
      <c r="R171" s="59" t="str">
        <f t="shared" ca="1" si="183"/>
        <v/>
      </c>
      <c r="S171" s="59" t="str">
        <f t="shared" ca="1" si="183"/>
        <v/>
      </c>
      <c r="T171" s="59" t="str">
        <f t="shared" ca="1" si="183"/>
        <v/>
      </c>
      <c r="U171" s="59" t="str">
        <f t="shared" ca="1" si="183"/>
        <v/>
      </c>
    </row>
    <row r="172" spans="1:21" ht="15" thickBot="1" x14ac:dyDescent="0.35">
      <c r="A172" s="68"/>
      <c r="B172" s="21"/>
      <c r="C172" s="61"/>
      <c r="D172" s="61"/>
      <c r="E172" s="67"/>
      <c r="F172" s="69" t="str">
        <f t="shared" ca="1" si="142"/>
        <v/>
      </c>
      <c r="G172" s="64" t="str">
        <f t="shared" ca="1" si="143"/>
        <v/>
      </c>
      <c r="H172" s="70" t="str">
        <f t="shared" si="144"/>
        <v/>
      </c>
      <c r="I172" s="66" t="str">
        <f t="shared" si="145"/>
        <v/>
      </c>
      <c r="J172" s="59" t="str">
        <f t="shared" ref="J172:U172" ca="1" si="184">IF($A172="","",
IF($C172&gt;J$3+6,0,IF($D172&gt;=J$3,$I172*5,0)
-IF($D172&gt;=J$3,IF(K$3&gt;$D172,NETWORKDAYS($D172,K$3)-2,0)*$I172,0)
-IF(AND($C172&gt;=J$3,$C172&lt;K$3),($C172-J$3)*$I172,0))
-IF(AND(TODAY()&gt;=J$3,TODAY()&lt;K$3),IF(TODAY()&gt;$C172,NETWORKDAYS($C172,TODAY()-1)*$I172,0),0)
)</f>
        <v/>
      </c>
      <c r="K172" s="59" t="str">
        <f t="shared" ca="1" si="184"/>
        <v/>
      </c>
      <c r="L172" s="59" t="str">
        <f t="shared" ca="1" si="184"/>
        <v/>
      </c>
      <c r="M172" s="59" t="str">
        <f t="shared" ca="1" si="184"/>
        <v/>
      </c>
      <c r="N172" s="59" t="str">
        <f t="shared" ca="1" si="184"/>
        <v/>
      </c>
      <c r="O172" s="59" t="str">
        <f t="shared" ca="1" si="184"/>
        <v/>
      </c>
      <c r="P172" s="59" t="str">
        <f t="shared" ca="1" si="184"/>
        <v/>
      </c>
      <c r="Q172" s="59" t="str">
        <f t="shared" ca="1" si="184"/>
        <v/>
      </c>
      <c r="R172" s="59" t="str">
        <f t="shared" ca="1" si="184"/>
        <v/>
      </c>
      <c r="S172" s="59" t="str">
        <f t="shared" ca="1" si="184"/>
        <v/>
      </c>
      <c r="T172" s="59" t="str">
        <f t="shared" ca="1" si="184"/>
        <v/>
      </c>
      <c r="U172" s="59" t="str">
        <f t="shared" ca="1" si="184"/>
        <v/>
      </c>
    </row>
    <row r="173" spans="1:21" ht="15" thickBot="1" x14ac:dyDescent="0.35">
      <c r="A173" s="68"/>
      <c r="B173" s="21"/>
      <c r="C173" s="61"/>
      <c r="D173" s="61"/>
      <c r="E173" s="67"/>
      <c r="F173" s="69" t="str">
        <f t="shared" ca="1" si="142"/>
        <v/>
      </c>
      <c r="G173" s="64" t="str">
        <f t="shared" ca="1" si="143"/>
        <v/>
      </c>
      <c r="H173" s="70" t="str">
        <f t="shared" si="144"/>
        <v/>
      </c>
      <c r="I173" s="66" t="str">
        <f t="shared" si="145"/>
        <v/>
      </c>
      <c r="J173" s="59" t="str">
        <f t="shared" ref="J173:U173" ca="1" si="185">IF($A173="","",
IF($C173&gt;J$3+6,0,IF($D173&gt;=J$3,$I173*5,0)
-IF($D173&gt;=J$3,IF(K$3&gt;$D173,NETWORKDAYS($D173,K$3)-2,0)*$I173,0)
-IF(AND($C173&gt;=J$3,$C173&lt;K$3),($C173-J$3)*$I173,0))
-IF(AND(TODAY()&gt;=J$3,TODAY()&lt;K$3),IF(TODAY()&gt;$C173,NETWORKDAYS($C173,TODAY()-1)*$I173,0),0)
)</f>
        <v/>
      </c>
      <c r="K173" s="59" t="str">
        <f t="shared" ca="1" si="185"/>
        <v/>
      </c>
      <c r="L173" s="59" t="str">
        <f t="shared" ca="1" si="185"/>
        <v/>
      </c>
      <c r="M173" s="59" t="str">
        <f t="shared" ca="1" si="185"/>
        <v/>
      </c>
      <c r="N173" s="59" t="str">
        <f t="shared" ca="1" si="185"/>
        <v/>
      </c>
      <c r="O173" s="59" t="str">
        <f t="shared" ca="1" si="185"/>
        <v/>
      </c>
      <c r="P173" s="59" t="str">
        <f t="shared" ca="1" si="185"/>
        <v/>
      </c>
      <c r="Q173" s="59" t="str">
        <f t="shared" ca="1" si="185"/>
        <v/>
      </c>
      <c r="R173" s="59" t="str">
        <f t="shared" ca="1" si="185"/>
        <v/>
      </c>
      <c r="S173" s="59" t="str">
        <f t="shared" ca="1" si="185"/>
        <v/>
      </c>
      <c r="T173" s="59" t="str">
        <f t="shared" ca="1" si="185"/>
        <v/>
      </c>
      <c r="U173" s="59" t="str">
        <f t="shared" ca="1" si="185"/>
        <v/>
      </c>
    </row>
    <row r="174" spans="1:21" ht="15" thickBot="1" x14ac:dyDescent="0.35">
      <c r="A174" s="68"/>
      <c r="B174" s="21"/>
      <c r="C174" s="61"/>
      <c r="D174" s="61"/>
      <c r="E174" s="67"/>
      <c r="F174" s="69" t="str">
        <f t="shared" ca="1" si="142"/>
        <v/>
      </c>
      <c r="G174" s="64" t="str">
        <f t="shared" ca="1" si="143"/>
        <v/>
      </c>
      <c r="H174" s="70" t="str">
        <f t="shared" si="144"/>
        <v/>
      </c>
      <c r="I174" s="66" t="str">
        <f t="shared" si="145"/>
        <v/>
      </c>
      <c r="J174" s="59" t="str">
        <f t="shared" ref="J174:U174" ca="1" si="186">IF($A174="","",
IF($C174&gt;J$3+6,0,IF($D174&gt;=J$3,$I174*5,0)
-IF($D174&gt;=J$3,IF(K$3&gt;$D174,NETWORKDAYS($D174,K$3)-2,0)*$I174,0)
-IF(AND($C174&gt;=J$3,$C174&lt;K$3),($C174-J$3)*$I174,0))
-IF(AND(TODAY()&gt;=J$3,TODAY()&lt;K$3),IF(TODAY()&gt;$C174,NETWORKDAYS($C174,TODAY()-1)*$I174,0),0)
)</f>
        <v/>
      </c>
      <c r="K174" s="59" t="str">
        <f t="shared" ca="1" si="186"/>
        <v/>
      </c>
      <c r="L174" s="59" t="str">
        <f t="shared" ca="1" si="186"/>
        <v/>
      </c>
      <c r="M174" s="59" t="str">
        <f t="shared" ca="1" si="186"/>
        <v/>
      </c>
      <c r="N174" s="59" t="str">
        <f t="shared" ca="1" si="186"/>
        <v/>
      </c>
      <c r="O174" s="59" t="str">
        <f t="shared" ca="1" si="186"/>
        <v/>
      </c>
      <c r="P174" s="59" t="str">
        <f t="shared" ca="1" si="186"/>
        <v/>
      </c>
      <c r="Q174" s="59" t="str">
        <f t="shared" ca="1" si="186"/>
        <v/>
      </c>
      <c r="R174" s="59" t="str">
        <f t="shared" ca="1" si="186"/>
        <v/>
      </c>
      <c r="S174" s="59" t="str">
        <f t="shared" ca="1" si="186"/>
        <v/>
      </c>
      <c r="T174" s="59" t="str">
        <f t="shared" ca="1" si="186"/>
        <v/>
      </c>
      <c r="U174" s="59" t="str">
        <f t="shared" ca="1" si="186"/>
        <v/>
      </c>
    </row>
    <row r="175" spans="1:21" ht="15" thickBot="1" x14ac:dyDescent="0.35">
      <c r="A175" s="68"/>
      <c r="B175" s="21"/>
      <c r="C175" s="61"/>
      <c r="D175" s="61"/>
      <c r="E175" s="67"/>
      <c r="F175" s="69" t="str">
        <f t="shared" ca="1" si="142"/>
        <v/>
      </c>
      <c r="G175" s="64" t="str">
        <f t="shared" ca="1" si="143"/>
        <v/>
      </c>
      <c r="H175" s="70" t="str">
        <f t="shared" si="144"/>
        <v/>
      </c>
      <c r="I175" s="66" t="str">
        <f t="shared" si="145"/>
        <v/>
      </c>
      <c r="J175" s="59" t="str">
        <f t="shared" ref="J175:U175" ca="1" si="187">IF($A175="","",
IF($C175&gt;J$3+6,0,IF($D175&gt;=J$3,$I175*5,0)
-IF($D175&gt;=J$3,IF(K$3&gt;$D175,NETWORKDAYS($D175,K$3)-2,0)*$I175,0)
-IF(AND($C175&gt;=J$3,$C175&lt;K$3),($C175-J$3)*$I175,0))
-IF(AND(TODAY()&gt;=J$3,TODAY()&lt;K$3),IF(TODAY()&gt;$C175,NETWORKDAYS($C175,TODAY()-1)*$I175,0),0)
)</f>
        <v/>
      </c>
      <c r="K175" s="59" t="str">
        <f t="shared" ca="1" si="187"/>
        <v/>
      </c>
      <c r="L175" s="59" t="str">
        <f t="shared" ca="1" si="187"/>
        <v/>
      </c>
      <c r="M175" s="59" t="str">
        <f t="shared" ca="1" si="187"/>
        <v/>
      </c>
      <c r="N175" s="59" t="str">
        <f t="shared" ca="1" si="187"/>
        <v/>
      </c>
      <c r="O175" s="59" t="str">
        <f t="shared" ca="1" si="187"/>
        <v/>
      </c>
      <c r="P175" s="59" t="str">
        <f t="shared" ca="1" si="187"/>
        <v/>
      </c>
      <c r="Q175" s="59" t="str">
        <f t="shared" ca="1" si="187"/>
        <v/>
      </c>
      <c r="R175" s="59" t="str">
        <f t="shared" ca="1" si="187"/>
        <v/>
      </c>
      <c r="S175" s="59" t="str">
        <f t="shared" ca="1" si="187"/>
        <v/>
      </c>
      <c r="T175" s="59" t="str">
        <f t="shared" ca="1" si="187"/>
        <v/>
      </c>
      <c r="U175" s="59" t="str">
        <f t="shared" ca="1" si="187"/>
        <v/>
      </c>
    </row>
    <row r="176" spans="1:21" ht="15" thickBot="1" x14ac:dyDescent="0.35">
      <c r="A176" s="68"/>
      <c r="B176" s="21"/>
      <c r="C176" s="61"/>
      <c r="D176" s="61"/>
      <c r="E176" s="67"/>
      <c r="F176" s="69" t="str">
        <f t="shared" ca="1" si="142"/>
        <v/>
      </c>
      <c r="G176" s="64" t="str">
        <f t="shared" ca="1" si="143"/>
        <v/>
      </c>
      <c r="H176" s="70" t="str">
        <f t="shared" si="144"/>
        <v/>
      </c>
      <c r="I176" s="66" t="str">
        <f t="shared" si="145"/>
        <v/>
      </c>
      <c r="J176" s="59" t="str">
        <f t="shared" ref="J176:U176" ca="1" si="188">IF($A176="","",
IF($C176&gt;J$3+6,0,IF($D176&gt;=J$3,$I176*5,0)
-IF($D176&gt;=J$3,IF(K$3&gt;$D176,NETWORKDAYS($D176,K$3)-2,0)*$I176,0)
-IF(AND($C176&gt;=J$3,$C176&lt;K$3),($C176-J$3)*$I176,0))
-IF(AND(TODAY()&gt;=J$3,TODAY()&lt;K$3),IF(TODAY()&gt;$C176,NETWORKDAYS($C176,TODAY()-1)*$I176,0),0)
)</f>
        <v/>
      </c>
      <c r="K176" s="59" t="str">
        <f t="shared" ca="1" si="188"/>
        <v/>
      </c>
      <c r="L176" s="59" t="str">
        <f t="shared" ca="1" si="188"/>
        <v/>
      </c>
      <c r="M176" s="59" t="str">
        <f t="shared" ca="1" si="188"/>
        <v/>
      </c>
      <c r="N176" s="59" t="str">
        <f t="shared" ca="1" si="188"/>
        <v/>
      </c>
      <c r="O176" s="59" t="str">
        <f t="shared" ca="1" si="188"/>
        <v/>
      </c>
      <c r="P176" s="59" t="str">
        <f t="shared" ca="1" si="188"/>
        <v/>
      </c>
      <c r="Q176" s="59" t="str">
        <f t="shared" ca="1" si="188"/>
        <v/>
      </c>
      <c r="R176" s="59" t="str">
        <f t="shared" ca="1" si="188"/>
        <v/>
      </c>
      <c r="S176" s="59" t="str">
        <f t="shared" ca="1" si="188"/>
        <v/>
      </c>
      <c r="T176" s="59" t="str">
        <f t="shared" ca="1" si="188"/>
        <v/>
      </c>
      <c r="U176" s="59" t="str">
        <f t="shared" ca="1" si="188"/>
        <v/>
      </c>
    </row>
    <row r="177" spans="1:21" ht="15" thickBot="1" x14ac:dyDescent="0.35">
      <c r="A177" s="68"/>
      <c r="B177" s="21"/>
      <c r="C177" s="61"/>
      <c r="D177" s="61"/>
      <c r="E177" s="67"/>
      <c r="F177" s="69" t="str">
        <f t="shared" ca="1" si="142"/>
        <v/>
      </c>
      <c r="G177" s="64" t="str">
        <f t="shared" ca="1" si="143"/>
        <v/>
      </c>
      <c r="H177" s="70" t="str">
        <f t="shared" si="144"/>
        <v/>
      </c>
      <c r="I177" s="66" t="str">
        <f t="shared" si="145"/>
        <v/>
      </c>
      <c r="J177" s="59" t="str">
        <f t="shared" ref="J177:U177" ca="1" si="189">IF($A177="","",
IF($C177&gt;J$3+6,0,IF($D177&gt;=J$3,$I177*5,0)
-IF($D177&gt;=J$3,IF(K$3&gt;$D177,NETWORKDAYS($D177,K$3)-2,0)*$I177,0)
-IF(AND($C177&gt;=J$3,$C177&lt;K$3),($C177-J$3)*$I177,0))
-IF(AND(TODAY()&gt;=J$3,TODAY()&lt;K$3),IF(TODAY()&gt;$C177,NETWORKDAYS($C177,TODAY()-1)*$I177,0),0)
)</f>
        <v/>
      </c>
      <c r="K177" s="59" t="str">
        <f t="shared" ca="1" si="189"/>
        <v/>
      </c>
      <c r="L177" s="59" t="str">
        <f t="shared" ca="1" si="189"/>
        <v/>
      </c>
      <c r="M177" s="59" t="str">
        <f t="shared" ca="1" si="189"/>
        <v/>
      </c>
      <c r="N177" s="59" t="str">
        <f t="shared" ca="1" si="189"/>
        <v/>
      </c>
      <c r="O177" s="59" t="str">
        <f t="shared" ca="1" si="189"/>
        <v/>
      </c>
      <c r="P177" s="59" t="str">
        <f t="shared" ca="1" si="189"/>
        <v/>
      </c>
      <c r="Q177" s="59" t="str">
        <f t="shared" ca="1" si="189"/>
        <v/>
      </c>
      <c r="R177" s="59" t="str">
        <f t="shared" ca="1" si="189"/>
        <v/>
      </c>
      <c r="S177" s="59" t="str">
        <f t="shared" ca="1" si="189"/>
        <v/>
      </c>
      <c r="T177" s="59" t="str">
        <f t="shared" ca="1" si="189"/>
        <v/>
      </c>
      <c r="U177" s="59" t="str">
        <f t="shared" ca="1" si="189"/>
        <v/>
      </c>
    </row>
    <row r="178" spans="1:21" ht="15" thickBot="1" x14ac:dyDescent="0.35">
      <c r="A178" s="68"/>
      <c r="B178" s="21"/>
      <c r="C178" s="61"/>
      <c r="D178" s="61"/>
      <c r="E178" s="67"/>
      <c r="F178" s="69" t="str">
        <f t="shared" ca="1" si="142"/>
        <v/>
      </c>
      <c r="G178" s="64" t="str">
        <f t="shared" ca="1" si="143"/>
        <v/>
      </c>
      <c r="H178" s="70" t="str">
        <f t="shared" si="144"/>
        <v/>
      </c>
      <c r="I178" s="66" t="str">
        <f t="shared" si="145"/>
        <v/>
      </c>
      <c r="J178" s="59" t="str">
        <f t="shared" ref="J178:U178" ca="1" si="190">IF($A178="","",
IF($C178&gt;J$3+6,0,IF($D178&gt;=J$3,$I178*5,0)
-IF($D178&gt;=J$3,IF(K$3&gt;$D178,NETWORKDAYS($D178,K$3)-2,0)*$I178,0)
-IF(AND($C178&gt;=J$3,$C178&lt;K$3),($C178-J$3)*$I178,0))
-IF(AND(TODAY()&gt;=J$3,TODAY()&lt;K$3),IF(TODAY()&gt;$C178,NETWORKDAYS($C178,TODAY()-1)*$I178,0),0)
)</f>
        <v/>
      </c>
      <c r="K178" s="59" t="str">
        <f t="shared" ca="1" si="190"/>
        <v/>
      </c>
      <c r="L178" s="59" t="str">
        <f t="shared" ca="1" si="190"/>
        <v/>
      </c>
      <c r="M178" s="59" t="str">
        <f t="shared" ca="1" si="190"/>
        <v/>
      </c>
      <c r="N178" s="59" t="str">
        <f t="shared" ca="1" si="190"/>
        <v/>
      </c>
      <c r="O178" s="59" t="str">
        <f t="shared" ca="1" si="190"/>
        <v/>
      </c>
      <c r="P178" s="59" t="str">
        <f t="shared" ca="1" si="190"/>
        <v/>
      </c>
      <c r="Q178" s="59" t="str">
        <f t="shared" ca="1" si="190"/>
        <v/>
      </c>
      <c r="R178" s="59" t="str">
        <f t="shared" ca="1" si="190"/>
        <v/>
      </c>
      <c r="S178" s="59" t="str">
        <f t="shared" ca="1" si="190"/>
        <v/>
      </c>
      <c r="T178" s="59" t="str">
        <f t="shared" ca="1" si="190"/>
        <v/>
      </c>
      <c r="U178" s="59" t="str">
        <f t="shared" ca="1" si="190"/>
        <v/>
      </c>
    </row>
    <row r="179" spans="1:21" ht="15" thickBot="1" x14ac:dyDescent="0.35">
      <c r="A179" s="68"/>
      <c r="B179" s="21"/>
      <c r="C179" s="61"/>
      <c r="D179" s="61"/>
      <c r="E179" s="67"/>
      <c r="F179" s="69" t="str">
        <f t="shared" ca="1" si="142"/>
        <v/>
      </c>
      <c r="G179" s="64" t="str">
        <f t="shared" ca="1" si="143"/>
        <v/>
      </c>
      <c r="H179" s="70" t="str">
        <f t="shared" si="144"/>
        <v/>
      </c>
      <c r="I179" s="66" t="str">
        <f t="shared" si="145"/>
        <v/>
      </c>
      <c r="J179" s="59" t="str">
        <f t="shared" ref="J179:U179" ca="1" si="191">IF($A179="","",
IF($C179&gt;J$3+6,0,IF($D179&gt;=J$3,$I179*5,0)
-IF($D179&gt;=J$3,IF(K$3&gt;$D179,NETWORKDAYS($D179,K$3)-2,0)*$I179,0)
-IF(AND($C179&gt;=J$3,$C179&lt;K$3),($C179-J$3)*$I179,0))
-IF(AND(TODAY()&gt;=J$3,TODAY()&lt;K$3),IF(TODAY()&gt;$C179,NETWORKDAYS($C179,TODAY()-1)*$I179,0),0)
)</f>
        <v/>
      </c>
      <c r="K179" s="59" t="str">
        <f t="shared" ca="1" si="191"/>
        <v/>
      </c>
      <c r="L179" s="59" t="str">
        <f t="shared" ca="1" si="191"/>
        <v/>
      </c>
      <c r="M179" s="59" t="str">
        <f t="shared" ca="1" si="191"/>
        <v/>
      </c>
      <c r="N179" s="59" t="str">
        <f t="shared" ca="1" si="191"/>
        <v/>
      </c>
      <c r="O179" s="59" t="str">
        <f t="shared" ca="1" si="191"/>
        <v/>
      </c>
      <c r="P179" s="59" t="str">
        <f t="shared" ca="1" si="191"/>
        <v/>
      </c>
      <c r="Q179" s="59" t="str">
        <f t="shared" ca="1" si="191"/>
        <v/>
      </c>
      <c r="R179" s="59" t="str">
        <f t="shared" ca="1" si="191"/>
        <v/>
      </c>
      <c r="S179" s="59" t="str">
        <f t="shared" ca="1" si="191"/>
        <v/>
      </c>
      <c r="T179" s="59" t="str">
        <f t="shared" ca="1" si="191"/>
        <v/>
      </c>
      <c r="U179" s="59" t="str">
        <f t="shared" ca="1" si="191"/>
        <v/>
      </c>
    </row>
    <row r="180" spans="1:21" ht="15" thickBot="1" x14ac:dyDescent="0.35">
      <c r="A180" s="68"/>
      <c r="B180" s="21"/>
      <c r="C180" s="61"/>
      <c r="D180" s="61"/>
      <c r="E180" s="67"/>
      <c r="F180" s="69" t="str">
        <f t="shared" ca="1" si="142"/>
        <v/>
      </c>
      <c r="G180" s="64" t="str">
        <f t="shared" ca="1" si="143"/>
        <v/>
      </c>
      <c r="H180" s="70" t="str">
        <f t="shared" si="144"/>
        <v/>
      </c>
      <c r="I180" s="66" t="str">
        <f t="shared" si="145"/>
        <v/>
      </c>
      <c r="J180" s="59" t="str">
        <f t="shared" ref="J180:U180" ca="1" si="192">IF($A180="","",
IF($C180&gt;J$3+6,0,IF($D180&gt;=J$3,$I180*5,0)
-IF($D180&gt;=J$3,IF(K$3&gt;$D180,NETWORKDAYS($D180,K$3)-2,0)*$I180,0)
-IF(AND($C180&gt;=J$3,$C180&lt;K$3),($C180-J$3)*$I180,0))
-IF(AND(TODAY()&gt;=J$3,TODAY()&lt;K$3),IF(TODAY()&gt;$C180,NETWORKDAYS($C180,TODAY()-1)*$I180,0),0)
)</f>
        <v/>
      </c>
      <c r="K180" s="59" t="str">
        <f t="shared" ca="1" si="192"/>
        <v/>
      </c>
      <c r="L180" s="59" t="str">
        <f t="shared" ca="1" si="192"/>
        <v/>
      </c>
      <c r="M180" s="59" t="str">
        <f t="shared" ca="1" si="192"/>
        <v/>
      </c>
      <c r="N180" s="59" t="str">
        <f t="shared" ca="1" si="192"/>
        <v/>
      </c>
      <c r="O180" s="59" t="str">
        <f t="shared" ca="1" si="192"/>
        <v/>
      </c>
      <c r="P180" s="59" t="str">
        <f t="shared" ca="1" si="192"/>
        <v/>
      </c>
      <c r="Q180" s="59" t="str">
        <f t="shared" ca="1" si="192"/>
        <v/>
      </c>
      <c r="R180" s="59" t="str">
        <f t="shared" ca="1" si="192"/>
        <v/>
      </c>
      <c r="S180" s="59" t="str">
        <f t="shared" ca="1" si="192"/>
        <v/>
      </c>
      <c r="T180" s="59" t="str">
        <f t="shared" ca="1" si="192"/>
        <v/>
      </c>
      <c r="U180" s="59" t="str">
        <f t="shared" ca="1" si="192"/>
        <v/>
      </c>
    </row>
    <row r="181" spans="1:21" ht="15" thickBot="1" x14ac:dyDescent="0.35">
      <c r="A181" s="68"/>
      <c r="B181" s="21"/>
      <c r="C181" s="61"/>
      <c r="D181" s="61"/>
      <c r="E181" s="67"/>
      <c r="F181" s="69" t="str">
        <f t="shared" ca="1" si="142"/>
        <v/>
      </c>
      <c r="G181" s="64" t="str">
        <f t="shared" ca="1" si="143"/>
        <v/>
      </c>
      <c r="H181" s="70" t="str">
        <f t="shared" si="144"/>
        <v/>
      </c>
      <c r="I181" s="66" t="str">
        <f t="shared" si="145"/>
        <v/>
      </c>
      <c r="J181" s="59" t="str">
        <f t="shared" ref="J181:U181" ca="1" si="193">IF($A181="","",
IF($C181&gt;J$3+6,0,IF($D181&gt;=J$3,$I181*5,0)
-IF($D181&gt;=J$3,IF(K$3&gt;$D181,NETWORKDAYS($D181,K$3)-2,0)*$I181,0)
-IF(AND($C181&gt;=J$3,$C181&lt;K$3),($C181-J$3)*$I181,0))
-IF(AND(TODAY()&gt;=J$3,TODAY()&lt;K$3),IF(TODAY()&gt;$C181,NETWORKDAYS($C181,TODAY()-1)*$I181,0),0)
)</f>
        <v/>
      </c>
      <c r="K181" s="59" t="str">
        <f t="shared" ca="1" si="193"/>
        <v/>
      </c>
      <c r="L181" s="59" t="str">
        <f t="shared" ca="1" si="193"/>
        <v/>
      </c>
      <c r="M181" s="59" t="str">
        <f t="shared" ca="1" si="193"/>
        <v/>
      </c>
      <c r="N181" s="59" t="str">
        <f t="shared" ca="1" si="193"/>
        <v/>
      </c>
      <c r="O181" s="59" t="str">
        <f t="shared" ca="1" si="193"/>
        <v/>
      </c>
      <c r="P181" s="59" t="str">
        <f t="shared" ca="1" si="193"/>
        <v/>
      </c>
      <c r="Q181" s="59" t="str">
        <f t="shared" ca="1" si="193"/>
        <v/>
      </c>
      <c r="R181" s="59" t="str">
        <f t="shared" ca="1" si="193"/>
        <v/>
      </c>
      <c r="S181" s="59" t="str">
        <f t="shared" ca="1" si="193"/>
        <v/>
      </c>
      <c r="T181" s="59" t="str">
        <f t="shared" ca="1" si="193"/>
        <v/>
      </c>
      <c r="U181" s="59" t="str">
        <f t="shared" ca="1" si="193"/>
        <v/>
      </c>
    </row>
    <row r="182" spans="1:21" ht="15" thickBot="1" x14ac:dyDescent="0.35">
      <c r="A182" s="68"/>
      <c r="B182" s="21"/>
      <c r="C182" s="61"/>
      <c r="D182" s="61"/>
      <c r="E182" s="67"/>
      <c r="F182" s="69" t="str">
        <f t="shared" ca="1" si="142"/>
        <v/>
      </c>
      <c r="G182" s="64" t="str">
        <f t="shared" ca="1" si="143"/>
        <v/>
      </c>
      <c r="H182" s="70" t="str">
        <f t="shared" si="144"/>
        <v/>
      </c>
      <c r="I182" s="66" t="str">
        <f t="shared" si="145"/>
        <v/>
      </c>
      <c r="J182" s="59" t="str">
        <f t="shared" ref="J182:U182" ca="1" si="194">IF($A182="","",
IF($C182&gt;J$3+6,0,IF($D182&gt;=J$3,$I182*5,0)
-IF($D182&gt;=J$3,IF(K$3&gt;$D182,NETWORKDAYS($D182,K$3)-2,0)*$I182,0)
-IF(AND($C182&gt;=J$3,$C182&lt;K$3),($C182-J$3)*$I182,0))
-IF(AND(TODAY()&gt;=J$3,TODAY()&lt;K$3),IF(TODAY()&gt;$C182,NETWORKDAYS($C182,TODAY()-1)*$I182,0),0)
)</f>
        <v/>
      </c>
      <c r="K182" s="59" t="str">
        <f t="shared" ca="1" si="194"/>
        <v/>
      </c>
      <c r="L182" s="59" t="str">
        <f t="shared" ca="1" si="194"/>
        <v/>
      </c>
      <c r="M182" s="59" t="str">
        <f t="shared" ca="1" si="194"/>
        <v/>
      </c>
      <c r="N182" s="59" t="str">
        <f t="shared" ca="1" si="194"/>
        <v/>
      </c>
      <c r="O182" s="59" t="str">
        <f t="shared" ca="1" si="194"/>
        <v/>
      </c>
      <c r="P182" s="59" t="str">
        <f t="shared" ca="1" si="194"/>
        <v/>
      </c>
      <c r="Q182" s="59" t="str">
        <f t="shared" ca="1" si="194"/>
        <v/>
      </c>
      <c r="R182" s="59" t="str">
        <f t="shared" ca="1" si="194"/>
        <v/>
      </c>
      <c r="S182" s="59" t="str">
        <f t="shared" ca="1" si="194"/>
        <v/>
      </c>
      <c r="T182" s="59" t="str">
        <f t="shared" ca="1" si="194"/>
        <v/>
      </c>
      <c r="U182" s="59" t="str">
        <f t="shared" ca="1" si="194"/>
        <v/>
      </c>
    </row>
    <row r="183" spans="1:21" ht="15" thickBot="1" x14ac:dyDescent="0.35">
      <c r="A183" s="68"/>
      <c r="B183" s="21"/>
      <c r="C183" s="61"/>
      <c r="D183" s="61"/>
      <c r="E183" s="67"/>
      <c r="F183" s="69" t="str">
        <f t="shared" ca="1" si="142"/>
        <v/>
      </c>
      <c r="G183" s="64" t="str">
        <f t="shared" ca="1" si="143"/>
        <v/>
      </c>
      <c r="H183" s="70" t="str">
        <f t="shared" si="144"/>
        <v/>
      </c>
      <c r="I183" s="66" t="str">
        <f t="shared" si="145"/>
        <v/>
      </c>
      <c r="J183" s="59" t="str">
        <f t="shared" ref="J183:U183" ca="1" si="195">IF($A183="","",
IF($C183&gt;J$3+6,0,IF($D183&gt;=J$3,$I183*5,0)
-IF($D183&gt;=J$3,IF(K$3&gt;$D183,NETWORKDAYS($D183,K$3)-2,0)*$I183,0)
-IF(AND($C183&gt;=J$3,$C183&lt;K$3),($C183-J$3)*$I183,0))
-IF(AND(TODAY()&gt;=J$3,TODAY()&lt;K$3),IF(TODAY()&gt;$C183,NETWORKDAYS($C183,TODAY()-1)*$I183,0),0)
)</f>
        <v/>
      </c>
      <c r="K183" s="59" t="str">
        <f t="shared" ca="1" si="195"/>
        <v/>
      </c>
      <c r="L183" s="59" t="str">
        <f t="shared" ca="1" si="195"/>
        <v/>
      </c>
      <c r="M183" s="59" t="str">
        <f t="shared" ca="1" si="195"/>
        <v/>
      </c>
      <c r="N183" s="59" t="str">
        <f t="shared" ca="1" si="195"/>
        <v/>
      </c>
      <c r="O183" s="59" t="str">
        <f t="shared" ca="1" si="195"/>
        <v/>
      </c>
      <c r="P183" s="59" t="str">
        <f t="shared" ca="1" si="195"/>
        <v/>
      </c>
      <c r="Q183" s="59" t="str">
        <f t="shared" ca="1" si="195"/>
        <v/>
      </c>
      <c r="R183" s="59" t="str">
        <f t="shared" ca="1" si="195"/>
        <v/>
      </c>
      <c r="S183" s="59" t="str">
        <f t="shared" ca="1" si="195"/>
        <v/>
      </c>
      <c r="T183" s="59" t="str">
        <f t="shared" ca="1" si="195"/>
        <v/>
      </c>
      <c r="U183" s="59" t="str">
        <f t="shared" ca="1" si="195"/>
        <v/>
      </c>
    </row>
    <row r="184" spans="1:21" ht="15" thickBot="1" x14ac:dyDescent="0.35">
      <c r="A184" s="68"/>
      <c r="B184" s="21"/>
      <c r="C184" s="61"/>
      <c r="D184" s="61"/>
      <c r="E184" s="67"/>
      <c r="F184" s="69" t="str">
        <f t="shared" ca="1" si="142"/>
        <v/>
      </c>
      <c r="G184" s="64" t="str">
        <f t="shared" ca="1" si="143"/>
        <v/>
      </c>
      <c r="H184" s="70" t="str">
        <f t="shared" si="144"/>
        <v/>
      </c>
      <c r="I184" s="66" t="str">
        <f t="shared" si="145"/>
        <v/>
      </c>
      <c r="J184" s="59" t="str">
        <f t="shared" ref="J184:U184" ca="1" si="196">IF($A184="","",
IF($C184&gt;J$3+6,0,IF($D184&gt;=J$3,$I184*5,0)
-IF($D184&gt;=J$3,IF(K$3&gt;$D184,NETWORKDAYS($D184,K$3)-2,0)*$I184,0)
-IF(AND($C184&gt;=J$3,$C184&lt;K$3),($C184-J$3)*$I184,0))
-IF(AND(TODAY()&gt;=J$3,TODAY()&lt;K$3),IF(TODAY()&gt;$C184,NETWORKDAYS($C184,TODAY()-1)*$I184,0),0)
)</f>
        <v/>
      </c>
      <c r="K184" s="59" t="str">
        <f t="shared" ca="1" si="196"/>
        <v/>
      </c>
      <c r="L184" s="59" t="str">
        <f t="shared" ca="1" si="196"/>
        <v/>
      </c>
      <c r="M184" s="59" t="str">
        <f t="shared" ca="1" si="196"/>
        <v/>
      </c>
      <c r="N184" s="59" t="str">
        <f t="shared" ca="1" si="196"/>
        <v/>
      </c>
      <c r="O184" s="59" t="str">
        <f t="shared" ca="1" si="196"/>
        <v/>
      </c>
      <c r="P184" s="59" t="str">
        <f t="shared" ca="1" si="196"/>
        <v/>
      </c>
      <c r="Q184" s="59" t="str">
        <f t="shared" ca="1" si="196"/>
        <v/>
      </c>
      <c r="R184" s="59" t="str">
        <f t="shared" ca="1" si="196"/>
        <v/>
      </c>
      <c r="S184" s="59" t="str">
        <f t="shared" ca="1" si="196"/>
        <v/>
      </c>
      <c r="T184" s="59" t="str">
        <f t="shared" ca="1" si="196"/>
        <v/>
      </c>
      <c r="U184" s="59" t="str">
        <f t="shared" ca="1" si="196"/>
        <v/>
      </c>
    </row>
    <row r="185" spans="1:21" ht="15" thickBot="1" x14ac:dyDescent="0.35">
      <c r="A185" s="68"/>
      <c r="B185" s="21"/>
      <c r="C185" s="61"/>
      <c r="D185" s="61"/>
      <c r="E185" s="67"/>
      <c r="F185" s="69" t="str">
        <f t="shared" ca="1" si="142"/>
        <v/>
      </c>
      <c r="G185" s="64" t="str">
        <f t="shared" ca="1" si="143"/>
        <v/>
      </c>
      <c r="H185" s="70" t="str">
        <f t="shared" si="144"/>
        <v/>
      </c>
      <c r="I185" s="66" t="str">
        <f t="shared" si="145"/>
        <v/>
      </c>
      <c r="J185" s="59" t="str">
        <f t="shared" ref="J185:U185" ca="1" si="197">IF($A185="","",
IF($C185&gt;J$3+6,0,IF($D185&gt;=J$3,$I185*5,0)
-IF($D185&gt;=J$3,IF(K$3&gt;$D185,NETWORKDAYS($D185,K$3)-2,0)*$I185,0)
-IF(AND($C185&gt;=J$3,$C185&lt;K$3),($C185-J$3)*$I185,0))
-IF(AND(TODAY()&gt;=J$3,TODAY()&lt;K$3),IF(TODAY()&gt;$C185,NETWORKDAYS($C185,TODAY()-1)*$I185,0),0)
)</f>
        <v/>
      </c>
      <c r="K185" s="59" t="str">
        <f t="shared" ca="1" si="197"/>
        <v/>
      </c>
      <c r="L185" s="59" t="str">
        <f t="shared" ca="1" si="197"/>
        <v/>
      </c>
      <c r="M185" s="59" t="str">
        <f t="shared" ca="1" si="197"/>
        <v/>
      </c>
      <c r="N185" s="59" t="str">
        <f t="shared" ca="1" si="197"/>
        <v/>
      </c>
      <c r="O185" s="59" t="str">
        <f t="shared" ca="1" si="197"/>
        <v/>
      </c>
      <c r="P185" s="59" t="str">
        <f t="shared" ca="1" si="197"/>
        <v/>
      </c>
      <c r="Q185" s="59" t="str">
        <f t="shared" ca="1" si="197"/>
        <v/>
      </c>
      <c r="R185" s="59" t="str">
        <f t="shared" ca="1" si="197"/>
        <v/>
      </c>
      <c r="S185" s="59" t="str">
        <f t="shared" ca="1" si="197"/>
        <v/>
      </c>
      <c r="T185" s="59" t="str">
        <f t="shared" ca="1" si="197"/>
        <v/>
      </c>
      <c r="U185" s="59" t="str">
        <f t="shared" ca="1" si="197"/>
        <v/>
      </c>
    </row>
    <row r="186" spans="1:21" ht="15" thickBot="1" x14ac:dyDescent="0.35">
      <c r="A186" s="68"/>
      <c r="B186" s="21"/>
      <c r="C186" s="61"/>
      <c r="D186" s="61"/>
      <c r="E186" s="67"/>
      <c r="F186" s="69" t="str">
        <f t="shared" ca="1" si="142"/>
        <v/>
      </c>
      <c r="G186" s="64" t="str">
        <f t="shared" ca="1" si="143"/>
        <v/>
      </c>
      <c r="H186" s="70" t="str">
        <f t="shared" si="144"/>
        <v/>
      </c>
      <c r="I186" s="66" t="str">
        <f t="shared" si="145"/>
        <v/>
      </c>
      <c r="J186" s="59" t="str">
        <f t="shared" ref="J186:U186" ca="1" si="198">IF($A186="","",
IF($C186&gt;J$3+6,0,IF($D186&gt;=J$3,$I186*5,0)
-IF($D186&gt;=J$3,IF(K$3&gt;$D186,NETWORKDAYS($D186,K$3)-2,0)*$I186,0)
-IF(AND($C186&gt;=J$3,$C186&lt;K$3),($C186-J$3)*$I186,0))
-IF(AND(TODAY()&gt;=J$3,TODAY()&lt;K$3),IF(TODAY()&gt;$C186,NETWORKDAYS($C186,TODAY()-1)*$I186,0),0)
)</f>
        <v/>
      </c>
      <c r="K186" s="59" t="str">
        <f t="shared" ca="1" si="198"/>
        <v/>
      </c>
      <c r="L186" s="59" t="str">
        <f t="shared" ca="1" si="198"/>
        <v/>
      </c>
      <c r="M186" s="59" t="str">
        <f t="shared" ca="1" si="198"/>
        <v/>
      </c>
      <c r="N186" s="59" t="str">
        <f t="shared" ca="1" si="198"/>
        <v/>
      </c>
      <c r="O186" s="59" t="str">
        <f t="shared" ca="1" si="198"/>
        <v/>
      </c>
      <c r="P186" s="59" t="str">
        <f t="shared" ca="1" si="198"/>
        <v/>
      </c>
      <c r="Q186" s="59" t="str">
        <f t="shared" ca="1" si="198"/>
        <v/>
      </c>
      <c r="R186" s="59" t="str">
        <f t="shared" ca="1" si="198"/>
        <v/>
      </c>
      <c r="S186" s="59" t="str">
        <f t="shared" ca="1" si="198"/>
        <v/>
      </c>
      <c r="T186" s="59" t="str">
        <f t="shared" ca="1" si="198"/>
        <v/>
      </c>
      <c r="U186" s="59" t="str">
        <f t="shared" ca="1" si="198"/>
        <v/>
      </c>
    </row>
    <row r="187" spans="1:21" ht="15" thickBot="1" x14ac:dyDescent="0.35">
      <c r="A187" s="68"/>
      <c r="B187" s="21"/>
      <c r="C187" s="61"/>
      <c r="D187" s="61"/>
      <c r="E187" s="67"/>
      <c r="F187" s="69" t="str">
        <f t="shared" ca="1" si="142"/>
        <v/>
      </c>
      <c r="G187" s="64" t="str">
        <f t="shared" ca="1" si="143"/>
        <v/>
      </c>
      <c r="H187" s="70" t="str">
        <f t="shared" si="144"/>
        <v/>
      </c>
      <c r="I187" s="66" t="str">
        <f t="shared" si="145"/>
        <v/>
      </c>
      <c r="J187" s="59" t="str">
        <f t="shared" ref="J187:U187" ca="1" si="199">IF($A187="","",
IF($C187&gt;J$3+6,0,IF($D187&gt;=J$3,$I187*5,0)
-IF($D187&gt;=J$3,IF(K$3&gt;$D187,NETWORKDAYS($D187,K$3)-2,0)*$I187,0)
-IF(AND($C187&gt;=J$3,$C187&lt;K$3),($C187-J$3)*$I187,0))
-IF(AND(TODAY()&gt;=J$3,TODAY()&lt;K$3),IF(TODAY()&gt;$C187,NETWORKDAYS($C187,TODAY()-1)*$I187,0),0)
)</f>
        <v/>
      </c>
      <c r="K187" s="59" t="str">
        <f t="shared" ca="1" si="199"/>
        <v/>
      </c>
      <c r="L187" s="59" t="str">
        <f t="shared" ca="1" si="199"/>
        <v/>
      </c>
      <c r="M187" s="59" t="str">
        <f t="shared" ca="1" si="199"/>
        <v/>
      </c>
      <c r="N187" s="59" t="str">
        <f t="shared" ca="1" si="199"/>
        <v/>
      </c>
      <c r="O187" s="59" t="str">
        <f t="shared" ca="1" si="199"/>
        <v/>
      </c>
      <c r="P187" s="59" t="str">
        <f t="shared" ca="1" si="199"/>
        <v/>
      </c>
      <c r="Q187" s="59" t="str">
        <f t="shared" ca="1" si="199"/>
        <v/>
      </c>
      <c r="R187" s="59" t="str">
        <f t="shared" ca="1" si="199"/>
        <v/>
      </c>
      <c r="S187" s="59" t="str">
        <f t="shared" ca="1" si="199"/>
        <v/>
      </c>
      <c r="T187" s="59" t="str">
        <f t="shared" ca="1" si="199"/>
        <v/>
      </c>
      <c r="U187" s="59" t="str">
        <f t="shared" ca="1" si="199"/>
        <v/>
      </c>
    </row>
    <row r="188" spans="1:21" ht="15" thickBot="1" x14ac:dyDescent="0.35">
      <c r="A188" s="68"/>
      <c r="B188" s="21"/>
      <c r="C188" s="61"/>
      <c r="D188" s="61"/>
      <c r="E188" s="67"/>
      <c r="F188" s="69" t="str">
        <f t="shared" ca="1" si="142"/>
        <v/>
      </c>
      <c r="G188" s="64" t="str">
        <f t="shared" ca="1" si="143"/>
        <v/>
      </c>
      <c r="H188" s="70" t="str">
        <f t="shared" si="144"/>
        <v/>
      </c>
      <c r="I188" s="66" t="str">
        <f t="shared" si="145"/>
        <v/>
      </c>
      <c r="J188" s="59" t="str">
        <f t="shared" ref="J188:U188" ca="1" si="200">IF($A188="","",
IF($C188&gt;J$3+6,0,IF($D188&gt;=J$3,$I188*5,0)
-IF($D188&gt;=J$3,IF(K$3&gt;$D188,NETWORKDAYS($D188,K$3)-2,0)*$I188,0)
-IF(AND($C188&gt;=J$3,$C188&lt;K$3),($C188-J$3)*$I188,0))
-IF(AND(TODAY()&gt;=J$3,TODAY()&lt;K$3),IF(TODAY()&gt;$C188,NETWORKDAYS($C188,TODAY()-1)*$I188,0),0)
)</f>
        <v/>
      </c>
      <c r="K188" s="59" t="str">
        <f t="shared" ca="1" si="200"/>
        <v/>
      </c>
      <c r="L188" s="59" t="str">
        <f t="shared" ca="1" si="200"/>
        <v/>
      </c>
      <c r="M188" s="59" t="str">
        <f t="shared" ca="1" si="200"/>
        <v/>
      </c>
      <c r="N188" s="59" t="str">
        <f t="shared" ca="1" si="200"/>
        <v/>
      </c>
      <c r="O188" s="59" t="str">
        <f t="shared" ca="1" si="200"/>
        <v/>
      </c>
      <c r="P188" s="59" t="str">
        <f t="shared" ca="1" si="200"/>
        <v/>
      </c>
      <c r="Q188" s="59" t="str">
        <f t="shared" ca="1" si="200"/>
        <v/>
      </c>
      <c r="R188" s="59" t="str">
        <f t="shared" ca="1" si="200"/>
        <v/>
      </c>
      <c r="S188" s="59" t="str">
        <f t="shared" ca="1" si="200"/>
        <v/>
      </c>
      <c r="T188" s="59" t="str">
        <f t="shared" ca="1" si="200"/>
        <v/>
      </c>
      <c r="U188" s="59" t="str">
        <f t="shared" ca="1" si="200"/>
        <v/>
      </c>
    </row>
    <row r="189" spans="1:21" ht="15" thickBot="1" x14ac:dyDescent="0.35">
      <c r="A189" s="68"/>
      <c r="B189" s="21"/>
      <c r="C189" s="61"/>
      <c r="D189" s="61"/>
      <c r="E189" s="67"/>
      <c r="F189" s="69" t="str">
        <f t="shared" ca="1" si="142"/>
        <v/>
      </c>
      <c r="G189" s="64" t="str">
        <f t="shared" ca="1" si="143"/>
        <v/>
      </c>
      <c r="H189" s="70" t="str">
        <f t="shared" si="144"/>
        <v/>
      </c>
      <c r="I189" s="66" t="str">
        <f t="shared" si="145"/>
        <v/>
      </c>
      <c r="J189" s="59" t="str">
        <f t="shared" ref="J189:U189" ca="1" si="201">IF($A189="","",
IF($C189&gt;J$3+6,0,IF($D189&gt;=J$3,$I189*5,0)
-IF($D189&gt;=J$3,IF(K$3&gt;$D189,NETWORKDAYS($D189,K$3)-2,0)*$I189,0)
-IF(AND($C189&gt;=J$3,$C189&lt;K$3),($C189-J$3)*$I189,0))
-IF(AND(TODAY()&gt;=J$3,TODAY()&lt;K$3),IF(TODAY()&gt;$C189,NETWORKDAYS($C189,TODAY()-1)*$I189,0),0)
)</f>
        <v/>
      </c>
      <c r="K189" s="59" t="str">
        <f t="shared" ca="1" si="201"/>
        <v/>
      </c>
      <c r="L189" s="59" t="str">
        <f t="shared" ca="1" si="201"/>
        <v/>
      </c>
      <c r="M189" s="59" t="str">
        <f t="shared" ca="1" si="201"/>
        <v/>
      </c>
      <c r="N189" s="59" t="str">
        <f t="shared" ca="1" si="201"/>
        <v/>
      </c>
      <c r="O189" s="59" t="str">
        <f t="shared" ca="1" si="201"/>
        <v/>
      </c>
      <c r="P189" s="59" t="str">
        <f t="shared" ca="1" si="201"/>
        <v/>
      </c>
      <c r="Q189" s="59" t="str">
        <f t="shared" ca="1" si="201"/>
        <v/>
      </c>
      <c r="R189" s="59" t="str">
        <f t="shared" ca="1" si="201"/>
        <v/>
      </c>
      <c r="S189" s="59" t="str">
        <f t="shared" ca="1" si="201"/>
        <v/>
      </c>
      <c r="T189" s="59" t="str">
        <f t="shared" ca="1" si="201"/>
        <v/>
      </c>
      <c r="U189" s="59" t="str">
        <f t="shared" ca="1" si="201"/>
        <v/>
      </c>
    </row>
    <row r="190" spans="1:21" ht="15" thickBot="1" x14ac:dyDescent="0.35">
      <c r="A190" s="68"/>
      <c r="B190" s="21"/>
      <c r="C190" s="61"/>
      <c r="D190" s="61"/>
      <c r="E190" s="67"/>
      <c r="F190" s="69" t="str">
        <f t="shared" ca="1" si="142"/>
        <v/>
      </c>
      <c r="G190" s="64" t="str">
        <f t="shared" ca="1" si="143"/>
        <v/>
      </c>
      <c r="H190" s="70" t="str">
        <f t="shared" si="144"/>
        <v/>
      </c>
      <c r="I190" s="66" t="str">
        <f t="shared" si="145"/>
        <v/>
      </c>
      <c r="J190" s="59" t="str">
        <f t="shared" ref="J190:U190" ca="1" si="202">IF($A190="","",
IF($C190&gt;J$3+6,0,IF($D190&gt;=J$3,$I190*5,0)
-IF($D190&gt;=J$3,IF(K$3&gt;$D190,NETWORKDAYS($D190,K$3)-2,0)*$I190,0)
-IF(AND($C190&gt;=J$3,$C190&lt;K$3),($C190-J$3)*$I190,0))
-IF(AND(TODAY()&gt;=J$3,TODAY()&lt;K$3),IF(TODAY()&gt;$C190,NETWORKDAYS($C190,TODAY()-1)*$I190,0),0)
)</f>
        <v/>
      </c>
      <c r="K190" s="59" t="str">
        <f t="shared" ca="1" si="202"/>
        <v/>
      </c>
      <c r="L190" s="59" t="str">
        <f t="shared" ca="1" si="202"/>
        <v/>
      </c>
      <c r="M190" s="59" t="str">
        <f t="shared" ca="1" si="202"/>
        <v/>
      </c>
      <c r="N190" s="59" t="str">
        <f t="shared" ca="1" si="202"/>
        <v/>
      </c>
      <c r="O190" s="59" t="str">
        <f t="shared" ca="1" si="202"/>
        <v/>
      </c>
      <c r="P190" s="59" t="str">
        <f t="shared" ca="1" si="202"/>
        <v/>
      </c>
      <c r="Q190" s="59" t="str">
        <f t="shared" ca="1" si="202"/>
        <v/>
      </c>
      <c r="R190" s="59" t="str">
        <f t="shared" ca="1" si="202"/>
        <v/>
      </c>
      <c r="S190" s="59" t="str">
        <f t="shared" ca="1" si="202"/>
        <v/>
      </c>
      <c r="T190" s="59" t="str">
        <f t="shared" ca="1" si="202"/>
        <v/>
      </c>
      <c r="U190" s="59" t="str">
        <f t="shared" ca="1" si="202"/>
        <v/>
      </c>
    </row>
    <row r="191" spans="1:21" ht="15" thickBot="1" x14ac:dyDescent="0.35">
      <c r="A191" s="68"/>
      <c r="B191" s="21"/>
      <c r="C191" s="61"/>
      <c r="D191" s="61"/>
      <c r="E191" s="67"/>
      <c r="F191" s="69" t="str">
        <f t="shared" ca="1" si="142"/>
        <v/>
      </c>
      <c r="G191" s="64" t="str">
        <f t="shared" ca="1" si="143"/>
        <v/>
      </c>
      <c r="H191" s="70" t="str">
        <f t="shared" si="144"/>
        <v/>
      </c>
      <c r="I191" s="66" t="str">
        <f t="shared" si="145"/>
        <v/>
      </c>
      <c r="J191" s="59" t="str">
        <f t="shared" ref="J191:U191" ca="1" si="203">IF($A191="","",
IF($C191&gt;J$3+6,0,IF($D191&gt;=J$3,$I191*5,0)
-IF($D191&gt;=J$3,IF(K$3&gt;$D191,NETWORKDAYS($D191,K$3)-2,0)*$I191,0)
-IF(AND($C191&gt;=J$3,$C191&lt;K$3),($C191-J$3)*$I191,0))
-IF(AND(TODAY()&gt;=J$3,TODAY()&lt;K$3),IF(TODAY()&gt;$C191,NETWORKDAYS($C191,TODAY()-1)*$I191,0),0)
)</f>
        <v/>
      </c>
      <c r="K191" s="59" t="str">
        <f t="shared" ca="1" si="203"/>
        <v/>
      </c>
      <c r="L191" s="59" t="str">
        <f t="shared" ca="1" si="203"/>
        <v/>
      </c>
      <c r="M191" s="59" t="str">
        <f t="shared" ca="1" si="203"/>
        <v/>
      </c>
      <c r="N191" s="59" t="str">
        <f t="shared" ca="1" si="203"/>
        <v/>
      </c>
      <c r="O191" s="59" t="str">
        <f t="shared" ca="1" si="203"/>
        <v/>
      </c>
      <c r="P191" s="59" t="str">
        <f t="shared" ca="1" si="203"/>
        <v/>
      </c>
      <c r="Q191" s="59" t="str">
        <f t="shared" ca="1" si="203"/>
        <v/>
      </c>
      <c r="R191" s="59" t="str">
        <f t="shared" ca="1" si="203"/>
        <v/>
      </c>
      <c r="S191" s="59" t="str">
        <f t="shared" ca="1" si="203"/>
        <v/>
      </c>
      <c r="T191" s="59" t="str">
        <f t="shared" ca="1" si="203"/>
        <v/>
      </c>
      <c r="U191" s="59" t="str">
        <f t="shared" ca="1" si="203"/>
        <v/>
      </c>
    </row>
    <row r="192" spans="1:21" ht="15" thickBot="1" x14ac:dyDescent="0.35">
      <c r="A192" s="68"/>
      <c r="B192" s="21"/>
      <c r="C192" s="61"/>
      <c r="D192" s="61"/>
      <c r="E192" s="67"/>
      <c r="F192" s="69" t="str">
        <f t="shared" ca="1" si="142"/>
        <v/>
      </c>
      <c r="G192" s="64" t="str">
        <f t="shared" ca="1" si="143"/>
        <v/>
      </c>
      <c r="H192" s="70" t="str">
        <f t="shared" si="144"/>
        <v/>
      </c>
      <c r="I192" s="66" t="str">
        <f t="shared" si="145"/>
        <v/>
      </c>
      <c r="J192" s="59" t="str">
        <f t="shared" ref="J192:U192" ca="1" si="204">IF($A192="","",
IF($C192&gt;J$3+6,0,IF($D192&gt;=J$3,$I192*5,0)
-IF($D192&gt;=J$3,IF(K$3&gt;$D192,NETWORKDAYS($D192,K$3)-2,0)*$I192,0)
-IF(AND($C192&gt;=J$3,$C192&lt;K$3),($C192-J$3)*$I192,0))
-IF(AND(TODAY()&gt;=J$3,TODAY()&lt;K$3),IF(TODAY()&gt;$C192,NETWORKDAYS($C192,TODAY()-1)*$I192,0),0)
)</f>
        <v/>
      </c>
      <c r="K192" s="59" t="str">
        <f t="shared" ca="1" si="204"/>
        <v/>
      </c>
      <c r="L192" s="59" t="str">
        <f t="shared" ca="1" si="204"/>
        <v/>
      </c>
      <c r="M192" s="59" t="str">
        <f t="shared" ca="1" si="204"/>
        <v/>
      </c>
      <c r="N192" s="59" t="str">
        <f t="shared" ca="1" si="204"/>
        <v/>
      </c>
      <c r="O192" s="59" t="str">
        <f t="shared" ca="1" si="204"/>
        <v/>
      </c>
      <c r="P192" s="59" t="str">
        <f t="shared" ca="1" si="204"/>
        <v/>
      </c>
      <c r="Q192" s="59" t="str">
        <f t="shared" ca="1" si="204"/>
        <v/>
      </c>
      <c r="R192" s="59" t="str">
        <f t="shared" ca="1" si="204"/>
        <v/>
      </c>
      <c r="S192" s="59" t="str">
        <f t="shared" ca="1" si="204"/>
        <v/>
      </c>
      <c r="T192" s="59" t="str">
        <f t="shared" ca="1" si="204"/>
        <v/>
      </c>
      <c r="U192" s="59" t="str">
        <f t="shared" ca="1" si="204"/>
        <v/>
      </c>
    </row>
    <row r="193" spans="1:21" ht="15" thickBot="1" x14ac:dyDescent="0.35">
      <c r="A193" s="68"/>
      <c r="B193" s="21"/>
      <c r="C193" s="61"/>
      <c r="D193" s="61"/>
      <c r="E193" s="67"/>
      <c r="F193" s="69" t="str">
        <f t="shared" ca="1" si="142"/>
        <v/>
      </c>
      <c r="G193" s="64" t="str">
        <f t="shared" ca="1" si="143"/>
        <v/>
      </c>
      <c r="H193" s="70" t="str">
        <f t="shared" si="144"/>
        <v/>
      </c>
      <c r="I193" s="66" t="str">
        <f t="shared" si="145"/>
        <v/>
      </c>
      <c r="J193" s="59" t="str">
        <f t="shared" ref="J193:U193" ca="1" si="205">IF($A193="","",
IF($C193&gt;J$3+6,0,IF($D193&gt;=J$3,$I193*5,0)
-IF($D193&gt;=J$3,IF(K$3&gt;$D193,NETWORKDAYS($D193,K$3)-2,0)*$I193,0)
-IF(AND($C193&gt;=J$3,$C193&lt;K$3),($C193-J$3)*$I193,0))
-IF(AND(TODAY()&gt;=J$3,TODAY()&lt;K$3),IF(TODAY()&gt;$C193,NETWORKDAYS($C193,TODAY()-1)*$I193,0),0)
)</f>
        <v/>
      </c>
      <c r="K193" s="59" t="str">
        <f t="shared" ca="1" si="205"/>
        <v/>
      </c>
      <c r="L193" s="59" t="str">
        <f t="shared" ca="1" si="205"/>
        <v/>
      </c>
      <c r="M193" s="59" t="str">
        <f t="shared" ca="1" si="205"/>
        <v/>
      </c>
      <c r="N193" s="59" t="str">
        <f t="shared" ca="1" si="205"/>
        <v/>
      </c>
      <c r="O193" s="59" t="str">
        <f t="shared" ca="1" si="205"/>
        <v/>
      </c>
      <c r="P193" s="59" t="str">
        <f t="shared" ca="1" si="205"/>
        <v/>
      </c>
      <c r="Q193" s="59" t="str">
        <f t="shared" ca="1" si="205"/>
        <v/>
      </c>
      <c r="R193" s="59" t="str">
        <f t="shared" ca="1" si="205"/>
        <v/>
      </c>
      <c r="S193" s="59" t="str">
        <f t="shared" ca="1" si="205"/>
        <v/>
      </c>
      <c r="T193" s="59" t="str">
        <f t="shared" ca="1" si="205"/>
        <v/>
      </c>
      <c r="U193" s="59" t="str">
        <f t="shared" ca="1" si="205"/>
        <v/>
      </c>
    </row>
    <row r="194" spans="1:21" ht="15" thickBot="1" x14ac:dyDescent="0.35">
      <c r="A194" s="68"/>
      <c r="B194" s="21"/>
      <c r="C194" s="61"/>
      <c r="D194" s="61"/>
      <c r="E194" s="67"/>
      <c r="F194" s="69" t="str">
        <f t="shared" ca="1" si="142"/>
        <v/>
      </c>
      <c r="G194" s="64" t="str">
        <f t="shared" ca="1" si="143"/>
        <v/>
      </c>
      <c r="H194" s="70" t="str">
        <f t="shared" si="144"/>
        <v/>
      </c>
      <c r="I194" s="66" t="str">
        <f t="shared" si="145"/>
        <v/>
      </c>
      <c r="J194" s="59" t="str">
        <f t="shared" ref="J194:U194" ca="1" si="206">IF($A194="","",
IF($C194&gt;J$3+6,0,IF($D194&gt;=J$3,$I194*5,0)
-IF($D194&gt;=J$3,IF(K$3&gt;$D194,NETWORKDAYS($D194,K$3)-2,0)*$I194,0)
-IF(AND($C194&gt;=J$3,$C194&lt;K$3),($C194-J$3)*$I194,0))
-IF(AND(TODAY()&gt;=J$3,TODAY()&lt;K$3),IF(TODAY()&gt;$C194,NETWORKDAYS($C194,TODAY()-1)*$I194,0),0)
)</f>
        <v/>
      </c>
      <c r="K194" s="59" t="str">
        <f t="shared" ca="1" si="206"/>
        <v/>
      </c>
      <c r="L194" s="59" t="str">
        <f t="shared" ca="1" si="206"/>
        <v/>
      </c>
      <c r="M194" s="59" t="str">
        <f t="shared" ca="1" si="206"/>
        <v/>
      </c>
      <c r="N194" s="59" t="str">
        <f t="shared" ca="1" si="206"/>
        <v/>
      </c>
      <c r="O194" s="59" t="str">
        <f t="shared" ca="1" si="206"/>
        <v/>
      </c>
      <c r="P194" s="59" t="str">
        <f t="shared" ca="1" si="206"/>
        <v/>
      </c>
      <c r="Q194" s="59" t="str">
        <f t="shared" ca="1" si="206"/>
        <v/>
      </c>
      <c r="R194" s="59" t="str">
        <f t="shared" ca="1" si="206"/>
        <v/>
      </c>
      <c r="S194" s="59" t="str">
        <f t="shared" ca="1" si="206"/>
        <v/>
      </c>
      <c r="T194" s="59" t="str">
        <f t="shared" ca="1" si="206"/>
        <v/>
      </c>
      <c r="U194" s="59" t="str">
        <f t="shared" ca="1" si="206"/>
        <v/>
      </c>
    </row>
    <row r="195" spans="1:21" ht="15" thickBot="1" x14ac:dyDescent="0.35">
      <c r="A195" s="68"/>
      <c r="B195" s="21"/>
      <c r="C195" s="61"/>
      <c r="D195" s="61"/>
      <c r="E195" s="67"/>
      <c r="F195" s="69" t="str">
        <f t="shared" ca="1" si="142"/>
        <v/>
      </c>
      <c r="G195" s="64" t="str">
        <f t="shared" ca="1" si="143"/>
        <v/>
      </c>
      <c r="H195" s="70" t="str">
        <f t="shared" si="144"/>
        <v/>
      </c>
      <c r="I195" s="66" t="str">
        <f t="shared" si="145"/>
        <v/>
      </c>
      <c r="J195" s="59" t="str">
        <f t="shared" ref="J195:U195" ca="1" si="207">IF($A195="","",
IF($C195&gt;J$3+6,0,IF($D195&gt;=J$3,$I195*5,0)
-IF($D195&gt;=J$3,IF(K$3&gt;$D195,NETWORKDAYS($D195,K$3)-2,0)*$I195,0)
-IF(AND($C195&gt;=J$3,$C195&lt;K$3),($C195-J$3)*$I195,0))
-IF(AND(TODAY()&gt;=J$3,TODAY()&lt;K$3),IF(TODAY()&gt;$C195,NETWORKDAYS($C195,TODAY()-1)*$I195,0),0)
)</f>
        <v/>
      </c>
      <c r="K195" s="59" t="str">
        <f t="shared" ca="1" si="207"/>
        <v/>
      </c>
      <c r="L195" s="59" t="str">
        <f t="shared" ca="1" si="207"/>
        <v/>
      </c>
      <c r="M195" s="59" t="str">
        <f t="shared" ca="1" si="207"/>
        <v/>
      </c>
      <c r="N195" s="59" t="str">
        <f t="shared" ca="1" si="207"/>
        <v/>
      </c>
      <c r="O195" s="59" t="str">
        <f t="shared" ca="1" si="207"/>
        <v/>
      </c>
      <c r="P195" s="59" t="str">
        <f t="shared" ca="1" si="207"/>
        <v/>
      </c>
      <c r="Q195" s="59" t="str">
        <f t="shared" ca="1" si="207"/>
        <v/>
      </c>
      <c r="R195" s="59" t="str">
        <f t="shared" ca="1" si="207"/>
        <v/>
      </c>
      <c r="S195" s="59" t="str">
        <f t="shared" ca="1" si="207"/>
        <v/>
      </c>
      <c r="T195" s="59" t="str">
        <f t="shared" ca="1" si="207"/>
        <v/>
      </c>
      <c r="U195" s="59" t="str">
        <f t="shared" ca="1" si="207"/>
        <v/>
      </c>
    </row>
    <row r="196" spans="1:21" ht="15" thickBot="1" x14ac:dyDescent="0.35">
      <c r="A196" s="68"/>
      <c r="B196" s="21"/>
      <c r="C196" s="61"/>
      <c r="D196" s="61"/>
      <c r="E196" s="67"/>
      <c r="F196" s="69" t="str">
        <f t="shared" ca="1" si="142"/>
        <v/>
      </c>
      <c r="G196" s="64" t="str">
        <f t="shared" ca="1" si="143"/>
        <v/>
      </c>
      <c r="H196" s="70" t="str">
        <f t="shared" si="144"/>
        <v/>
      </c>
      <c r="I196" s="66" t="str">
        <f t="shared" si="145"/>
        <v/>
      </c>
      <c r="J196" s="59" t="str">
        <f t="shared" ref="J196:U196" ca="1" si="208">IF($A196="","",
IF($C196&gt;J$3+6,0,IF($D196&gt;=J$3,$I196*5,0)
-IF($D196&gt;=J$3,IF(K$3&gt;$D196,NETWORKDAYS($D196,K$3)-2,0)*$I196,0)
-IF(AND($C196&gt;=J$3,$C196&lt;K$3),($C196-J$3)*$I196,0))
-IF(AND(TODAY()&gt;=J$3,TODAY()&lt;K$3),IF(TODAY()&gt;$C196,NETWORKDAYS($C196,TODAY()-1)*$I196,0),0)
)</f>
        <v/>
      </c>
      <c r="K196" s="59" t="str">
        <f t="shared" ca="1" si="208"/>
        <v/>
      </c>
      <c r="L196" s="59" t="str">
        <f t="shared" ca="1" si="208"/>
        <v/>
      </c>
      <c r="M196" s="59" t="str">
        <f t="shared" ca="1" si="208"/>
        <v/>
      </c>
      <c r="N196" s="59" t="str">
        <f t="shared" ca="1" si="208"/>
        <v/>
      </c>
      <c r="O196" s="59" t="str">
        <f t="shared" ca="1" si="208"/>
        <v/>
      </c>
      <c r="P196" s="59" t="str">
        <f t="shared" ca="1" si="208"/>
        <v/>
      </c>
      <c r="Q196" s="59" t="str">
        <f t="shared" ca="1" si="208"/>
        <v/>
      </c>
      <c r="R196" s="59" t="str">
        <f t="shared" ca="1" si="208"/>
        <v/>
      </c>
      <c r="S196" s="59" t="str">
        <f t="shared" ca="1" si="208"/>
        <v/>
      </c>
      <c r="T196" s="59" t="str">
        <f t="shared" ca="1" si="208"/>
        <v/>
      </c>
      <c r="U196" s="59" t="str">
        <f t="shared" ca="1" si="208"/>
        <v/>
      </c>
    </row>
    <row r="197" spans="1:21" ht="15" thickBot="1" x14ac:dyDescent="0.35">
      <c r="A197" s="68"/>
      <c r="B197" s="21"/>
      <c r="C197" s="61"/>
      <c r="D197" s="61"/>
      <c r="E197" s="67"/>
      <c r="F197" s="69" t="str">
        <f t="shared" ca="1" si="142"/>
        <v/>
      </c>
      <c r="G197" s="64" t="str">
        <f t="shared" ca="1" si="143"/>
        <v/>
      </c>
      <c r="H197" s="70" t="str">
        <f t="shared" si="144"/>
        <v/>
      </c>
      <c r="I197" s="66" t="str">
        <f t="shared" si="145"/>
        <v/>
      </c>
      <c r="J197" s="59" t="str">
        <f t="shared" ref="J197:U197" ca="1" si="209">IF($A197="","",
IF($C197&gt;J$3+6,0,IF($D197&gt;=J$3,$I197*5,0)
-IF($D197&gt;=J$3,IF(K$3&gt;$D197,NETWORKDAYS($D197,K$3)-2,0)*$I197,0)
-IF(AND($C197&gt;=J$3,$C197&lt;K$3),($C197-J$3)*$I197,0))
-IF(AND(TODAY()&gt;=J$3,TODAY()&lt;K$3),IF(TODAY()&gt;$C197,NETWORKDAYS($C197,TODAY()-1)*$I197,0),0)
)</f>
        <v/>
      </c>
      <c r="K197" s="59" t="str">
        <f t="shared" ca="1" si="209"/>
        <v/>
      </c>
      <c r="L197" s="59" t="str">
        <f t="shared" ca="1" si="209"/>
        <v/>
      </c>
      <c r="M197" s="59" t="str">
        <f t="shared" ca="1" si="209"/>
        <v/>
      </c>
      <c r="N197" s="59" t="str">
        <f t="shared" ca="1" si="209"/>
        <v/>
      </c>
      <c r="O197" s="59" t="str">
        <f t="shared" ca="1" si="209"/>
        <v/>
      </c>
      <c r="P197" s="59" t="str">
        <f t="shared" ca="1" si="209"/>
        <v/>
      </c>
      <c r="Q197" s="59" t="str">
        <f t="shared" ca="1" si="209"/>
        <v/>
      </c>
      <c r="R197" s="59" t="str">
        <f t="shared" ca="1" si="209"/>
        <v/>
      </c>
      <c r="S197" s="59" t="str">
        <f t="shared" ca="1" si="209"/>
        <v/>
      </c>
      <c r="T197" s="59" t="str">
        <f t="shared" ca="1" si="209"/>
        <v/>
      </c>
      <c r="U197" s="59" t="str">
        <f t="shared" ca="1" si="209"/>
        <v/>
      </c>
    </row>
    <row r="198" spans="1:21" ht="15" thickBot="1" x14ac:dyDescent="0.35">
      <c r="A198" s="68"/>
      <c r="B198" s="21"/>
      <c r="C198" s="61"/>
      <c r="D198" s="61"/>
      <c r="E198" s="67"/>
      <c r="F198" s="69" t="str">
        <f t="shared" ref="F198:F261" ca="1" si="210">IF(E198="","",E198-IF(TODAY()&lt;C198,0,(TODAY()-C198)*I198))</f>
        <v/>
      </c>
      <c r="G198" s="64" t="str">
        <f t="shared" ref="G198:G261" ca="1" si="211">IF(E198="","",NETWORKDAYS(TODAY(),D198)+1)</f>
        <v/>
      </c>
      <c r="H198" s="70" t="str">
        <f t="shared" ref="H198:H261" si="212">IF(E198="","",G198/5)</f>
        <v/>
      </c>
      <c r="I198" s="66" t="str">
        <f t="shared" ref="I198:I261" si="213">IF(E198="","",E198/((NETWORKDAYS(C198,D198))))</f>
        <v/>
      </c>
      <c r="J198" s="59" t="str">
        <f t="shared" ref="J198:U198" ca="1" si="214">IF($A198="","",
IF($C198&gt;J$3+6,0,IF($D198&gt;=J$3,$I198*5,0)
-IF($D198&gt;=J$3,IF(K$3&gt;$D198,NETWORKDAYS($D198,K$3)-2,0)*$I198,0)
-IF(AND($C198&gt;=J$3,$C198&lt;K$3),($C198-J$3)*$I198,0))
-IF(AND(TODAY()&gt;=J$3,TODAY()&lt;K$3),IF(TODAY()&gt;$C198,NETWORKDAYS($C198,TODAY()-1)*$I198,0),0)
)</f>
        <v/>
      </c>
      <c r="K198" s="59" t="str">
        <f t="shared" ca="1" si="214"/>
        <v/>
      </c>
      <c r="L198" s="59" t="str">
        <f t="shared" ca="1" si="214"/>
        <v/>
      </c>
      <c r="M198" s="59" t="str">
        <f t="shared" ca="1" si="214"/>
        <v/>
      </c>
      <c r="N198" s="59" t="str">
        <f t="shared" ca="1" si="214"/>
        <v/>
      </c>
      <c r="O198" s="59" t="str">
        <f t="shared" ca="1" si="214"/>
        <v/>
      </c>
      <c r="P198" s="59" t="str">
        <f t="shared" ca="1" si="214"/>
        <v/>
      </c>
      <c r="Q198" s="59" t="str">
        <f t="shared" ca="1" si="214"/>
        <v/>
      </c>
      <c r="R198" s="59" t="str">
        <f t="shared" ca="1" si="214"/>
        <v/>
      </c>
      <c r="S198" s="59" t="str">
        <f t="shared" ca="1" si="214"/>
        <v/>
      </c>
      <c r="T198" s="59" t="str">
        <f t="shared" ca="1" si="214"/>
        <v/>
      </c>
      <c r="U198" s="59" t="str">
        <f t="shared" ca="1" si="214"/>
        <v/>
      </c>
    </row>
    <row r="199" spans="1:21" ht="15" thickBot="1" x14ac:dyDescent="0.35">
      <c r="A199" s="68"/>
      <c r="B199" s="21"/>
      <c r="C199" s="61"/>
      <c r="D199" s="61"/>
      <c r="E199" s="67"/>
      <c r="F199" s="69" t="str">
        <f t="shared" ca="1" si="210"/>
        <v/>
      </c>
      <c r="G199" s="64" t="str">
        <f t="shared" ca="1" si="211"/>
        <v/>
      </c>
      <c r="H199" s="70" t="str">
        <f t="shared" si="212"/>
        <v/>
      </c>
      <c r="I199" s="66" t="str">
        <f t="shared" si="213"/>
        <v/>
      </c>
      <c r="J199" s="59" t="str">
        <f t="shared" ref="J199:U199" ca="1" si="215">IF($A199="","",
IF($C199&gt;J$3+6,0,IF($D199&gt;=J$3,$I199*5,0)
-IF($D199&gt;=J$3,IF(K$3&gt;$D199,NETWORKDAYS($D199,K$3)-2,0)*$I199,0)
-IF(AND($C199&gt;=J$3,$C199&lt;K$3),($C199-J$3)*$I199,0))
-IF(AND(TODAY()&gt;=J$3,TODAY()&lt;K$3),IF(TODAY()&gt;$C199,NETWORKDAYS($C199,TODAY()-1)*$I199,0),0)
)</f>
        <v/>
      </c>
      <c r="K199" s="59" t="str">
        <f t="shared" ca="1" si="215"/>
        <v/>
      </c>
      <c r="L199" s="59" t="str">
        <f t="shared" ca="1" si="215"/>
        <v/>
      </c>
      <c r="M199" s="59" t="str">
        <f t="shared" ca="1" si="215"/>
        <v/>
      </c>
      <c r="N199" s="59" t="str">
        <f t="shared" ca="1" si="215"/>
        <v/>
      </c>
      <c r="O199" s="59" t="str">
        <f t="shared" ca="1" si="215"/>
        <v/>
      </c>
      <c r="P199" s="59" t="str">
        <f t="shared" ca="1" si="215"/>
        <v/>
      </c>
      <c r="Q199" s="59" t="str">
        <f t="shared" ca="1" si="215"/>
        <v/>
      </c>
      <c r="R199" s="59" t="str">
        <f t="shared" ca="1" si="215"/>
        <v/>
      </c>
      <c r="S199" s="59" t="str">
        <f t="shared" ca="1" si="215"/>
        <v/>
      </c>
      <c r="T199" s="59" t="str">
        <f t="shared" ca="1" si="215"/>
        <v/>
      </c>
      <c r="U199" s="59" t="str">
        <f t="shared" ca="1" si="215"/>
        <v/>
      </c>
    </row>
    <row r="200" spans="1:21" ht="15" thickBot="1" x14ac:dyDescent="0.35">
      <c r="A200" s="68"/>
      <c r="B200" s="21"/>
      <c r="C200" s="61"/>
      <c r="D200" s="61"/>
      <c r="E200" s="67"/>
      <c r="F200" s="69" t="str">
        <f t="shared" ca="1" si="210"/>
        <v/>
      </c>
      <c r="G200" s="64" t="str">
        <f t="shared" ca="1" si="211"/>
        <v/>
      </c>
      <c r="H200" s="70" t="str">
        <f t="shared" si="212"/>
        <v/>
      </c>
      <c r="I200" s="66" t="str">
        <f t="shared" si="213"/>
        <v/>
      </c>
      <c r="J200" s="59" t="str">
        <f t="shared" ref="J200:U200" ca="1" si="216">IF($A200="","",
IF($C200&gt;J$3+6,0,IF($D200&gt;=J$3,$I200*5,0)
-IF($D200&gt;=J$3,IF(K$3&gt;$D200,NETWORKDAYS($D200,K$3)-2,0)*$I200,0)
-IF(AND($C200&gt;=J$3,$C200&lt;K$3),($C200-J$3)*$I200,0))
-IF(AND(TODAY()&gt;=J$3,TODAY()&lt;K$3),IF(TODAY()&gt;$C200,NETWORKDAYS($C200,TODAY()-1)*$I200,0),0)
)</f>
        <v/>
      </c>
      <c r="K200" s="59" t="str">
        <f t="shared" ca="1" si="216"/>
        <v/>
      </c>
      <c r="L200" s="59" t="str">
        <f t="shared" ca="1" si="216"/>
        <v/>
      </c>
      <c r="M200" s="59" t="str">
        <f t="shared" ca="1" si="216"/>
        <v/>
      </c>
      <c r="N200" s="59" t="str">
        <f t="shared" ca="1" si="216"/>
        <v/>
      </c>
      <c r="O200" s="59" t="str">
        <f t="shared" ca="1" si="216"/>
        <v/>
      </c>
      <c r="P200" s="59" t="str">
        <f t="shared" ca="1" si="216"/>
        <v/>
      </c>
      <c r="Q200" s="59" t="str">
        <f t="shared" ca="1" si="216"/>
        <v/>
      </c>
      <c r="R200" s="59" t="str">
        <f t="shared" ca="1" si="216"/>
        <v/>
      </c>
      <c r="S200" s="59" t="str">
        <f t="shared" ca="1" si="216"/>
        <v/>
      </c>
      <c r="T200" s="59" t="str">
        <f t="shared" ca="1" si="216"/>
        <v/>
      </c>
      <c r="U200" s="59" t="str">
        <f t="shared" ca="1" si="216"/>
        <v/>
      </c>
    </row>
    <row r="201" spans="1:21" ht="15" thickBot="1" x14ac:dyDescent="0.35">
      <c r="A201" s="68"/>
      <c r="B201" s="21"/>
      <c r="C201" s="61"/>
      <c r="D201" s="61"/>
      <c r="E201" s="67"/>
      <c r="F201" s="69" t="str">
        <f t="shared" ca="1" si="210"/>
        <v/>
      </c>
      <c r="G201" s="64" t="str">
        <f t="shared" ca="1" si="211"/>
        <v/>
      </c>
      <c r="H201" s="70" t="str">
        <f t="shared" si="212"/>
        <v/>
      </c>
      <c r="I201" s="66" t="str">
        <f t="shared" si="213"/>
        <v/>
      </c>
      <c r="J201" s="59" t="str">
        <f t="shared" ref="J201:U201" ca="1" si="217">IF($A201="","",
IF($C201&gt;J$3+6,0,IF($D201&gt;=J$3,$I201*5,0)
-IF($D201&gt;=J$3,IF(K$3&gt;$D201,NETWORKDAYS($D201,K$3)-2,0)*$I201,0)
-IF(AND($C201&gt;=J$3,$C201&lt;K$3),($C201-J$3)*$I201,0))
-IF(AND(TODAY()&gt;=J$3,TODAY()&lt;K$3),IF(TODAY()&gt;$C201,NETWORKDAYS($C201,TODAY()-1)*$I201,0),0)
)</f>
        <v/>
      </c>
      <c r="K201" s="59" t="str">
        <f t="shared" ca="1" si="217"/>
        <v/>
      </c>
      <c r="L201" s="59" t="str">
        <f t="shared" ca="1" si="217"/>
        <v/>
      </c>
      <c r="M201" s="59" t="str">
        <f t="shared" ca="1" si="217"/>
        <v/>
      </c>
      <c r="N201" s="59" t="str">
        <f t="shared" ca="1" si="217"/>
        <v/>
      </c>
      <c r="O201" s="59" t="str">
        <f t="shared" ca="1" si="217"/>
        <v/>
      </c>
      <c r="P201" s="59" t="str">
        <f t="shared" ca="1" si="217"/>
        <v/>
      </c>
      <c r="Q201" s="59" t="str">
        <f t="shared" ca="1" si="217"/>
        <v/>
      </c>
      <c r="R201" s="59" t="str">
        <f t="shared" ca="1" si="217"/>
        <v/>
      </c>
      <c r="S201" s="59" t="str">
        <f t="shared" ca="1" si="217"/>
        <v/>
      </c>
      <c r="T201" s="59" t="str">
        <f t="shared" ca="1" si="217"/>
        <v/>
      </c>
      <c r="U201" s="59" t="str">
        <f t="shared" ca="1" si="217"/>
        <v/>
      </c>
    </row>
    <row r="202" spans="1:21" ht="15" thickBot="1" x14ac:dyDescent="0.35">
      <c r="A202" s="68"/>
      <c r="B202" s="21"/>
      <c r="C202" s="61"/>
      <c r="D202" s="61"/>
      <c r="E202" s="67"/>
      <c r="F202" s="69" t="str">
        <f t="shared" ca="1" si="210"/>
        <v/>
      </c>
      <c r="G202" s="64" t="str">
        <f t="shared" ca="1" si="211"/>
        <v/>
      </c>
      <c r="H202" s="70" t="str">
        <f t="shared" si="212"/>
        <v/>
      </c>
      <c r="I202" s="66" t="str">
        <f t="shared" si="213"/>
        <v/>
      </c>
      <c r="J202" s="59" t="str">
        <f t="shared" ref="J202:U202" ca="1" si="218">IF($A202="","",
IF($C202&gt;J$3+6,0,IF($D202&gt;=J$3,$I202*5,0)
-IF($D202&gt;=J$3,IF(K$3&gt;$D202,NETWORKDAYS($D202,K$3)-2,0)*$I202,0)
-IF(AND($C202&gt;=J$3,$C202&lt;K$3),($C202-J$3)*$I202,0))
-IF(AND(TODAY()&gt;=J$3,TODAY()&lt;K$3),IF(TODAY()&gt;$C202,NETWORKDAYS($C202,TODAY()-1)*$I202,0),0)
)</f>
        <v/>
      </c>
      <c r="K202" s="59" t="str">
        <f t="shared" ca="1" si="218"/>
        <v/>
      </c>
      <c r="L202" s="59" t="str">
        <f t="shared" ca="1" si="218"/>
        <v/>
      </c>
      <c r="M202" s="59" t="str">
        <f t="shared" ca="1" si="218"/>
        <v/>
      </c>
      <c r="N202" s="59" t="str">
        <f t="shared" ca="1" si="218"/>
        <v/>
      </c>
      <c r="O202" s="59" t="str">
        <f t="shared" ca="1" si="218"/>
        <v/>
      </c>
      <c r="P202" s="59" t="str">
        <f t="shared" ca="1" si="218"/>
        <v/>
      </c>
      <c r="Q202" s="59" t="str">
        <f t="shared" ca="1" si="218"/>
        <v/>
      </c>
      <c r="R202" s="59" t="str">
        <f t="shared" ca="1" si="218"/>
        <v/>
      </c>
      <c r="S202" s="59" t="str">
        <f t="shared" ca="1" si="218"/>
        <v/>
      </c>
      <c r="T202" s="59" t="str">
        <f t="shared" ca="1" si="218"/>
        <v/>
      </c>
      <c r="U202" s="59" t="str">
        <f t="shared" ca="1" si="218"/>
        <v/>
      </c>
    </row>
    <row r="203" spans="1:21" ht="15" thickBot="1" x14ac:dyDescent="0.35">
      <c r="A203" s="68"/>
      <c r="B203" s="21"/>
      <c r="C203" s="61"/>
      <c r="D203" s="61"/>
      <c r="E203" s="67"/>
      <c r="F203" s="69" t="str">
        <f t="shared" ca="1" si="210"/>
        <v/>
      </c>
      <c r="G203" s="64" t="str">
        <f t="shared" ca="1" si="211"/>
        <v/>
      </c>
      <c r="H203" s="70" t="str">
        <f t="shared" si="212"/>
        <v/>
      </c>
      <c r="I203" s="66" t="str">
        <f t="shared" si="213"/>
        <v/>
      </c>
      <c r="J203" s="59" t="str">
        <f t="shared" ref="J203:U203" ca="1" si="219">IF($A203="","",
IF($C203&gt;J$3+6,0,IF($D203&gt;=J$3,$I203*5,0)
-IF($D203&gt;=J$3,IF(K$3&gt;$D203,NETWORKDAYS($D203,K$3)-2,0)*$I203,0)
-IF(AND($C203&gt;=J$3,$C203&lt;K$3),($C203-J$3)*$I203,0))
-IF(AND(TODAY()&gt;=J$3,TODAY()&lt;K$3),IF(TODAY()&gt;$C203,NETWORKDAYS($C203,TODAY()-1)*$I203,0),0)
)</f>
        <v/>
      </c>
      <c r="K203" s="59" t="str">
        <f t="shared" ca="1" si="219"/>
        <v/>
      </c>
      <c r="L203" s="59" t="str">
        <f t="shared" ca="1" si="219"/>
        <v/>
      </c>
      <c r="M203" s="59" t="str">
        <f t="shared" ca="1" si="219"/>
        <v/>
      </c>
      <c r="N203" s="59" t="str">
        <f t="shared" ca="1" si="219"/>
        <v/>
      </c>
      <c r="O203" s="59" t="str">
        <f t="shared" ca="1" si="219"/>
        <v/>
      </c>
      <c r="P203" s="59" t="str">
        <f t="shared" ca="1" si="219"/>
        <v/>
      </c>
      <c r="Q203" s="59" t="str">
        <f t="shared" ca="1" si="219"/>
        <v/>
      </c>
      <c r="R203" s="59" t="str">
        <f t="shared" ca="1" si="219"/>
        <v/>
      </c>
      <c r="S203" s="59" t="str">
        <f t="shared" ca="1" si="219"/>
        <v/>
      </c>
      <c r="T203" s="59" t="str">
        <f t="shared" ca="1" si="219"/>
        <v/>
      </c>
      <c r="U203" s="59" t="str">
        <f t="shared" ca="1" si="219"/>
        <v/>
      </c>
    </row>
    <row r="204" spans="1:21" ht="15" thickBot="1" x14ac:dyDescent="0.35">
      <c r="A204" s="68"/>
      <c r="B204" s="21"/>
      <c r="C204" s="61"/>
      <c r="D204" s="61"/>
      <c r="E204" s="67"/>
      <c r="F204" s="69" t="str">
        <f t="shared" ca="1" si="210"/>
        <v/>
      </c>
      <c r="G204" s="64" t="str">
        <f t="shared" ca="1" si="211"/>
        <v/>
      </c>
      <c r="H204" s="70" t="str">
        <f t="shared" si="212"/>
        <v/>
      </c>
      <c r="I204" s="66" t="str">
        <f t="shared" si="213"/>
        <v/>
      </c>
      <c r="J204" s="59" t="str">
        <f t="shared" ref="J204:U204" ca="1" si="220">IF($A204="","",
IF($C204&gt;J$3+6,0,IF($D204&gt;=J$3,$I204*5,0)
-IF($D204&gt;=J$3,IF(K$3&gt;$D204,NETWORKDAYS($D204,K$3)-2,0)*$I204,0)
-IF(AND($C204&gt;=J$3,$C204&lt;K$3),($C204-J$3)*$I204,0))
-IF(AND(TODAY()&gt;=J$3,TODAY()&lt;K$3),IF(TODAY()&gt;$C204,NETWORKDAYS($C204,TODAY()-1)*$I204,0),0)
)</f>
        <v/>
      </c>
      <c r="K204" s="59" t="str">
        <f t="shared" ca="1" si="220"/>
        <v/>
      </c>
      <c r="L204" s="59" t="str">
        <f t="shared" ca="1" si="220"/>
        <v/>
      </c>
      <c r="M204" s="59" t="str">
        <f t="shared" ca="1" si="220"/>
        <v/>
      </c>
      <c r="N204" s="59" t="str">
        <f t="shared" ca="1" si="220"/>
        <v/>
      </c>
      <c r="O204" s="59" t="str">
        <f t="shared" ca="1" si="220"/>
        <v/>
      </c>
      <c r="P204" s="59" t="str">
        <f t="shared" ca="1" si="220"/>
        <v/>
      </c>
      <c r="Q204" s="59" t="str">
        <f t="shared" ca="1" si="220"/>
        <v/>
      </c>
      <c r="R204" s="59" t="str">
        <f t="shared" ca="1" si="220"/>
        <v/>
      </c>
      <c r="S204" s="59" t="str">
        <f t="shared" ca="1" si="220"/>
        <v/>
      </c>
      <c r="T204" s="59" t="str">
        <f t="shared" ca="1" si="220"/>
        <v/>
      </c>
      <c r="U204" s="59" t="str">
        <f t="shared" ca="1" si="220"/>
        <v/>
      </c>
    </row>
    <row r="205" spans="1:21" ht="15" thickBot="1" x14ac:dyDescent="0.35">
      <c r="A205" s="68"/>
      <c r="B205" s="21"/>
      <c r="C205" s="61"/>
      <c r="D205" s="61"/>
      <c r="E205" s="67"/>
      <c r="F205" s="69" t="str">
        <f t="shared" ca="1" si="210"/>
        <v/>
      </c>
      <c r="G205" s="64" t="str">
        <f t="shared" ca="1" si="211"/>
        <v/>
      </c>
      <c r="H205" s="70" t="str">
        <f t="shared" si="212"/>
        <v/>
      </c>
      <c r="I205" s="66" t="str">
        <f t="shared" si="213"/>
        <v/>
      </c>
      <c r="J205" s="59" t="str">
        <f t="shared" ref="J205:U205" ca="1" si="221">IF($A205="","",
IF($C205&gt;J$3+6,0,IF($D205&gt;=J$3,$I205*5,0)
-IF($D205&gt;=J$3,IF(K$3&gt;$D205,NETWORKDAYS($D205,K$3)-2,0)*$I205,0)
-IF(AND($C205&gt;=J$3,$C205&lt;K$3),($C205-J$3)*$I205,0))
-IF(AND(TODAY()&gt;=J$3,TODAY()&lt;K$3),IF(TODAY()&gt;$C205,NETWORKDAYS($C205,TODAY()-1)*$I205,0),0)
)</f>
        <v/>
      </c>
      <c r="K205" s="59" t="str">
        <f t="shared" ca="1" si="221"/>
        <v/>
      </c>
      <c r="L205" s="59" t="str">
        <f t="shared" ca="1" si="221"/>
        <v/>
      </c>
      <c r="M205" s="59" t="str">
        <f t="shared" ca="1" si="221"/>
        <v/>
      </c>
      <c r="N205" s="59" t="str">
        <f t="shared" ca="1" si="221"/>
        <v/>
      </c>
      <c r="O205" s="59" t="str">
        <f t="shared" ca="1" si="221"/>
        <v/>
      </c>
      <c r="P205" s="59" t="str">
        <f t="shared" ca="1" si="221"/>
        <v/>
      </c>
      <c r="Q205" s="59" t="str">
        <f t="shared" ca="1" si="221"/>
        <v/>
      </c>
      <c r="R205" s="59" t="str">
        <f t="shared" ca="1" si="221"/>
        <v/>
      </c>
      <c r="S205" s="59" t="str">
        <f t="shared" ca="1" si="221"/>
        <v/>
      </c>
      <c r="T205" s="59" t="str">
        <f t="shared" ca="1" si="221"/>
        <v/>
      </c>
      <c r="U205" s="59" t="str">
        <f t="shared" ca="1" si="221"/>
        <v/>
      </c>
    </row>
    <row r="206" spans="1:21" ht="15" thickBot="1" x14ac:dyDescent="0.35">
      <c r="A206" s="68"/>
      <c r="B206" s="21"/>
      <c r="C206" s="61"/>
      <c r="D206" s="61"/>
      <c r="E206" s="67"/>
      <c r="F206" s="69" t="str">
        <f t="shared" ca="1" si="210"/>
        <v/>
      </c>
      <c r="G206" s="64" t="str">
        <f t="shared" ca="1" si="211"/>
        <v/>
      </c>
      <c r="H206" s="70" t="str">
        <f t="shared" si="212"/>
        <v/>
      </c>
      <c r="I206" s="66" t="str">
        <f t="shared" si="213"/>
        <v/>
      </c>
      <c r="J206" s="59" t="str">
        <f t="shared" ref="J206:U206" ca="1" si="222">IF($A206="","",
IF($C206&gt;J$3+6,0,IF($D206&gt;=J$3,$I206*5,0)
-IF($D206&gt;=J$3,IF(K$3&gt;$D206,NETWORKDAYS($D206,K$3)-2,0)*$I206,0)
-IF(AND($C206&gt;=J$3,$C206&lt;K$3),($C206-J$3)*$I206,0))
-IF(AND(TODAY()&gt;=J$3,TODAY()&lt;K$3),IF(TODAY()&gt;$C206,NETWORKDAYS($C206,TODAY()-1)*$I206,0),0)
)</f>
        <v/>
      </c>
      <c r="K206" s="59" t="str">
        <f t="shared" ca="1" si="222"/>
        <v/>
      </c>
      <c r="L206" s="59" t="str">
        <f t="shared" ca="1" si="222"/>
        <v/>
      </c>
      <c r="M206" s="59" t="str">
        <f t="shared" ca="1" si="222"/>
        <v/>
      </c>
      <c r="N206" s="59" t="str">
        <f t="shared" ca="1" si="222"/>
        <v/>
      </c>
      <c r="O206" s="59" t="str">
        <f t="shared" ca="1" si="222"/>
        <v/>
      </c>
      <c r="P206" s="59" t="str">
        <f t="shared" ca="1" si="222"/>
        <v/>
      </c>
      <c r="Q206" s="59" t="str">
        <f t="shared" ca="1" si="222"/>
        <v/>
      </c>
      <c r="R206" s="59" t="str">
        <f t="shared" ca="1" si="222"/>
        <v/>
      </c>
      <c r="S206" s="59" t="str">
        <f t="shared" ca="1" si="222"/>
        <v/>
      </c>
      <c r="T206" s="59" t="str">
        <f t="shared" ca="1" si="222"/>
        <v/>
      </c>
      <c r="U206" s="59" t="str">
        <f t="shared" ca="1" si="222"/>
        <v/>
      </c>
    </row>
    <row r="207" spans="1:21" ht="15" thickBot="1" x14ac:dyDescent="0.35">
      <c r="A207" s="68"/>
      <c r="B207" s="21"/>
      <c r="C207" s="61"/>
      <c r="D207" s="61"/>
      <c r="E207" s="67"/>
      <c r="F207" s="69" t="str">
        <f t="shared" ca="1" si="210"/>
        <v/>
      </c>
      <c r="G207" s="64" t="str">
        <f t="shared" ca="1" si="211"/>
        <v/>
      </c>
      <c r="H207" s="70" t="str">
        <f t="shared" si="212"/>
        <v/>
      </c>
      <c r="I207" s="66" t="str">
        <f t="shared" si="213"/>
        <v/>
      </c>
      <c r="J207" s="59" t="str">
        <f t="shared" ref="J207:U207" ca="1" si="223">IF($A207="","",
IF($C207&gt;J$3+6,0,IF($D207&gt;=J$3,$I207*5,0)
-IF($D207&gt;=J$3,IF(K$3&gt;$D207,NETWORKDAYS($D207,K$3)-2,0)*$I207,0)
-IF(AND($C207&gt;=J$3,$C207&lt;K$3),($C207-J$3)*$I207,0))
-IF(AND(TODAY()&gt;=J$3,TODAY()&lt;K$3),IF(TODAY()&gt;$C207,NETWORKDAYS($C207,TODAY()-1)*$I207,0),0)
)</f>
        <v/>
      </c>
      <c r="K207" s="59" t="str">
        <f t="shared" ca="1" si="223"/>
        <v/>
      </c>
      <c r="L207" s="59" t="str">
        <f t="shared" ca="1" si="223"/>
        <v/>
      </c>
      <c r="M207" s="59" t="str">
        <f t="shared" ca="1" si="223"/>
        <v/>
      </c>
      <c r="N207" s="59" t="str">
        <f t="shared" ca="1" si="223"/>
        <v/>
      </c>
      <c r="O207" s="59" t="str">
        <f t="shared" ca="1" si="223"/>
        <v/>
      </c>
      <c r="P207" s="59" t="str">
        <f t="shared" ca="1" si="223"/>
        <v/>
      </c>
      <c r="Q207" s="59" t="str">
        <f t="shared" ca="1" si="223"/>
        <v/>
      </c>
      <c r="R207" s="59" t="str">
        <f t="shared" ca="1" si="223"/>
        <v/>
      </c>
      <c r="S207" s="59" t="str">
        <f t="shared" ca="1" si="223"/>
        <v/>
      </c>
      <c r="T207" s="59" t="str">
        <f t="shared" ca="1" si="223"/>
        <v/>
      </c>
      <c r="U207" s="59" t="str">
        <f t="shared" ca="1" si="223"/>
        <v/>
      </c>
    </row>
    <row r="208" spans="1:21" ht="15" thickBot="1" x14ac:dyDescent="0.35">
      <c r="A208" s="68"/>
      <c r="B208" s="21"/>
      <c r="C208" s="61"/>
      <c r="D208" s="61"/>
      <c r="E208" s="67"/>
      <c r="F208" s="69" t="str">
        <f t="shared" ca="1" si="210"/>
        <v/>
      </c>
      <c r="G208" s="64" t="str">
        <f t="shared" ca="1" si="211"/>
        <v/>
      </c>
      <c r="H208" s="70" t="str">
        <f t="shared" si="212"/>
        <v/>
      </c>
      <c r="I208" s="66" t="str">
        <f t="shared" si="213"/>
        <v/>
      </c>
      <c r="J208" s="59" t="str">
        <f t="shared" ref="J208:U208" ca="1" si="224">IF($A208="","",
IF($C208&gt;J$3+6,0,IF($D208&gt;=J$3,$I208*5,0)
-IF($D208&gt;=J$3,IF(K$3&gt;$D208,NETWORKDAYS($D208,K$3)-2,0)*$I208,0)
-IF(AND($C208&gt;=J$3,$C208&lt;K$3),($C208-J$3)*$I208,0))
-IF(AND(TODAY()&gt;=J$3,TODAY()&lt;K$3),IF(TODAY()&gt;$C208,NETWORKDAYS($C208,TODAY()-1)*$I208,0),0)
)</f>
        <v/>
      </c>
      <c r="K208" s="59" t="str">
        <f t="shared" ca="1" si="224"/>
        <v/>
      </c>
      <c r="L208" s="59" t="str">
        <f t="shared" ca="1" si="224"/>
        <v/>
      </c>
      <c r="M208" s="59" t="str">
        <f t="shared" ca="1" si="224"/>
        <v/>
      </c>
      <c r="N208" s="59" t="str">
        <f t="shared" ca="1" si="224"/>
        <v/>
      </c>
      <c r="O208" s="59" t="str">
        <f t="shared" ca="1" si="224"/>
        <v/>
      </c>
      <c r="P208" s="59" t="str">
        <f t="shared" ca="1" si="224"/>
        <v/>
      </c>
      <c r="Q208" s="59" t="str">
        <f t="shared" ca="1" si="224"/>
        <v/>
      </c>
      <c r="R208" s="59" t="str">
        <f t="shared" ca="1" si="224"/>
        <v/>
      </c>
      <c r="S208" s="59" t="str">
        <f t="shared" ca="1" si="224"/>
        <v/>
      </c>
      <c r="T208" s="59" t="str">
        <f t="shared" ca="1" si="224"/>
        <v/>
      </c>
      <c r="U208" s="59" t="str">
        <f t="shared" ca="1" si="224"/>
        <v/>
      </c>
    </row>
    <row r="209" spans="1:21" ht="15" thickBot="1" x14ac:dyDescent="0.35">
      <c r="A209" s="68"/>
      <c r="B209" s="21"/>
      <c r="C209" s="61"/>
      <c r="D209" s="61"/>
      <c r="E209" s="67"/>
      <c r="F209" s="69" t="str">
        <f t="shared" ca="1" si="210"/>
        <v/>
      </c>
      <c r="G209" s="64" t="str">
        <f t="shared" ca="1" si="211"/>
        <v/>
      </c>
      <c r="H209" s="70" t="str">
        <f t="shared" si="212"/>
        <v/>
      </c>
      <c r="I209" s="66" t="str">
        <f t="shared" si="213"/>
        <v/>
      </c>
      <c r="J209" s="59" t="str">
        <f t="shared" ref="J209:U209" ca="1" si="225">IF($A209="","",
IF($C209&gt;J$3+6,0,IF($D209&gt;=J$3,$I209*5,0)
-IF($D209&gt;=J$3,IF(K$3&gt;$D209,NETWORKDAYS($D209,K$3)-2,0)*$I209,0)
-IF(AND($C209&gt;=J$3,$C209&lt;K$3),($C209-J$3)*$I209,0))
-IF(AND(TODAY()&gt;=J$3,TODAY()&lt;K$3),IF(TODAY()&gt;$C209,NETWORKDAYS($C209,TODAY()-1)*$I209,0),0)
)</f>
        <v/>
      </c>
      <c r="K209" s="59" t="str">
        <f t="shared" ca="1" si="225"/>
        <v/>
      </c>
      <c r="L209" s="59" t="str">
        <f t="shared" ca="1" si="225"/>
        <v/>
      </c>
      <c r="M209" s="59" t="str">
        <f t="shared" ca="1" si="225"/>
        <v/>
      </c>
      <c r="N209" s="59" t="str">
        <f t="shared" ca="1" si="225"/>
        <v/>
      </c>
      <c r="O209" s="59" t="str">
        <f t="shared" ca="1" si="225"/>
        <v/>
      </c>
      <c r="P209" s="59" t="str">
        <f t="shared" ca="1" si="225"/>
        <v/>
      </c>
      <c r="Q209" s="59" t="str">
        <f t="shared" ca="1" si="225"/>
        <v/>
      </c>
      <c r="R209" s="59" t="str">
        <f t="shared" ca="1" si="225"/>
        <v/>
      </c>
      <c r="S209" s="59" t="str">
        <f t="shared" ca="1" si="225"/>
        <v/>
      </c>
      <c r="T209" s="59" t="str">
        <f t="shared" ca="1" si="225"/>
        <v/>
      </c>
      <c r="U209" s="59" t="str">
        <f t="shared" ca="1" si="225"/>
        <v/>
      </c>
    </row>
    <row r="210" spans="1:21" ht="15" thickBot="1" x14ac:dyDescent="0.35">
      <c r="A210" s="68"/>
      <c r="B210" s="21"/>
      <c r="C210" s="61"/>
      <c r="D210" s="61"/>
      <c r="E210" s="67"/>
      <c r="F210" s="69" t="str">
        <f t="shared" ca="1" si="210"/>
        <v/>
      </c>
      <c r="G210" s="64" t="str">
        <f t="shared" ca="1" si="211"/>
        <v/>
      </c>
      <c r="H210" s="70" t="str">
        <f t="shared" si="212"/>
        <v/>
      </c>
      <c r="I210" s="66" t="str">
        <f t="shared" si="213"/>
        <v/>
      </c>
      <c r="J210" s="59" t="str">
        <f t="shared" ref="J210:U210" ca="1" si="226">IF($A210="","",
IF($C210&gt;J$3+6,0,IF($D210&gt;=J$3,$I210*5,0)
-IF($D210&gt;=J$3,IF(K$3&gt;$D210,NETWORKDAYS($D210,K$3)-2,0)*$I210,0)
-IF(AND($C210&gt;=J$3,$C210&lt;K$3),($C210-J$3)*$I210,0))
-IF(AND(TODAY()&gt;=J$3,TODAY()&lt;K$3),IF(TODAY()&gt;$C210,NETWORKDAYS($C210,TODAY()-1)*$I210,0),0)
)</f>
        <v/>
      </c>
      <c r="K210" s="59" t="str">
        <f t="shared" ca="1" si="226"/>
        <v/>
      </c>
      <c r="L210" s="59" t="str">
        <f t="shared" ca="1" si="226"/>
        <v/>
      </c>
      <c r="M210" s="59" t="str">
        <f t="shared" ca="1" si="226"/>
        <v/>
      </c>
      <c r="N210" s="59" t="str">
        <f t="shared" ca="1" si="226"/>
        <v/>
      </c>
      <c r="O210" s="59" t="str">
        <f t="shared" ca="1" si="226"/>
        <v/>
      </c>
      <c r="P210" s="59" t="str">
        <f t="shared" ca="1" si="226"/>
        <v/>
      </c>
      <c r="Q210" s="59" t="str">
        <f t="shared" ca="1" si="226"/>
        <v/>
      </c>
      <c r="R210" s="59" t="str">
        <f t="shared" ca="1" si="226"/>
        <v/>
      </c>
      <c r="S210" s="59" t="str">
        <f t="shared" ca="1" si="226"/>
        <v/>
      </c>
      <c r="T210" s="59" t="str">
        <f t="shared" ca="1" si="226"/>
        <v/>
      </c>
      <c r="U210" s="59" t="str">
        <f t="shared" ca="1" si="226"/>
        <v/>
      </c>
    </row>
    <row r="211" spans="1:21" ht="15" thickBot="1" x14ac:dyDescent="0.35">
      <c r="A211" s="68"/>
      <c r="B211" s="21"/>
      <c r="C211" s="61"/>
      <c r="D211" s="61"/>
      <c r="E211" s="67"/>
      <c r="F211" s="69" t="str">
        <f t="shared" ca="1" si="210"/>
        <v/>
      </c>
      <c r="G211" s="64" t="str">
        <f t="shared" ca="1" si="211"/>
        <v/>
      </c>
      <c r="H211" s="70" t="str">
        <f t="shared" si="212"/>
        <v/>
      </c>
      <c r="I211" s="66" t="str">
        <f t="shared" si="213"/>
        <v/>
      </c>
      <c r="J211" s="59" t="str">
        <f t="shared" ref="J211:U211" ca="1" si="227">IF($A211="","",
IF($C211&gt;J$3+6,0,IF($D211&gt;=J$3,$I211*5,0)
-IF($D211&gt;=J$3,IF(K$3&gt;$D211,NETWORKDAYS($D211,K$3)-2,0)*$I211,0)
-IF(AND($C211&gt;=J$3,$C211&lt;K$3),($C211-J$3)*$I211,0))
-IF(AND(TODAY()&gt;=J$3,TODAY()&lt;K$3),IF(TODAY()&gt;$C211,NETWORKDAYS($C211,TODAY()-1)*$I211,0),0)
)</f>
        <v/>
      </c>
      <c r="K211" s="59" t="str">
        <f t="shared" ca="1" si="227"/>
        <v/>
      </c>
      <c r="L211" s="59" t="str">
        <f t="shared" ca="1" si="227"/>
        <v/>
      </c>
      <c r="M211" s="59" t="str">
        <f t="shared" ca="1" si="227"/>
        <v/>
      </c>
      <c r="N211" s="59" t="str">
        <f t="shared" ca="1" si="227"/>
        <v/>
      </c>
      <c r="O211" s="59" t="str">
        <f t="shared" ca="1" si="227"/>
        <v/>
      </c>
      <c r="P211" s="59" t="str">
        <f t="shared" ca="1" si="227"/>
        <v/>
      </c>
      <c r="Q211" s="59" t="str">
        <f t="shared" ca="1" si="227"/>
        <v/>
      </c>
      <c r="R211" s="59" t="str">
        <f t="shared" ca="1" si="227"/>
        <v/>
      </c>
      <c r="S211" s="59" t="str">
        <f t="shared" ca="1" si="227"/>
        <v/>
      </c>
      <c r="T211" s="59" t="str">
        <f t="shared" ca="1" si="227"/>
        <v/>
      </c>
      <c r="U211" s="59" t="str">
        <f t="shared" ca="1" si="227"/>
        <v/>
      </c>
    </row>
    <row r="212" spans="1:21" ht="15" thickBot="1" x14ac:dyDescent="0.35">
      <c r="A212" s="68"/>
      <c r="B212" s="21"/>
      <c r="C212" s="61"/>
      <c r="D212" s="61"/>
      <c r="E212" s="67"/>
      <c r="F212" s="69" t="str">
        <f t="shared" ca="1" si="210"/>
        <v/>
      </c>
      <c r="G212" s="64" t="str">
        <f t="shared" ca="1" si="211"/>
        <v/>
      </c>
      <c r="H212" s="70" t="str">
        <f t="shared" si="212"/>
        <v/>
      </c>
      <c r="I212" s="66" t="str">
        <f t="shared" si="213"/>
        <v/>
      </c>
      <c r="J212" s="59" t="str">
        <f t="shared" ref="J212:U212" ca="1" si="228">IF($A212="","",
IF($C212&gt;J$3+6,0,IF($D212&gt;=J$3,$I212*5,0)
-IF($D212&gt;=J$3,IF(K$3&gt;$D212,NETWORKDAYS($D212,K$3)-2,0)*$I212,0)
-IF(AND($C212&gt;=J$3,$C212&lt;K$3),($C212-J$3)*$I212,0))
-IF(AND(TODAY()&gt;=J$3,TODAY()&lt;K$3),IF(TODAY()&gt;$C212,NETWORKDAYS($C212,TODAY()-1)*$I212,0),0)
)</f>
        <v/>
      </c>
      <c r="K212" s="59" t="str">
        <f t="shared" ca="1" si="228"/>
        <v/>
      </c>
      <c r="L212" s="59" t="str">
        <f t="shared" ca="1" si="228"/>
        <v/>
      </c>
      <c r="M212" s="59" t="str">
        <f t="shared" ca="1" si="228"/>
        <v/>
      </c>
      <c r="N212" s="59" t="str">
        <f t="shared" ca="1" si="228"/>
        <v/>
      </c>
      <c r="O212" s="59" t="str">
        <f t="shared" ca="1" si="228"/>
        <v/>
      </c>
      <c r="P212" s="59" t="str">
        <f t="shared" ca="1" si="228"/>
        <v/>
      </c>
      <c r="Q212" s="59" t="str">
        <f t="shared" ca="1" si="228"/>
        <v/>
      </c>
      <c r="R212" s="59" t="str">
        <f t="shared" ca="1" si="228"/>
        <v/>
      </c>
      <c r="S212" s="59" t="str">
        <f t="shared" ca="1" si="228"/>
        <v/>
      </c>
      <c r="T212" s="59" t="str">
        <f t="shared" ca="1" si="228"/>
        <v/>
      </c>
      <c r="U212" s="59" t="str">
        <f t="shared" ca="1" si="228"/>
        <v/>
      </c>
    </row>
    <row r="213" spans="1:21" ht="15" thickBot="1" x14ac:dyDescent="0.35">
      <c r="A213" s="68"/>
      <c r="B213" s="21"/>
      <c r="C213" s="61"/>
      <c r="D213" s="61"/>
      <c r="E213" s="67"/>
      <c r="F213" s="69" t="str">
        <f t="shared" ca="1" si="210"/>
        <v/>
      </c>
      <c r="G213" s="64" t="str">
        <f t="shared" ca="1" si="211"/>
        <v/>
      </c>
      <c r="H213" s="70" t="str">
        <f t="shared" si="212"/>
        <v/>
      </c>
      <c r="I213" s="66" t="str">
        <f t="shared" si="213"/>
        <v/>
      </c>
      <c r="J213" s="59" t="str">
        <f t="shared" ref="J213:U213" ca="1" si="229">IF($A213="","",
IF($C213&gt;J$3+6,0,IF($D213&gt;=J$3,$I213*5,0)
-IF($D213&gt;=J$3,IF(K$3&gt;$D213,NETWORKDAYS($D213,K$3)-2,0)*$I213,0)
-IF(AND($C213&gt;=J$3,$C213&lt;K$3),($C213-J$3)*$I213,0))
-IF(AND(TODAY()&gt;=J$3,TODAY()&lt;K$3),IF(TODAY()&gt;$C213,NETWORKDAYS($C213,TODAY()-1)*$I213,0),0)
)</f>
        <v/>
      </c>
      <c r="K213" s="59" t="str">
        <f t="shared" ca="1" si="229"/>
        <v/>
      </c>
      <c r="L213" s="59" t="str">
        <f t="shared" ca="1" si="229"/>
        <v/>
      </c>
      <c r="M213" s="59" t="str">
        <f t="shared" ca="1" si="229"/>
        <v/>
      </c>
      <c r="N213" s="59" t="str">
        <f t="shared" ca="1" si="229"/>
        <v/>
      </c>
      <c r="O213" s="59" t="str">
        <f t="shared" ca="1" si="229"/>
        <v/>
      </c>
      <c r="P213" s="59" t="str">
        <f t="shared" ca="1" si="229"/>
        <v/>
      </c>
      <c r="Q213" s="59" t="str">
        <f t="shared" ca="1" si="229"/>
        <v/>
      </c>
      <c r="R213" s="59" t="str">
        <f t="shared" ca="1" si="229"/>
        <v/>
      </c>
      <c r="S213" s="59" t="str">
        <f t="shared" ca="1" si="229"/>
        <v/>
      </c>
      <c r="T213" s="59" t="str">
        <f t="shared" ca="1" si="229"/>
        <v/>
      </c>
      <c r="U213" s="59" t="str">
        <f t="shared" ca="1" si="229"/>
        <v/>
      </c>
    </row>
    <row r="214" spans="1:21" ht="15" thickBot="1" x14ac:dyDescent="0.35">
      <c r="A214" s="68"/>
      <c r="B214" s="21"/>
      <c r="C214" s="61"/>
      <c r="D214" s="61"/>
      <c r="E214" s="67"/>
      <c r="F214" s="69" t="str">
        <f t="shared" ca="1" si="210"/>
        <v/>
      </c>
      <c r="G214" s="64" t="str">
        <f t="shared" ca="1" si="211"/>
        <v/>
      </c>
      <c r="H214" s="70" t="str">
        <f t="shared" si="212"/>
        <v/>
      </c>
      <c r="I214" s="66" t="str">
        <f t="shared" si="213"/>
        <v/>
      </c>
      <c r="J214" s="59" t="str">
        <f t="shared" ref="J214:U214" ca="1" si="230">IF($A214="","",
IF($C214&gt;J$3+6,0,IF($D214&gt;=J$3,$I214*5,0)
-IF($D214&gt;=J$3,IF(K$3&gt;$D214,NETWORKDAYS($D214,K$3)-2,0)*$I214,0)
-IF(AND($C214&gt;=J$3,$C214&lt;K$3),($C214-J$3)*$I214,0))
-IF(AND(TODAY()&gt;=J$3,TODAY()&lt;K$3),IF(TODAY()&gt;$C214,NETWORKDAYS($C214,TODAY()-1)*$I214,0),0)
)</f>
        <v/>
      </c>
      <c r="K214" s="59" t="str">
        <f t="shared" ca="1" si="230"/>
        <v/>
      </c>
      <c r="L214" s="59" t="str">
        <f t="shared" ca="1" si="230"/>
        <v/>
      </c>
      <c r="M214" s="59" t="str">
        <f t="shared" ca="1" si="230"/>
        <v/>
      </c>
      <c r="N214" s="59" t="str">
        <f t="shared" ca="1" si="230"/>
        <v/>
      </c>
      <c r="O214" s="59" t="str">
        <f t="shared" ca="1" si="230"/>
        <v/>
      </c>
      <c r="P214" s="59" t="str">
        <f t="shared" ca="1" si="230"/>
        <v/>
      </c>
      <c r="Q214" s="59" t="str">
        <f t="shared" ca="1" si="230"/>
        <v/>
      </c>
      <c r="R214" s="59" t="str">
        <f t="shared" ca="1" si="230"/>
        <v/>
      </c>
      <c r="S214" s="59" t="str">
        <f t="shared" ca="1" si="230"/>
        <v/>
      </c>
      <c r="T214" s="59" t="str">
        <f t="shared" ca="1" si="230"/>
        <v/>
      </c>
      <c r="U214" s="59" t="str">
        <f t="shared" ca="1" si="230"/>
        <v/>
      </c>
    </row>
    <row r="215" spans="1:21" ht="15" thickBot="1" x14ac:dyDescent="0.35">
      <c r="A215" s="68"/>
      <c r="B215" s="21"/>
      <c r="C215" s="61"/>
      <c r="D215" s="61"/>
      <c r="E215" s="67"/>
      <c r="F215" s="69" t="str">
        <f t="shared" ca="1" si="210"/>
        <v/>
      </c>
      <c r="G215" s="64" t="str">
        <f t="shared" ca="1" si="211"/>
        <v/>
      </c>
      <c r="H215" s="70" t="str">
        <f t="shared" si="212"/>
        <v/>
      </c>
      <c r="I215" s="66" t="str">
        <f t="shared" si="213"/>
        <v/>
      </c>
      <c r="J215" s="59" t="str">
        <f t="shared" ref="J215:U215" ca="1" si="231">IF($A215="","",
IF($C215&gt;J$3+6,0,IF($D215&gt;=J$3,$I215*5,0)
-IF($D215&gt;=J$3,IF(K$3&gt;$D215,NETWORKDAYS($D215,K$3)-2,0)*$I215,0)
-IF(AND($C215&gt;=J$3,$C215&lt;K$3),($C215-J$3)*$I215,0))
-IF(AND(TODAY()&gt;=J$3,TODAY()&lt;K$3),IF(TODAY()&gt;$C215,NETWORKDAYS($C215,TODAY()-1)*$I215,0),0)
)</f>
        <v/>
      </c>
      <c r="K215" s="59" t="str">
        <f t="shared" ca="1" si="231"/>
        <v/>
      </c>
      <c r="L215" s="59" t="str">
        <f t="shared" ca="1" si="231"/>
        <v/>
      </c>
      <c r="M215" s="59" t="str">
        <f t="shared" ca="1" si="231"/>
        <v/>
      </c>
      <c r="N215" s="59" t="str">
        <f t="shared" ca="1" si="231"/>
        <v/>
      </c>
      <c r="O215" s="59" t="str">
        <f t="shared" ca="1" si="231"/>
        <v/>
      </c>
      <c r="P215" s="59" t="str">
        <f t="shared" ca="1" si="231"/>
        <v/>
      </c>
      <c r="Q215" s="59" t="str">
        <f t="shared" ca="1" si="231"/>
        <v/>
      </c>
      <c r="R215" s="59" t="str">
        <f t="shared" ca="1" si="231"/>
        <v/>
      </c>
      <c r="S215" s="59" t="str">
        <f t="shared" ca="1" si="231"/>
        <v/>
      </c>
      <c r="T215" s="59" t="str">
        <f t="shared" ca="1" si="231"/>
        <v/>
      </c>
      <c r="U215" s="59" t="str">
        <f t="shared" ca="1" si="231"/>
        <v/>
      </c>
    </row>
    <row r="216" spans="1:21" ht="15" thickBot="1" x14ac:dyDescent="0.35">
      <c r="A216" s="68"/>
      <c r="B216" s="21"/>
      <c r="C216" s="61"/>
      <c r="D216" s="61"/>
      <c r="E216" s="67"/>
      <c r="F216" s="69" t="str">
        <f t="shared" ca="1" si="210"/>
        <v/>
      </c>
      <c r="G216" s="64" t="str">
        <f t="shared" ca="1" si="211"/>
        <v/>
      </c>
      <c r="H216" s="70" t="str">
        <f t="shared" si="212"/>
        <v/>
      </c>
      <c r="I216" s="66" t="str">
        <f t="shared" si="213"/>
        <v/>
      </c>
      <c r="J216" s="59" t="str">
        <f t="shared" ref="J216:U216" ca="1" si="232">IF($A216="","",
IF($C216&gt;J$3+6,0,IF($D216&gt;=J$3,$I216*5,0)
-IF($D216&gt;=J$3,IF(K$3&gt;$D216,NETWORKDAYS($D216,K$3)-2,0)*$I216,0)
-IF(AND($C216&gt;=J$3,$C216&lt;K$3),($C216-J$3)*$I216,0))
-IF(AND(TODAY()&gt;=J$3,TODAY()&lt;K$3),IF(TODAY()&gt;$C216,NETWORKDAYS($C216,TODAY()-1)*$I216,0),0)
)</f>
        <v/>
      </c>
      <c r="K216" s="59" t="str">
        <f t="shared" ca="1" si="232"/>
        <v/>
      </c>
      <c r="L216" s="59" t="str">
        <f t="shared" ca="1" si="232"/>
        <v/>
      </c>
      <c r="M216" s="59" t="str">
        <f t="shared" ca="1" si="232"/>
        <v/>
      </c>
      <c r="N216" s="59" t="str">
        <f t="shared" ca="1" si="232"/>
        <v/>
      </c>
      <c r="O216" s="59" t="str">
        <f t="shared" ca="1" si="232"/>
        <v/>
      </c>
      <c r="P216" s="59" t="str">
        <f t="shared" ca="1" si="232"/>
        <v/>
      </c>
      <c r="Q216" s="59" t="str">
        <f t="shared" ca="1" si="232"/>
        <v/>
      </c>
      <c r="R216" s="59" t="str">
        <f t="shared" ca="1" si="232"/>
        <v/>
      </c>
      <c r="S216" s="59" t="str">
        <f t="shared" ca="1" si="232"/>
        <v/>
      </c>
      <c r="T216" s="59" t="str">
        <f t="shared" ca="1" si="232"/>
        <v/>
      </c>
      <c r="U216" s="59" t="str">
        <f t="shared" ca="1" si="232"/>
        <v/>
      </c>
    </row>
    <row r="217" spans="1:21" ht="15" thickBot="1" x14ac:dyDescent="0.35">
      <c r="A217" s="68"/>
      <c r="B217" s="21"/>
      <c r="C217" s="61"/>
      <c r="D217" s="61"/>
      <c r="E217" s="67"/>
      <c r="F217" s="69" t="str">
        <f t="shared" ca="1" si="210"/>
        <v/>
      </c>
      <c r="G217" s="64" t="str">
        <f t="shared" ca="1" si="211"/>
        <v/>
      </c>
      <c r="H217" s="70" t="str">
        <f t="shared" si="212"/>
        <v/>
      </c>
      <c r="I217" s="66" t="str">
        <f t="shared" si="213"/>
        <v/>
      </c>
      <c r="J217" s="59" t="str">
        <f t="shared" ref="J217:U217" ca="1" si="233">IF($A217="","",
IF($C217&gt;J$3+6,0,IF($D217&gt;=J$3,$I217*5,0)
-IF($D217&gt;=J$3,IF(K$3&gt;$D217,NETWORKDAYS($D217,K$3)-2,0)*$I217,0)
-IF(AND($C217&gt;=J$3,$C217&lt;K$3),($C217-J$3)*$I217,0))
-IF(AND(TODAY()&gt;=J$3,TODAY()&lt;K$3),IF(TODAY()&gt;$C217,NETWORKDAYS($C217,TODAY()-1)*$I217,0),0)
)</f>
        <v/>
      </c>
      <c r="K217" s="59" t="str">
        <f t="shared" ca="1" si="233"/>
        <v/>
      </c>
      <c r="L217" s="59" t="str">
        <f t="shared" ca="1" si="233"/>
        <v/>
      </c>
      <c r="M217" s="59" t="str">
        <f t="shared" ca="1" si="233"/>
        <v/>
      </c>
      <c r="N217" s="59" t="str">
        <f t="shared" ca="1" si="233"/>
        <v/>
      </c>
      <c r="O217" s="59" t="str">
        <f t="shared" ca="1" si="233"/>
        <v/>
      </c>
      <c r="P217" s="59" t="str">
        <f t="shared" ca="1" si="233"/>
        <v/>
      </c>
      <c r="Q217" s="59" t="str">
        <f t="shared" ca="1" si="233"/>
        <v/>
      </c>
      <c r="R217" s="59" t="str">
        <f t="shared" ca="1" si="233"/>
        <v/>
      </c>
      <c r="S217" s="59" t="str">
        <f t="shared" ca="1" si="233"/>
        <v/>
      </c>
      <c r="T217" s="59" t="str">
        <f t="shared" ca="1" si="233"/>
        <v/>
      </c>
      <c r="U217" s="59" t="str">
        <f t="shared" ca="1" si="233"/>
        <v/>
      </c>
    </row>
    <row r="218" spans="1:21" ht="15" thickBot="1" x14ac:dyDescent="0.35">
      <c r="A218" s="68"/>
      <c r="B218" s="21"/>
      <c r="C218" s="61"/>
      <c r="D218" s="61"/>
      <c r="E218" s="67"/>
      <c r="F218" s="69" t="str">
        <f t="shared" ca="1" si="210"/>
        <v/>
      </c>
      <c r="G218" s="64" t="str">
        <f t="shared" ca="1" si="211"/>
        <v/>
      </c>
      <c r="H218" s="70" t="str">
        <f t="shared" si="212"/>
        <v/>
      </c>
      <c r="I218" s="66" t="str">
        <f t="shared" si="213"/>
        <v/>
      </c>
      <c r="J218" s="59" t="str">
        <f t="shared" ref="J218:U218" ca="1" si="234">IF($A218="","",
IF($C218&gt;J$3+6,0,IF($D218&gt;=J$3,$I218*5,0)
-IF($D218&gt;=J$3,IF(K$3&gt;$D218,NETWORKDAYS($D218,K$3)-2,0)*$I218,0)
-IF(AND($C218&gt;=J$3,$C218&lt;K$3),($C218-J$3)*$I218,0))
-IF(AND(TODAY()&gt;=J$3,TODAY()&lt;K$3),IF(TODAY()&gt;$C218,NETWORKDAYS($C218,TODAY()-1)*$I218,0),0)
)</f>
        <v/>
      </c>
      <c r="K218" s="59" t="str">
        <f t="shared" ca="1" si="234"/>
        <v/>
      </c>
      <c r="L218" s="59" t="str">
        <f t="shared" ca="1" si="234"/>
        <v/>
      </c>
      <c r="M218" s="59" t="str">
        <f t="shared" ca="1" si="234"/>
        <v/>
      </c>
      <c r="N218" s="59" t="str">
        <f t="shared" ca="1" si="234"/>
        <v/>
      </c>
      <c r="O218" s="59" t="str">
        <f t="shared" ca="1" si="234"/>
        <v/>
      </c>
      <c r="P218" s="59" t="str">
        <f t="shared" ca="1" si="234"/>
        <v/>
      </c>
      <c r="Q218" s="59" t="str">
        <f t="shared" ca="1" si="234"/>
        <v/>
      </c>
      <c r="R218" s="59" t="str">
        <f t="shared" ca="1" si="234"/>
        <v/>
      </c>
      <c r="S218" s="59" t="str">
        <f t="shared" ca="1" si="234"/>
        <v/>
      </c>
      <c r="T218" s="59" t="str">
        <f t="shared" ca="1" si="234"/>
        <v/>
      </c>
      <c r="U218" s="59" t="str">
        <f t="shared" ca="1" si="234"/>
        <v/>
      </c>
    </row>
    <row r="219" spans="1:21" ht="15" thickBot="1" x14ac:dyDescent="0.35">
      <c r="A219" s="68"/>
      <c r="B219" s="21"/>
      <c r="C219" s="61"/>
      <c r="D219" s="61"/>
      <c r="E219" s="67"/>
      <c r="F219" s="69" t="str">
        <f t="shared" ca="1" si="210"/>
        <v/>
      </c>
      <c r="G219" s="64" t="str">
        <f t="shared" ca="1" si="211"/>
        <v/>
      </c>
      <c r="H219" s="70" t="str">
        <f t="shared" si="212"/>
        <v/>
      </c>
      <c r="I219" s="66" t="str">
        <f t="shared" si="213"/>
        <v/>
      </c>
      <c r="J219" s="59" t="str">
        <f t="shared" ref="J219:U219" ca="1" si="235">IF($A219="","",
IF($C219&gt;J$3+6,0,IF($D219&gt;=J$3,$I219*5,0)
-IF($D219&gt;=J$3,IF(K$3&gt;$D219,NETWORKDAYS($D219,K$3)-2,0)*$I219,0)
-IF(AND($C219&gt;=J$3,$C219&lt;K$3),($C219-J$3)*$I219,0))
-IF(AND(TODAY()&gt;=J$3,TODAY()&lt;K$3),IF(TODAY()&gt;$C219,NETWORKDAYS($C219,TODAY()-1)*$I219,0),0)
)</f>
        <v/>
      </c>
      <c r="K219" s="59" t="str">
        <f t="shared" ca="1" si="235"/>
        <v/>
      </c>
      <c r="L219" s="59" t="str">
        <f t="shared" ca="1" si="235"/>
        <v/>
      </c>
      <c r="M219" s="59" t="str">
        <f t="shared" ca="1" si="235"/>
        <v/>
      </c>
      <c r="N219" s="59" t="str">
        <f t="shared" ca="1" si="235"/>
        <v/>
      </c>
      <c r="O219" s="59" t="str">
        <f t="shared" ca="1" si="235"/>
        <v/>
      </c>
      <c r="P219" s="59" t="str">
        <f t="shared" ca="1" si="235"/>
        <v/>
      </c>
      <c r="Q219" s="59" t="str">
        <f t="shared" ca="1" si="235"/>
        <v/>
      </c>
      <c r="R219" s="59" t="str">
        <f t="shared" ca="1" si="235"/>
        <v/>
      </c>
      <c r="S219" s="59" t="str">
        <f t="shared" ca="1" si="235"/>
        <v/>
      </c>
      <c r="T219" s="59" t="str">
        <f t="shared" ca="1" si="235"/>
        <v/>
      </c>
      <c r="U219" s="59" t="str">
        <f t="shared" ca="1" si="235"/>
        <v/>
      </c>
    </row>
    <row r="220" spans="1:21" ht="15" thickBot="1" x14ac:dyDescent="0.35">
      <c r="A220" s="68"/>
      <c r="B220" s="21"/>
      <c r="C220" s="61"/>
      <c r="D220" s="61"/>
      <c r="E220" s="67"/>
      <c r="F220" s="69" t="str">
        <f t="shared" ca="1" si="210"/>
        <v/>
      </c>
      <c r="G220" s="64" t="str">
        <f t="shared" ca="1" si="211"/>
        <v/>
      </c>
      <c r="H220" s="70" t="str">
        <f t="shared" si="212"/>
        <v/>
      </c>
      <c r="I220" s="66" t="str">
        <f t="shared" si="213"/>
        <v/>
      </c>
      <c r="J220" s="59" t="str">
        <f t="shared" ref="J220:U220" ca="1" si="236">IF($A220="","",
IF($C220&gt;J$3+6,0,IF($D220&gt;=J$3,$I220*5,0)
-IF($D220&gt;=J$3,IF(K$3&gt;$D220,NETWORKDAYS($D220,K$3)-2,0)*$I220,0)
-IF(AND($C220&gt;=J$3,$C220&lt;K$3),($C220-J$3)*$I220,0))
-IF(AND(TODAY()&gt;=J$3,TODAY()&lt;K$3),IF(TODAY()&gt;$C220,NETWORKDAYS($C220,TODAY()-1)*$I220,0),0)
)</f>
        <v/>
      </c>
      <c r="K220" s="59" t="str">
        <f t="shared" ca="1" si="236"/>
        <v/>
      </c>
      <c r="L220" s="59" t="str">
        <f t="shared" ca="1" si="236"/>
        <v/>
      </c>
      <c r="M220" s="59" t="str">
        <f t="shared" ca="1" si="236"/>
        <v/>
      </c>
      <c r="N220" s="59" t="str">
        <f t="shared" ca="1" si="236"/>
        <v/>
      </c>
      <c r="O220" s="59" t="str">
        <f t="shared" ca="1" si="236"/>
        <v/>
      </c>
      <c r="P220" s="59" t="str">
        <f t="shared" ca="1" si="236"/>
        <v/>
      </c>
      <c r="Q220" s="59" t="str">
        <f t="shared" ca="1" si="236"/>
        <v/>
      </c>
      <c r="R220" s="59" t="str">
        <f t="shared" ca="1" si="236"/>
        <v/>
      </c>
      <c r="S220" s="59" t="str">
        <f t="shared" ca="1" si="236"/>
        <v/>
      </c>
      <c r="T220" s="59" t="str">
        <f t="shared" ca="1" si="236"/>
        <v/>
      </c>
      <c r="U220" s="59" t="str">
        <f t="shared" ca="1" si="236"/>
        <v/>
      </c>
    </row>
    <row r="221" spans="1:21" ht="15" thickBot="1" x14ac:dyDescent="0.35">
      <c r="A221" s="68"/>
      <c r="B221" s="21"/>
      <c r="C221" s="61"/>
      <c r="D221" s="61"/>
      <c r="E221" s="67"/>
      <c r="F221" s="69" t="str">
        <f t="shared" ca="1" si="210"/>
        <v/>
      </c>
      <c r="G221" s="64" t="str">
        <f t="shared" ca="1" si="211"/>
        <v/>
      </c>
      <c r="H221" s="70" t="str">
        <f t="shared" si="212"/>
        <v/>
      </c>
      <c r="I221" s="66" t="str">
        <f t="shared" si="213"/>
        <v/>
      </c>
      <c r="J221" s="59" t="str">
        <f t="shared" ref="J221:U221" ca="1" si="237">IF($A221="","",
IF($C221&gt;J$3+6,0,IF($D221&gt;=J$3,$I221*5,0)
-IF($D221&gt;=J$3,IF(K$3&gt;$D221,NETWORKDAYS($D221,K$3)-2,0)*$I221,0)
-IF(AND($C221&gt;=J$3,$C221&lt;K$3),($C221-J$3)*$I221,0))
-IF(AND(TODAY()&gt;=J$3,TODAY()&lt;K$3),IF(TODAY()&gt;$C221,NETWORKDAYS($C221,TODAY()-1)*$I221,0),0)
)</f>
        <v/>
      </c>
      <c r="K221" s="59" t="str">
        <f t="shared" ca="1" si="237"/>
        <v/>
      </c>
      <c r="L221" s="59" t="str">
        <f t="shared" ca="1" si="237"/>
        <v/>
      </c>
      <c r="M221" s="59" t="str">
        <f t="shared" ca="1" si="237"/>
        <v/>
      </c>
      <c r="N221" s="59" t="str">
        <f t="shared" ca="1" si="237"/>
        <v/>
      </c>
      <c r="O221" s="59" t="str">
        <f t="shared" ca="1" si="237"/>
        <v/>
      </c>
      <c r="P221" s="59" t="str">
        <f t="shared" ca="1" si="237"/>
        <v/>
      </c>
      <c r="Q221" s="59" t="str">
        <f t="shared" ca="1" si="237"/>
        <v/>
      </c>
      <c r="R221" s="59" t="str">
        <f t="shared" ca="1" si="237"/>
        <v/>
      </c>
      <c r="S221" s="59" t="str">
        <f t="shared" ca="1" si="237"/>
        <v/>
      </c>
      <c r="T221" s="59" t="str">
        <f t="shared" ca="1" si="237"/>
        <v/>
      </c>
      <c r="U221" s="59" t="str">
        <f t="shared" ca="1" si="237"/>
        <v/>
      </c>
    </row>
    <row r="222" spans="1:21" ht="15" thickBot="1" x14ac:dyDescent="0.35">
      <c r="A222" s="68"/>
      <c r="B222" s="21"/>
      <c r="C222" s="61"/>
      <c r="D222" s="61"/>
      <c r="E222" s="67"/>
      <c r="F222" s="69" t="str">
        <f t="shared" ca="1" si="210"/>
        <v/>
      </c>
      <c r="G222" s="64" t="str">
        <f t="shared" ca="1" si="211"/>
        <v/>
      </c>
      <c r="H222" s="70" t="str">
        <f t="shared" si="212"/>
        <v/>
      </c>
      <c r="I222" s="66" t="str">
        <f t="shared" si="213"/>
        <v/>
      </c>
      <c r="J222" s="59" t="str">
        <f t="shared" ref="J222:U222" ca="1" si="238">IF($A222="","",
IF($C222&gt;J$3+6,0,IF($D222&gt;=J$3,$I222*5,0)
-IF($D222&gt;=J$3,IF(K$3&gt;$D222,NETWORKDAYS($D222,K$3)-2,0)*$I222,0)
-IF(AND($C222&gt;=J$3,$C222&lt;K$3),($C222-J$3)*$I222,0))
-IF(AND(TODAY()&gt;=J$3,TODAY()&lt;K$3),IF(TODAY()&gt;$C222,NETWORKDAYS($C222,TODAY()-1)*$I222,0),0)
)</f>
        <v/>
      </c>
      <c r="K222" s="59" t="str">
        <f t="shared" ca="1" si="238"/>
        <v/>
      </c>
      <c r="L222" s="59" t="str">
        <f t="shared" ca="1" si="238"/>
        <v/>
      </c>
      <c r="M222" s="59" t="str">
        <f t="shared" ca="1" si="238"/>
        <v/>
      </c>
      <c r="N222" s="59" t="str">
        <f t="shared" ca="1" si="238"/>
        <v/>
      </c>
      <c r="O222" s="59" t="str">
        <f t="shared" ca="1" si="238"/>
        <v/>
      </c>
      <c r="P222" s="59" t="str">
        <f t="shared" ca="1" si="238"/>
        <v/>
      </c>
      <c r="Q222" s="59" t="str">
        <f t="shared" ca="1" si="238"/>
        <v/>
      </c>
      <c r="R222" s="59" t="str">
        <f t="shared" ca="1" si="238"/>
        <v/>
      </c>
      <c r="S222" s="59" t="str">
        <f t="shared" ca="1" si="238"/>
        <v/>
      </c>
      <c r="T222" s="59" t="str">
        <f t="shared" ca="1" si="238"/>
        <v/>
      </c>
      <c r="U222" s="59" t="str">
        <f t="shared" ca="1" si="238"/>
        <v/>
      </c>
    </row>
    <row r="223" spans="1:21" ht="15" thickBot="1" x14ac:dyDescent="0.35">
      <c r="A223" s="68"/>
      <c r="B223" s="21"/>
      <c r="C223" s="61"/>
      <c r="D223" s="61"/>
      <c r="E223" s="67"/>
      <c r="F223" s="69" t="str">
        <f t="shared" ca="1" si="210"/>
        <v/>
      </c>
      <c r="G223" s="64" t="str">
        <f t="shared" ca="1" si="211"/>
        <v/>
      </c>
      <c r="H223" s="70" t="str">
        <f t="shared" si="212"/>
        <v/>
      </c>
      <c r="I223" s="66" t="str">
        <f t="shared" si="213"/>
        <v/>
      </c>
      <c r="J223" s="59" t="str">
        <f t="shared" ref="J223:U223" ca="1" si="239">IF($A223="","",
IF($C223&gt;J$3+6,0,IF($D223&gt;=J$3,$I223*5,0)
-IF($D223&gt;=J$3,IF(K$3&gt;$D223,NETWORKDAYS($D223,K$3)-2,0)*$I223,0)
-IF(AND($C223&gt;=J$3,$C223&lt;K$3),($C223-J$3)*$I223,0))
-IF(AND(TODAY()&gt;=J$3,TODAY()&lt;K$3),IF(TODAY()&gt;$C223,NETWORKDAYS($C223,TODAY()-1)*$I223,0),0)
)</f>
        <v/>
      </c>
      <c r="K223" s="59" t="str">
        <f t="shared" ca="1" si="239"/>
        <v/>
      </c>
      <c r="L223" s="59" t="str">
        <f t="shared" ca="1" si="239"/>
        <v/>
      </c>
      <c r="M223" s="59" t="str">
        <f t="shared" ca="1" si="239"/>
        <v/>
      </c>
      <c r="N223" s="59" t="str">
        <f t="shared" ca="1" si="239"/>
        <v/>
      </c>
      <c r="O223" s="59" t="str">
        <f t="shared" ca="1" si="239"/>
        <v/>
      </c>
      <c r="P223" s="59" t="str">
        <f t="shared" ca="1" si="239"/>
        <v/>
      </c>
      <c r="Q223" s="59" t="str">
        <f t="shared" ca="1" si="239"/>
        <v/>
      </c>
      <c r="R223" s="59" t="str">
        <f t="shared" ca="1" si="239"/>
        <v/>
      </c>
      <c r="S223" s="59" t="str">
        <f t="shared" ca="1" si="239"/>
        <v/>
      </c>
      <c r="T223" s="59" t="str">
        <f t="shared" ca="1" si="239"/>
        <v/>
      </c>
      <c r="U223" s="59" t="str">
        <f t="shared" ca="1" si="239"/>
        <v/>
      </c>
    </row>
    <row r="224" spans="1:21" ht="15" thickBot="1" x14ac:dyDescent="0.35">
      <c r="A224" s="68"/>
      <c r="B224" s="21"/>
      <c r="C224" s="61"/>
      <c r="D224" s="61"/>
      <c r="E224" s="67"/>
      <c r="F224" s="69" t="str">
        <f t="shared" ca="1" si="210"/>
        <v/>
      </c>
      <c r="G224" s="64" t="str">
        <f t="shared" ca="1" si="211"/>
        <v/>
      </c>
      <c r="H224" s="70" t="str">
        <f t="shared" si="212"/>
        <v/>
      </c>
      <c r="I224" s="66" t="str">
        <f t="shared" si="213"/>
        <v/>
      </c>
      <c r="J224" s="59" t="str">
        <f t="shared" ref="J224:U224" ca="1" si="240">IF($A224="","",
IF($C224&gt;J$3+6,0,IF($D224&gt;=J$3,$I224*5,0)
-IF($D224&gt;=J$3,IF(K$3&gt;$D224,NETWORKDAYS($D224,K$3)-2,0)*$I224,0)
-IF(AND($C224&gt;=J$3,$C224&lt;K$3),($C224-J$3)*$I224,0))
-IF(AND(TODAY()&gt;=J$3,TODAY()&lt;K$3),IF(TODAY()&gt;$C224,NETWORKDAYS($C224,TODAY()-1)*$I224,0),0)
)</f>
        <v/>
      </c>
      <c r="K224" s="59" t="str">
        <f t="shared" ca="1" si="240"/>
        <v/>
      </c>
      <c r="L224" s="59" t="str">
        <f t="shared" ca="1" si="240"/>
        <v/>
      </c>
      <c r="M224" s="59" t="str">
        <f t="shared" ca="1" si="240"/>
        <v/>
      </c>
      <c r="N224" s="59" t="str">
        <f t="shared" ca="1" si="240"/>
        <v/>
      </c>
      <c r="O224" s="59" t="str">
        <f t="shared" ca="1" si="240"/>
        <v/>
      </c>
      <c r="P224" s="59" t="str">
        <f t="shared" ca="1" si="240"/>
        <v/>
      </c>
      <c r="Q224" s="59" t="str">
        <f t="shared" ca="1" si="240"/>
        <v/>
      </c>
      <c r="R224" s="59" t="str">
        <f t="shared" ca="1" si="240"/>
        <v/>
      </c>
      <c r="S224" s="59" t="str">
        <f t="shared" ca="1" si="240"/>
        <v/>
      </c>
      <c r="T224" s="59" t="str">
        <f t="shared" ca="1" si="240"/>
        <v/>
      </c>
      <c r="U224" s="59" t="str">
        <f t="shared" ca="1" si="240"/>
        <v/>
      </c>
    </row>
    <row r="225" spans="1:21" ht="15" thickBot="1" x14ac:dyDescent="0.35">
      <c r="A225" s="68"/>
      <c r="B225" s="21"/>
      <c r="C225" s="61"/>
      <c r="D225" s="61"/>
      <c r="E225" s="67"/>
      <c r="F225" s="69" t="str">
        <f t="shared" ca="1" si="210"/>
        <v/>
      </c>
      <c r="G225" s="64" t="str">
        <f t="shared" ca="1" si="211"/>
        <v/>
      </c>
      <c r="H225" s="70" t="str">
        <f t="shared" si="212"/>
        <v/>
      </c>
      <c r="I225" s="66" t="str">
        <f t="shared" si="213"/>
        <v/>
      </c>
      <c r="J225" s="59" t="str">
        <f t="shared" ref="J225:U225" ca="1" si="241">IF($A225="","",
IF($C225&gt;J$3+6,0,IF($D225&gt;=J$3,$I225*5,0)
-IF($D225&gt;=J$3,IF(K$3&gt;$D225,NETWORKDAYS($D225,K$3)-2,0)*$I225,0)
-IF(AND($C225&gt;=J$3,$C225&lt;K$3),($C225-J$3)*$I225,0))
-IF(AND(TODAY()&gt;=J$3,TODAY()&lt;K$3),IF(TODAY()&gt;$C225,NETWORKDAYS($C225,TODAY()-1)*$I225,0),0)
)</f>
        <v/>
      </c>
      <c r="K225" s="59" t="str">
        <f t="shared" ca="1" si="241"/>
        <v/>
      </c>
      <c r="L225" s="59" t="str">
        <f t="shared" ca="1" si="241"/>
        <v/>
      </c>
      <c r="M225" s="59" t="str">
        <f t="shared" ca="1" si="241"/>
        <v/>
      </c>
      <c r="N225" s="59" t="str">
        <f t="shared" ca="1" si="241"/>
        <v/>
      </c>
      <c r="O225" s="59" t="str">
        <f t="shared" ca="1" si="241"/>
        <v/>
      </c>
      <c r="P225" s="59" t="str">
        <f t="shared" ca="1" si="241"/>
        <v/>
      </c>
      <c r="Q225" s="59" t="str">
        <f t="shared" ca="1" si="241"/>
        <v/>
      </c>
      <c r="R225" s="59" t="str">
        <f t="shared" ca="1" si="241"/>
        <v/>
      </c>
      <c r="S225" s="59" t="str">
        <f t="shared" ca="1" si="241"/>
        <v/>
      </c>
      <c r="T225" s="59" t="str">
        <f t="shared" ca="1" si="241"/>
        <v/>
      </c>
      <c r="U225" s="59" t="str">
        <f t="shared" ca="1" si="241"/>
        <v/>
      </c>
    </row>
    <row r="226" spans="1:21" ht="15" thickBot="1" x14ac:dyDescent="0.35">
      <c r="A226" s="68"/>
      <c r="B226" s="21"/>
      <c r="C226" s="61"/>
      <c r="D226" s="61"/>
      <c r="E226" s="67"/>
      <c r="F226" s="69" t="str">
        <f t="shared" ca="1" si="210"/>
        <v/>
      </c>
      <c r="G226" s="64" t="str">
        <f t="shared" ca="1" si="211"/>
        <v/>
      </c>
      <c r="H226" s="70" t="str">
        <f t="shared" si="212"/>
        <v/>
      </c>
      <c r="I226" s="66" t="str">
        <f t="shared" si="213"/>
        <v/>
      </c>
      <c r="J226" s="59" t="str">
        <f t="shared" ref="J226:U226" ca="1" si="242">IF($A226="","",
IF($C226&gt;J$3+6,0,IF($D226&gt;=J$3,$I226*5,0)
-IF($D226&gt;=J$3,IF(K$3&gt;$D226,NETWORKDAYS($D226,K$3)-2,0)*$I226,0)
-IF(AND($C226&gt;=J$3,$C226&lt;K$3),($C226-J$3)*$I226,0))
-IF(AND(TODAY()&gt;=J$3,TODAY()&lt;K$3),IF(TODAY()&gt;$C226,NETWORKDAYS($C226,TODAY()-1)*$I226,0),0)
)</f>
        <v/>
      </c>
      <c r="K226" s="59" t="str">
        <f t="shared" ca="1" si="242"/>
        <v/>
      </c>
      <c r="L226" s="59" t="str">
        <f t="shared" ca="1" si="242"/>
        <v/>
      </c>
      <c r="M226" s="59" t="str">
        <f t="shared" ca="1" si="242"/>
        <v/>
      </c>
      <c r="N226" s="59" t="str">
        <f t="shared" ca="1" si="242"/>
        <v/>
      </c>
      <c r="O226" s="59" t="str">
        <f t="shared" ca="1" si="242"/>
        <v/>
      </c>
      <c r="P226" s="59" t="str">
        <f t="shared" ca="1" si="242"/>
        <v/>
      </c>
      <c r="Q226" s="59" t="str">
        <f t="shared" ca="1" si="242"/>
        <v/>
      </c>
      <c r="R226" s="59" t="str">
        <f t="shared" ca="1" si="242"/>
        <v/>
      </c>
      <c r="S226" s="59" t="str">
        <f t="shared" ca="1" si="242"/>
        <v/>
      </c>
      <c r="T226" s="59" t="str">
        <f t="shared" ca="1" si="242"/>
        <v/>
      </c>
      <c r="U226" s="59" t="str">
        <f t="shared" ca="1" si="242"/>
        <v/>
      </c>
    </row>
    <row r="227" spans="1:21" ht="15" thickBot="1" x14ac:dyDescent="0.35">
      <c r="A227" s="68"/>
      <c r="B227" s="21"/>
      <c r="C227" s="61"/>
      <c r="D227" s="61"/>
      <c r="E227" s="67"/>
      <c r="F227" s="69" t="str">
        <f t="shared" ca="1" si="210"/>
        <v/>
      </c>
      <c r="G227" s="64" t="str">
        <f t="shared" ca="1" si="211"/>
        <v/>
      </c>
      <c r="H227" s="70" t="str">
        <f t="shared" si="212"/>
        <v/>
      </c>
      <c r="I227" s="66" t="str">
        <f t="shared" si="213"/>
        <v/>
      </c>
      <c r="J227" s="59" t="str">
        <f t="shared" ref="J227:U227" ca="1" si="243">IF($A227="","",
IF($C227&gt;J$3+6,0,IF($D227&gt;=J$3,$I227*5,0)
-IF($D227&gt;=J$3,IF(K$3&gt;$D227,NETWORKDAYS($D227,K$3)-2,0)*$I227,0)
-IF(AND($C227&gt;=J$3,$C227&lt;K$3),($C227-J$3)*$I227,0))
-IF(AND(TODAY()&gt;=J$3,TODAY()&lt;K$3),IF(TODAY()&gt;$C227,NETWORKDAYS($C227,TODAY()-1)*$I227,0),0)
)</f>
        <v/>
      </c>
      <c r="K227" s="59" t="str">
        <f t="shared" ca="1" si="243"/>
        <v/>
      </c>
      <c r="L227" s="59" t="str">
        <f t="shared" ca="1" si="243"/>
        <v/>
      </c>
      <c r="M227" s="59" t="str">
        <f t="shared" ca="1" si="243"/>
        <v/>
      </c>
      <c r="N227" s="59" t="str">
        <f t="shared" ca="1" si="243"/>
        <v/>
      </c>
      <c r="O227" s="59" t="str">
        <f t="shared" ca="1" si="243"/>
        <v/>
      </c>
      <c r="P227" s="59" t="str">
        <f t="shared" ca="1" si="243"/>
        <v/>
      </c>
      <c r="Q227" s="59" t="str">
        <f t="shared" ca="1" si="243"/>
        <v/>
      </c>
      <c r="R227" s="59" t="str">
        <f t="shared" ca="1" si="243"/>
        <v/>
      </c>
      <c r="S227" s="59" t="str">
        <f t="shared" ca="1" si="243"/>
        <v/>
      </c>
      <c r="T227" s="59" t="str">
        <f t="shared" ca="1" si="243"/>
        <v/>
      </c>
      <c r="U227" s="59" t="str">
        <f t="shared" ca="1" si="243"/>
        <v/>
      </c>
    </row>
    <row r="228" spans="1:21" ht="15" thickBot="1" x14ac:dyDescent="0.35">
      <c r="A228" s="68"/>
      <c r="B228" s="21"/>
      <c r="C228" s="61"/>
      <c r="D228" s="61"/>
      <c r="E228" s="67"/>
      <c r="F228" s="69" t="str">
        <f t="shared" ca="1" si="210"/>
        <v/>
      </c>
      <c r="G228" s="64" t="str">
        <f t="shared" ca="1" si="211"/>
        <v/>
      </c>
      <c r="H228" s="70" t="str">
        <f t="shared" si="212"/>
        <v/>
      </c>
      <c r="I228" s="66" t="str">
        <f t="shared" si="213"/>
        <v/>
      </c>
      <c r="J228" s="59" t="str">
        <f t="shared" ref="J228:U228" ca="1" si="244">IF($A228="","",
IF($C228&gt;J$3+6,0,IF($D228&gt;=J$3,$I228*5,0)
-IF($D228&gt;=J$3,IF(K$3&gt;$D228,NETWORKDAYS($D228,K$3)-2,0)*$I228,0)
-IF(AND($C228&gt;=J$3,$C228&lt;K$3),($C228-J$3)*$I228,0))
-IF(AND(TODAY()&gt;=J$3,TODAY()&lt;K$3),IF(TODAY()&gt;$C228,NETWORKDAYS($C228,TODAY()-1)*$I228,0),0)
)</f>
        <v/>
      </c>
      <c r="K228" s="59" t="str">
        <f t="shared" ca="1" si="244"/>
        <v/>
      </c>
      <c r="L228" s="59" t="str">
        <f t="shared" ca="1" si="244"/>
        <v/>
      </c>
      <c r="M228" s="59" t="str">
        <f t="shared" ca="1" si="244"/>
        <v/>
      </c>
      <c r="N228" s="59" t="str">
        <f t="shared" ca="1" si="244"/>
        <v/>
      </c>
      <c r="O228" s="59" t="str">
        <f t="shared" ca="1" si="244"/>
        <v/>
      </c>
      <c r="P228" s="59" t="str">
        <f t="shared" ca="1" si="244"/>
        <v/>
      </c>
      <c r="Q228" s="59" t="str">
        <f t="shared" ca="1" si="244"/>
        <v/>
      </c>
      <c r="R228" s="59" t="str">
        <f t="shared" ca="1" si="244"/>
        <v/>
      </c>
      <c r="S228" s="59" t="str">
        <f t="shared" ca="1" si="244"/>
        <v/>
      </c>
      <c r="T228" s="59" t="str">
        <f t="shared" ca="1" si="244"/>
        <v/>
      </c>
      <c r="U228" s="59" t="str">
        <f t="shared" ca="1" si="244"/>
        <v/>
      </c>
    </row>
    <row r="229" spans="1:21" ht="15" thickBot="1" x14ac:dyDescent="0.35">
      <c r="A229" s="68"/>
      <c r="B229" s="21"/>
      <c r="C229" s="61"/>
      <c r="D229" s="61"/>
      <c r="E229" s="67"/>
      <c r="F229" s="69" t="str">
        <f t="shared" ca="1" si="210"/>
        <v/>
      </c>
      <c r="G229" s="64" t="str">
        <f t="shared" ca="1" si="211"/>
        <v/>
      </c>
      <c r="H229" s="70" t="str">
        <f t="shared" si="212"/>
        <v/>
      </c>
      <c r="I229" s="66" t="str">
        <f t="shared" si="213"/>
        <v/>
      </c>
      <c r="J229" s="59" t="str">
        <f t="shared" ref="J229:U229" ca="1" si="245">IF($A229="","",
IF($C229&gt;J$3+6,0,IF($D229&gt;=J$3,$I229*5,0)
-IF($D229&gt;=J$3,IF(K$3&gt;$D229,NETWORKDAYS($D229,K$3)-2,0)*$I229,0)
-IF(AND($C229&gt;=J$3,$C229&lt;K$3),($C229-J$3)*$I229,0))
-IF(AND(TODAY()&gt;=J$3,TODAY()&lt;K$3),IF(TODAY()&gt;$C229,NETWORKDAYS($C229,TODAY()-1)*$I229,0),0)
)</f>
        <v/>
      </c>
      <c r="K229" s="59" t="str">
        <f t="shared" ca="1" si="245"/>
        <v/>
      </c>
      <c r="L229" s="59" t="str">
        <f t="shared" ca="1" si="245"/>
        <v/>
      </c>
      <c r="M229" s="59" t="str">
        <f t="shared" ca="1" si="245"/>
        <v/>
      </c>
      <c r="N229" s="59" t="str">
        <f t="shared" ca="1" si="245"/>
        <v/>
      </c>
      <c r="O229" s="59" t="str">
        <f t="shared" ca="1" si="245"/>
        <v/>
      </c>
      <c r="P229" s="59" t="str">
        <f t="shared" ca="1" si="245"/>
        <v/>
      </c>
      <c r="Q229" s="59" t="str">
        <f t="shared" ca="1" si="245"/>
        <v/>
      </c>
      <c r="R229" s="59" t="str">
        <f t="shared" ca="1" si="245"/>
        <v/>
      </c>
      <c r="S229" s="59" t="str">
        <f t="shared" ca="1" si="245"/>
        <v/>
      </c>
      <c r="T229" s="59" t="str">
        <f t="shared" ca="1" si="245"/>
        <v/>
      </c>
      <c r="U229" s="59" t="str">
        <f t="shared" ca="1" si="245"/>
        <v/>
      </c>
    </row>
    <row r="230" spans="1:21" ht="15" thickBot="1" x14ac:dyDescent="0.35">
      <c r="A230" s="68"/>
      <c r="B230" s="21"/>
      <c r="C230" s="61"/>
      <c r="D230" s="61"/>
      <c r="E230" s="67"/>
      <c r="F230" s="69" t="str">
        <f t="shared" ca="1" si="210"/>
        <v/>
      </c>
      <c r="G230" s="64" t="str">
        <f t="shared" ca="1" si="211"/>
        <v/>
      </c>
      <c r="H230" s="70" t="str">
        <f t="shared" si="212"/>
        <v/>
      </c>
      <c r="I230" s="66" t="str">
        <f t="shared" si="213"/>
        <v/>
      </c>
      <c r="J230" s="59" t="str">
        <f t="shared" ref="J230:U230" ca="1" si="246">IF($A230="","",
IF($C230&gt;J$3+6,0,IF($D230&gt;=J$3,$I230*5,0)
-IF($D230&gt;=J$3,IF(K$3&gt;$D230,NETWORKDAYS($D230,K$3)-2,0)*$I230,0)
-IF(AND($C230&gt;=J$3,$C230&lt;K$3),($C230-J$3)*$I230,0))
-IF(AND(TODAY()&gt;=J$3,TODAY()&lt;K$3),IF(TODAY()&gt;$C230,NETWORKDAYS($C230,TODAY()-1)*$I230,0),0)
)</f>
        <v/>
      </c>
      <c r="K230" s="59" t="str">
        <f t="shared" ca="1" si="246"/>
        <v/>
      </c>
      <c r="L230" s="59" t="str">
        <f t="shared" ca="1" si="246"/>
        <v/>
      </c>
      <c r="M230" s="59" t="str">
        <f t="shared" ca="1" si="246"/>
        <v/>
      </c>
      <c r="N230" s="59" t="str">
        <f t="shared" ca="1" si="246"/>
        <v/>
      </c>
      <c r="O230" s="59" t="str">
        <f t="shared" ca="1" si="246"/>
        <v/>
      </c>
      <c r="P230" s="59" t="str">
        <f t="shared" ca="1" si="246"/>
        <v/>
      </c>
      <c r="Q230" s="59" t="str">
        <f t="shared" ca="1" si="246"/>
        <v/>
      </c>
      <c r="R230" s="59" t="str">
        <f t="shared" ca="1" si="246"/>
        <v/>
      </c>
      <c r="S230" s="59" t="str">
        <f t="shared" ca="1" si="246"/>
        <v/>
      </c>
      <c r="T230" s="59" t="str">
        <f t="shared" ca="1" si="246"/>
        <v/>
      </c>
      <c r="U230" s="59" t="str">
        <f t="shared" ca="1" si="246"/>
        <v/>
      </c>
    </row>
    <row r="231" spans="1:21" ht="15" thickBot="1" x14ac:dyDescent="0.35">
      <c r="A231" s="68"/>
      <c r="B231" s="21"/>
      <c r="C231" s="61"/>
      <c r="D231" s="61"/>
      <c r="E231" s="67"/>
      <c r="F231" s="69" t="str">
        <f t="shared" ca="1" si="210"/>
        <v/>
      </c>
      <c r="G231" s="64" t="str">
        <f t="shared" ca="1" si="211"/>
        <v/>
      </c>
      <c r="H231" s="70" t="str">
        <f t="shared" si="212"/>
        <v/>
      </c>
      <c r="I231" s="66" t="str">
        <f t="shared" si="213"/>
        <v/>
      </c>
      <c r="J231" s="59" t="str">
        <f t="shared" ref="J231:U231" ca="1" si="247">IF($A231="","",
IF($C231&gt;J$3+6,0,IF($D231&gt;=J$3,$I231*5,0)
-IF($D231&gt;=J$3,IF(K$3&gt;$D231,NETWORKDAYS($D231,K$3)-2,0)*$I231,0)
-IF(AND($C231&gt;=J$3,$C231&lt;K$3),($C231-J$3)*$I231,0))
-IF(AND(TODAY()&gt;=J$3,TODAY()&lt;K$3),IF(TODAY()&gt;$C231,NETWORKDAYS($C231,TODAY()-1)*$I231,0),0)
)</f>
        <v/>
      </c>
      <c r="K231" s="59" t="str">
        <f t="shared" ca="1" si="247"/>
        <v/>
      </c>
      <c r="L231" s="59" t="str">
        <f t="shared" ca="1" si="247"/>
        <v/>
      </c>
      <c r="M231" s="59" t="str">
        <f t="shared" ca="1" si="247"/>
        <v/>
      </c>
      <c r="N231" s="59" t="str">
        <f t="shared" ca="1" si="247"/>
        <v/>
      </c>
      <c r="O231" s="59" t="str">
        <f t="shared" ca="1" si="247"/>
        <v/>
      </c>
      <c r="P231" s="59" t="str">
        <f t="shared" ca="1" si="247"/>
        <v/>
      </c>
      <c r="Q231" s="59" t="str">
        <f t="shared" ca="1" si="247"/>
        <v/>
      </c>
      <c r="R231" s="59" t="str">
        <f t="shared" ca="1" si="247"/>
        <v/>
      </c>
      <c r="S231" s="59" t="str">
        <f t="shared" ca="1" si="247"/>
        <v/>
      </c>
      <c r="T231" s="59" t="str">
        <f t="shared" ca="1" si="247"/>
        <v/>
      </c>
      <c r="U231" s="59" t="str">
        <f t="shared" ca="1" si="247"/>
        <v/>
      </c>
    </row>
    <row r="232" spans="1:21" ht="15" thickBot="1" x14ac:dyDescent="0.35">
      <c r="A232" s="68"/>
      <c r="B232" s="21"/>
      <c r="C232" s="61"/>
      <c r="D232" s="61"/>
      <c r="E232" s="67"/>
      <c r="F232" s="69" t="str">
        <f t="shared" ca="1" si="210"/>
        <v/>
      </c>
      <c r="G232" s="64" t="str">
        <f t="shared" ca="1" si="211"/>
        <v/>
      </c>
      <c r="H232" s="70" t="str">
        <f t="shared" si="212"/>
        <v/>
      </c>
      <c r="I232" s="66" t="str">
        <f t="shared" si="213"/>
        <v/>
      </c>
      <c r="J232" s="59" t="str">
        <f t="shared" ref="J232:U232" ca="1" si="248">IF($A232="","",
IF($C232&gt;J$3+6,0,IF($D232&gt;=J$3,$I232*5,0)
-IF($D232&gt;=J$3,IF(K$3&gt;$D232,NETWORKDAYS($D232,K$3)-2,0)*$I232,0)
-IF(AND($C232&gt;=J$3,$C232&lt;K$3),($C232-J$3)*$I232,0))
-IF(AND(TODAY()&gt;=J$3,TODAY()&lt;K$3),IF(TODAY()&gt;$C232,NETWORKDAYS($C232,TODAY()-1)*$I232,0),0)
)</f>
        <v/>
      </c>
      <c r="K232" s="59" t="str">
        <f t="shared" ca="1" si="248"/>
        <v/>
      </c>
      <c r="L232" s="59" t="str">
        <f t="shared" ca="1" si="248"/>
        <v/>
      </c>
      <c r="M232" s="59" t="str">
        <f t="shared" ca="1" si="248"/>
        <v/>
      </c>
      <c r="N232" s="59" t="str">
        <f t="shared" ca="1" si="248"/>
        <v/>
      </c>
      <c r="O232" s="59" t="str">
        <f t="shared" ca="1" si="248"/>
        <v/>
      </c>
      <c r="P232" s="59" t="str">
        <f t="shared" ca="1" si="248"/>
        <v/>
      </c>
      <c r="Q232" s="59" t="str">
        <f t="shared" ca="1" si="248"/>
        <v/>
      </c>
      <c r="R232" s="59" t="str">
        <f t="shared" ca="1" si="248"/>
        <v/>
      </c>
      <c r="S232" s="59" t="str">
        <f t="shared" ca="1" si="248"/>
        <v/>
      </c>
      <c r="T232" s="59" t="str">
        <f t="shared" ca="1" si="248"/>
        <v/>
      </c>
      <c r="U232" s="59" t="str">
        <f t="shared" ca="1" si="248"/>
        <v/>
      </c>
    </row>
    <row r="233" spans="1:21" ht="15" thickBot="1" x14ac:dyDescent="0.35">
      <c r="A233" s="68"/>
      <c r="B233" s="21"/>
      <c r="C233" s="61"/>
      <c r="D233" s="61"/>
      <c r="E233" s="67"/>
      <c r="F233" s="69" t="str">
        <f t="shared" ca="1" si="210"/>
        <v/>
      </c>
      <c r="G233" s="64" t="str">
        <f t="shared" ca="1" si="211"/>
        <v/>
      </c>
      <c r="H233" s="70" t="str">
        <f t="shared" si="212"/>
        <v/>
      </c>
      <c r="I233" s="66" t="str">
        <f t="shared" si="213"/>
        <v/>
      </c>
      <c r="J233" s="59" t="str">
        <f t="shared" ref="J233:U233" ca="1" si="249">IF($A233="","",
IF($C233&gt;J$3+6,0,IF($D233&gt;=J$3,$I233*5,0)
-IF($D233&gt;=J$3,IF(K$3&gt;$D233,NETWORKDAYS($D233,K$3)-2,0)*$I233,0)
-IF(AND($C233&gt;=J$3,$C233&lt;K$3),($C233-J$3)*$I233,0))
-IF(AND(TODAY()&gt;=J$3,TODAY()&lt;K$3),IF(TODAY()&gt;$C233,NETWORKDAYS($C233,TODAY()-1)*$I233,0),0)
)</f>
        <v/>
      </c>
      <c r="K233" s="59" t="str">
        <f t="shared" ca="1" si="249"/>
        <v/>
      </c>
      <c r="L233" s="59" t="str">
        <f t="shared" ca="1" si="249"/>
        <v/>
      </c>
      <c r="M233" s="59" t="str">
        <f t="shared" ca="1" si="249"/>
        <v/>
      </c>
      <c r="N233" s="59" t="str">
        <f t="shared" ca="1" si="249"/>
        <v/>
      </c>
      <c r="O233" s="59" t="str">
        <f t="shared" ca="1" si="249"/>
        <v/>
      </c>
      <c r="P233" s="59" t="str">
        <f t="shared" ca="1" si="249"/>
        <v/>
      </c>
      <c r="Q233" s="59" t="str">
        <f t="shared" ca="1" si="249"/>
        <v/>
      </c>
      <c r="R233" s="59" t="str">
        <f t="shared" ca="1" si="249"/>
        <v/>
      </c>
      <c r="S233" s="59" t="str">
        <f t="shared" ca="1" si="249"/>
        <v/>
      </c>
      <c r="T233" s="59" t="str">
        <f t="shared" ca="1" si="249"/>
        <v/>
      </c>
      <c r="U233" s="59" t="str">
        <f t="shared" ca="1" si="249"/>
        <v/>
      </c>
    </row>
    <row r="234" spans="1:21" ht="15" thickBot="1" x14ac:dyDescent="0.35">
      <c r="A234" s="68"/>
      <c r="B234" s="21"/>
      <c r="C234" s="61"/>
      <c r="D234" s="61"/>
      <c r="E234" s="67"/>
      <c r="F234" s="69" t="str">
        <f t="shared" ca="1" si="210"/>
        <v/>
      </c>
      <c r="G234" s="64" t="str">
        <f t="shared" ca="1" si="211"/>
        <v/>
      </c>
      <c r="H234" s="70" t="str">
        <f t="shared" si="212"/>
        <v/>
      </c>
      <c r="I234" s="66" t="str">
        <f t="shared" si="213"/>
        <v/>
      </c>
      <c r="J234" s="59" t="str">
        <f t="shared" ref="J234:U234" ca="1" si="250">IF($A234="","",
IF($C234&gt;J$3+6,0,IF($D234&gt;=J$3,$I234*5,0)
-IF($D234&gt;=J$3,IF(K$3&gt;$D234,NETWORKDAYS($D234,K$3)-2,0)*$I234,0)
-IF(AND($C234&gt;=J$3,$C234&lt;K$3),($C234-J$3)*$I234,0))
-IF(AND(TODAY()&gt;=J$3,TODAY()&lt;K$3),IF(TODAY()&gt;$C234,NETWORKDAYS($C234,TODAY()-1)*$I234,0),0)
)</f>
        <v/>
      </c>
      <c r="K234" s="59" t="str">
        <f t="shared" ca="1" si="250"/>
        <v/>
      </c>
      <c r="L234" s="59" t="str">
        <f t="shared" ca="1" si="250"/>
        <v/>
      </c>
      <c r="M234" s="59" t="str">
        <f t="shared" ca="1" si="250"/>
        <v/>
      </c>
      <c r="N234" s="59" t="str">
        <f t="shared" ca="1" si="250"/>
        <v/>
      </c>
      <c r="O234" s="59" t="str">
        <f t="shared" ca="1" si="250"/>
        <v/>
      </c>
      <c r="P234" s="59" t="str">
        <f t="shared" ca="1" si="250"/>
        <v/>
      </c>
      <c r="Q234" s="59" t="str">
        <f t="shared" ca="1" si="250"/>
        <v/>
      </c>
      <c r="R234" s="59" t="str">
        <f t="shared" ca="1" si="250"/>
        <v/>
      </c>
      <c r="S234" s="59" t="str">
        <f t="shared" ca="1" si="250"/>
        <v/>
      </c>
      <c r="T234" s="59" t="str">
        <f t="shared" ca="1" si="250"/>
        <v/>
      </c>
      <c r="U234" s="59" t="str">
        <f t="shared" ca="1" si="250"/>
        <v/>
      </c>
    </row>
    <row r="235" spans="1:21" ht="15" thickBot="1" x14ac:dyDescent="0.35">
      <c r="A235" s="68"/>
      <c r="B235" s="21"/>
      <c r="C235" s="61"/>
      <c r="D235" s="61"/>
      <c r="E235" s="67"/>
      <c r="F235" s="69" t="str">
        <f t="shared" ca="1" si="210"/>
        <v/>
      </c>
      <c r="G235" s="64" t="str">
        <f t="shared" ca="1" si="211"/>
        <v/>
      </c>
      <c r="H235" s="70" t="str">
        <f t="shared" si="212"/>
        <v/>
      </c>
      <c r="I235" s="66" t="str">
        <f t="shared" si="213"/>
        <v/>
      </c>
      <c r="J235" s="59" t="str">
        <f t="shared" ref="J235:U235" ca="1" si="251">IF($A235="","",
IF($C235&gt;J$3+6,0,IF($D235&gt;=J$3,$I235*5,0)
-IF($D235&gt;=J$3,IF(K$3&gt;$D235,NETWORKDAYS($D235,K$3)-2,0)*$I235,0)
-IF(AND($C235&gt;=J$3,$C235&lt;K$3),($C235-J$3)*$I235,0))
-IF(AND(TODAY()&gt;=J$3,TODAY()&lt;K$3),IF(TODAY()&gt;$C235,NETWORKDAYS($C235,TODAY()-1)*$I235,0),0)
)</f>
        <v/>
      </c>
      <c r="K235" s="59" t="str">
        <f t="shared" ca="1" si="251"/>
        <v/>
      </c>
      <c r="L235" s="59" t="str">
        <f t="shared" ca="1" si="251"/>
        <v/>
      </c>
      <c r="M235" s="59" t="str">
        <f t="shared" ca="1" si="251"/>
        <v/>
      </c>
      <c r="N235" s="59" t="str">
        <f t="shared" ca="1" si="251"/>
        <v/>
      </c>
      <c r="O235" s="59" t="str">
        <f t="shared" ca="1" si="251"/>
        <v/>
      </c>
      <c r="P235" s="59" t="str">
        <f t="shared" ca="1" si="251"/>
        <v/>
      </c>
      <c r="Q235" s="59" t="str">
        <f t="shared" ca="1" si="251"/>
        <v/>
      </c>
      <c r="R235" s="59" t="str">
        <f t="shared" ca="1" si="251"/>
        <v/>
      </c>
      <c r="S235" s="59" t="str">
        <f t="shared" ca="1" si="251"/>
        <v/>
      </c>
      <c r="T235" s="59" t="str">
        <f t="shared" ca="1" si="251"/>
        <v/>
      </c>
      <c r="U235" s="59" t="str">
        <f t="shared" ca="1" si="251"/>
        <v/>
      </c>
    </row>
    <row r="236" spans="1:21" ht="15" thickBot="1" x14ac:dyDescent="0.35">
      <c r="A236" s="68"/>
      <c r="B236" s="21"/>
      <c r="C236" s="61"/>
      <c r="D236" s="61"/>
      <c r="E236" s="67"/>
      <c r="F236" s="69" t="str">
        <f t="shared" ca="1" si="210"/>
        <v/>
      </c>
      <c r="G236" s="64" t="str">
        <f t="shared" ca="1" si="211"/>
        <v/>
      </c>
      <c r="H236" s="70" t="str">
        <f t="shared" si="212"/>
        <v/>
      </c>
      <c r="I236" s="66" t="str">
        <f t="shared" si="213"/>
        <v/>
      </c>
      <c r="J236" s="59" t="str">
        <f t="shared" ref="J236:U236" ca="1" si="252">IF($A236="","",
IF($C236&gt;J$3+6,0,IF($D236&gt;=J$3,$I236*5,0)
-IF($D236&gt;=J$3,IF(K$3&gt;$D236,NETWORKDAYS($D236,K$3)-2,0)*$I236,0)
-IF(AND($C236&gt;=J$3,$C236&lt;K$3),($C236-J$3)*$I236,0))
-IF(AND(TODAY()&gt;=J$3,TODAY()&lt;K$3),IF(TODAY()&gt;$C236,NETWORKDAYS($C236,TODAY()-1)*$I236,0),0)
)</f>
        <v/>
      </c>
      <c r="K236" s="59" t="str">
        <f t="shared" ca="1" si="252"/>
        <v/>
      </c>
      <c r="L236" s="59" t="str">
        <f t="shared" ca="1" si="252"/>
        <v/>
      </c>
      <c r="M236" s="59" t="str">
        <f t="shared" ca="1" si="252"/>
        <v/>
      </c>
      <c r="N236" s="59" t="str">
        <f t="shared" ca="1" si="252"/>
        <v/>
      </c>
      <c r="O236" s="59" t="str">
        <f t="shared" ca="1" si="252"/>
        <v/>
      </c>
      <c r="P236" s="59" t="str">
        <f t="shared" ca="1" si="252"/>
        <v/>
      </c>
      <c r="Q236" s="59" t="str">
        <f t="shared" ca="1" si="252"/>
        <v/>
      </c>
      <c r="R236" s="59" t="str">
        <f t="shared" ca="1" si="252"/>
        <v/>
      </c>
      <c r="S236" s="59" t="str">
        <f t="shared" ca="1" si="252"/>
        <v/>
      </c>
      <c r="T236" s="59" t="str">
        <f t="shared" ca="1" si="252"/>
        <v/>
      </c>
      <c r="U236" s="59" t="str">
        <f t="shared" ca="1" si="252"/>
        <v/>
      </c>
    </row>
    <row r="237" spans="1:21" ht="15" thickBot="1" x14ac:dyDescent="0.35">
      <c r="A237" s="68"/>
      <c r="B237" s="21"/>
      <c r="C237" s="61"/>
      <c r="D237" s="61"/>
      <c r="E237" s="67"/>
      <c r="F237" s="69" t="str">
        <f t="shared" ca="1" si="210"/>
        <v/>
      </c>
      <c r="G237" s="64" t="str">
        <f t="shared" ca="1" si="211"/>
        <v/>
      </c>
      <c r="H237" s="70" t="str">
        <f t="shared" si="212"/>
        <v/>
      </c>
      <c r="I237" s="66" t="str">
        <f t="shared" si="213"/>
        <v/>
      </c>
      <c r="J237" s="59" t="str">
        <f t="shared" ref="J237:U237" ca="1" si="253">IF($A237="","",
IF($C237&gt;J$3+6,0,IF($D237&gt;=J$3,$I237*5,0)
-IF($D237&gt;=J$3,IF(K$3&gt;$D237,NETWORKDAYS($D237,K$3)-2,0)*$I237,0)
-IF(AND($C237&gt;=J$3,$C237&lt;K$3),($C237-J$3)*$I237,0))
-IF(AND(TODAY()&gt;=J$3,TODAY()&lt;K$3),IF(TODAY()&gt;$C237,NETWORKDAYS($C237,TODAY()-1)*$I237,0),0)
)</f>
        <v/>
      </c>
      <c r="K237" s="59" t="str">
        <f t="shared" ca="1" si="253"/>
        <v/>
      </c>
      <c r="L237" s="59" t="str">
        <f t="shared" ca="1" si="253"/>
        <v/>
      </c>
      <c r="M237" s="59" t="str">
        <f t="shared" ca="1" si="253"/>
        <v/>
      </c>
      <c r="N237" s="59" t="str">
        <f t="shared" ca="1" si="253"/>
        <v/>
      </c>
      <c r="O237" s="59" t="str">
        <f t="shared" ca="1" si="253"/>
        <v/>
      </c>
      <c r="P237" s="59" t="str">
        <f t="shared" ca="1" si="253"/>
        <v/>
      </c>
      <c r="Q237" s="59" t="str">
        <f t="shared" ca="1" si="253"/>
        <v/>
      </c>
      <c r="R237" s="59" t="str">
        <f t="shared" ca="1" si="253"/>
        <v/>
      </c>
      <c r="S237" s="59" t="str">
        <f t="shared" ca="1" si="253"/>
        <v/>
      </c>
      <c r="T237" s="59" t="str">
        <f t="shared" ca="1" si="253"/>
        <v/>
      </c>
      <c r="U237" s="59" t="str">
        <f t="shared" ca="1" si="253"/>
        <v/>
      </c>
    </row>
    <row r="238" spans="1:21" ht="15" thickBot="1" x14ac:dyDescent="0.35">
      <c r="A238" s="68"/>
      <c r="B238" s="21"/>
      <c r="C238" s="61"/>
      <c r="D238" s="61"/>
      <c r="E238" s="67"/>
      <c r="F238" s="69" t="str">
        <f t="shared" ca="1" si="210"/>
        <v/>
      </c>
      <c r="G238" s="64" t="str">
        <f t="shared" ca="1" si="211"/>
        <v/>
      </c>
      <c r="H238" s="70" t="str">
        <f t="shared" si="212"/>
        <v/>
      </c>
      <c r="I238" s="66" t="str">
        <f t="shared" si="213"/>
        <v/>
      </c>
      <c r="J238" s="59" t="str">
        <f t="shared" ref="J238:U238" ca="1" si="254">IF($A238="","",
IF($C238&gt;J$3+6,0,IF($D238&gt;=J$3,$I238*5,0)
-IF($D238&gt;=J$3,IF(K$3&gt;$D238,NETWORKDAYS($D238,K$3)-2,0)*$I238,0)
-IF(AND($C238&gt;=J$3,$C238&lt;K$3),($C238-J$3)*$I238,0))
-IF(AND(TODAY()&gt;=J$3,TODAY()&lt;K$3),IF(TODAY()&gt;$C238,NETWORKDAYS($C238,TODAY()-1)*$I238,0),0)
)</f>
        <v/>
      </c>
      <c r="K238" s="59" t="str">
        <f t="shared" ca="1" si="254"/>
        <v/>
      </c>
      <c r="L238" s="59" t="str">
        <f t="shared" ca="1" si="254"/>
        <v/>
      </c>
      <c r="M238" s="59" t="str">
        <f t="shared" ca="1" si="254"/>
        <v/>
      </c>
      <c r="N238" s="59" t="str">
        <f t="shared" ca="1" si="254"/>
        <v/>
      </c>
      <c r="O238" s="59" t="str">
        <f t="shared" ca="1" si="254"/>
        <v/>
      </c>
      <c r="P238" s="59" t="str">
        <f t="shared" ca="1" si="254"/>
        <v/>
      </c>
      <c r="Q238" s="59" t="str">
        <f t="shared" ca="1" si="254"/>
        <v/>
      </c>
      <c r="R238" s="59" t="str">
        <f t="shared" ca="1" si="254"/>
        <v/>
      </c>
      <c r="S238" s="59" t="str">
        <f t="shared" ca="1" si="254"/>
        <v/>
      </c>
      <c r="T238" s="59" t="str">
        <f t="shared" ca="1" si="254"/>
        <v/>
      </c>
      <c r="U238" s="59" t="str">
        <f t="shared" ca="1" si="254"/>
        <v/>
      </c>
    </row>
    <row r="239" spans="1:21" ht="15" thickBot="1" x14ac:dyDescent="0.35">
      <c r="A239" s="68"/>
      <c r="B239" s="21"/>
      <c r="C239" s="61"/>
      <c r="D239" s="61"/>
      <c r="E239" s="67"/>
      <c r="F239" s="69" t="str">
        <f t="shared" ca="1" si="210"/>
        <v/>
      </c>
      <c r="G239" s="64" t="str">
        <f t="shared" ca="1" si="211"/>
        <v/>
      </c>
      <c r="H239" s="70" t="str">
        <f t="shared" si="212"/>
        <v/>
      </c>
      <c r="I239" s="66" t="str">
        <f t="shared" si="213"/>
        <v/>
      </c>
      <c r="J239" s="59" t="str">
        <f t="shared" ref="J239:U239" ca="1" si="255">IF($A239="","",
IF($C239&gt;J$3+6,0,IF($D239&gt;=J$3,$I239*5,0)
-IF($D239&gt;=J$3,IF(K$3&gt;$D239,NETWORKDAYS($D239,K$3)-2,0)*$I239,0)
-IF(AND($C239&gt;=J$3,$C239&lt;K$3),($C239-J$3)*$I239,0))
-IF(AND(TODAY()&gt;=J$3,TODAY()&lt;K$3),IF(TODAY()&gt;$C239,NETWORKDAYS($C239,TODAY()-1)*$I239,0),0)
)</f>
        <v/>
      </c>
      <c r="K239" s="59" t="str">
        <f t="shared" ca="1" si="255"/>
        <v/>
      </c>
      <c r="L239" s="59" t="str">
        <f t="shared" ca="1" si="255"/>
        <v/>
      </c>
      <c r="M239" s="59" t="str">
        <f t="shared" ca="1" si="255"/>
        <v/>
      </c>
      <c r="N239" s="59" t="str">
        <f t="shared" ca="1" si="255"/>
        <v/>
      </c>
      <c r="O239" s="59" t="str">
        <f t="shared" ca="1" si="255"/>
        <v/>
      </c>
      <c r="P239" s="59" t="str">
        <f t="shared" ca="1" si="255"/>
        <v/>
      </c>
      <c r="Q239" s="59" t="str">
        <f t="shared" ca="1" si="255"/>
        <v/>
      </c>
      <c r="R239" s="59" t="str">
        <f t="shared" ca="1" si="255"/>
        <v/>
      </c>
      <c r="S239" s="59" t="str">
        <f t="shared" ca="1" si="255"/>
        <v/>
      </c>
      <c r="T239" s="59" t="str">
        <f t="shared" ca="1" si="255"/>
        <v/>
      </c>
      <c r="U239" s="59" t="str">
        <f t="shared" ca="1" si="255"/>
        <v/>
      </c>
    </row>
    <row r="240" spans="1:21" ht="15" thickBot="1" x14ac:dyDescent="0.35">
      <c r="A240" s="68"/>
      <c r="B240" s="21"/>
      <c r="C240" s="61"/>
      <c r="D240" s="61"/>
      <c r="E240" s="67"/>
      <c r="F240" s="69" t="str">
        <f t="shared" ca="1" si="210"/>
        <v/>
      </c>
      <c r="G240" s="64" t="str">
        <f t="shared" ca="1" si="211"/>
        <v/>
      </c>
      <c r="H240" s="70" t="str">
        <f t="shared" si="212"/>
        <v/>
      </c>
      <c r="I240" s="66" t="str">
        <f t="shared" si="213"/>
        <v/>
      </c>
      <c r="J240" s="59" t="str">
        <f t="shared" ref="J240:U240" ca="1" si="256">IF($A240="","",
IF($C240&gt;J$3+6,0,IF($D240&gt;=J$3,$I240*5,0)
-IF($D240&gt;=J$3,IF(K$3&gt;$D240,NETWORKDAYS($D240,K$3)-2,0)*$I240,0)
-IF(AND($C240&gt;=J$3,$C240&lt;K$3),($C240-J$3)*$I240,0))
-IF(AND(TODAY()&gt;=J$3,TODAY()&lt;K$3),IF(TODAY()&gt;$C240,NETWORKDAYS($C240,TODAY()-1)*$I240,0),0)
)</f>
        <v/>
      </c>
      <c r="K240" s="59" t="str">
        <f t="shared" ca="1" si="256"/>
        <v/>
      </c>
      <c r="L240" s="59" t="str">
        <f t="shared" ca="1" si="256"/>
        <v/>
      </c>
      <c r="M240" s="59" t="str">
        <f t="shared" ca="1" si="256"/>
        <v/>
      </c>
      <c r="N240" s="59" t="str">
        <f t="shared" ca="1" si="256"/>
        <v/>
      </c>
      <c r="O240" s="59" t="str">
        <f t="shared" ca="1" si="256"/>
        <v/>
      </c>
      <c r="P240" s="59" t="str">
        <f t="shared" ca="1" si="256"/>
        <v/>
      </c>
      <c r="Q240" s="59" t="str">
        <f t="shared" ca="1" si="256"/>
        <v/>
      </c>
      <c r="R240" s="59" t="str">
        <f t="shared" ca="1" si="256"/>
        <v/>
      </c>
      <c r="S240" s="59" t="str">
        <f t="shared" ca="1" si="256"/>
        <v/>
      </c>
      <c r="T240" s="59" t="str">
        <f t="shared" ca="1" si="256"/>
        <v/>
      </c>
      <c r="U240" s="59" t="str">
        <f t="shared" ca="1" si="256"/>
        <v/>
      </c>
    </row>
    <row r="241" spans="1:21" ht="15" thickBot="1" x14ac:dyDescent="0.35">
      <c r="A241" s="68"/>
      <c r="B241" s="21"/>
      <c r="C241" s="61"/>
      <c r="D241" s="61"/>
      <c r="E241" s="67"/>
      <c r="F241" s="69" t="str">
        <f t="shared" ca="1" si="210"/>
        <v/>
      </c>
      <c r="G241" s="64" t="str">
        <f t="shared" ca="1" si="211"/>
        <v/>
      </c>
      <c r="H241" s="70" t="str">
        <f t="shared" si="212"/>
        <v/>
      </c>
      <c r="I241" s="66" t="str">
        <f t="shared" si="213"/>
        <v/>
      </c>
      <c r="J241" s="59" t="str">
        <f t="shared" ref="J241:U241" ca="1" si="257">IF($A241="","",
IF($C241&gt;J$3+6,0,IF($D241&gt;=J$3,$I241*5,0)
-IF($D241&gt;=J$3,IF(K$3&gt;$D241,NETWORKDAYS($D241,K$3)-2,0)*$I241,0)
-IF(AND($C241&gt;=J$3,$C241&lt;K$3),($C241-J$3)*$I241,0))
-IF(AND(TODAY()&gt;=J$3,TODAY()&lt;K$3),IF(TODAY()&gt;$C241,NETWORKDAYS($C241,TODAY()-1)*$I241,0),0)
)</f>
        <v/>
      </c>
      <c r="K241" s="59" t="str">
        <f t="shared" ca="1" si="257"/>
        <v/>
      </c>
      <c r="L241" s="59" t="str">
        <f t="shared" ca="1" si="257"/>
        <v/>
      </c>
      <c r="M241" s="59" t="str">
        <f t="shared" ca="1" si="257"/>
        <v/>
      </c>
      <c r="N241" s="59" t="str">
        <f t="shared" ca="1" si="257"/>
        <v/>
      </c>
      <c r="O241" s="59" t="str">
        <f t="shared" ca="1" si="257"/>
        <v/>
      </c>
      <c r="P241" s="59" t="str">
        <f t="shared" ca="1" si="257"/>
        <v/>
      </c>
      <c r="Q241" s="59" t="str">
        <f t="shared" ca="1" si="257"/>
        <v/>
      </c>
      <c r="R241" s="59" t="str">
        <f t="shared" ca="1" si="257"/>
        <v/>
      </c>
      <c r="S241" s="59" t="str">
        <f t="shared" ca="1" si="257"/>
        <v/>
      </c>
      <c r="T241" s="59" t="str">
        <f t="shared" ca="1" si="257"/>
        <v/>
      </c>
      <c r="U241" s="59" t="str">
        <f t="shared" ca="1" si="257"/>
        <v/>
      </c>
    </row>
    <row r="242" spans="1:21" ht="15" thickBot="1" x14ac:dyDescent="0.35">
      <c r="A242" s="68"/>
      <c r="B242" s="21"/>
      <c r="C242" s="61"/>
      <c r="D242" s="61"/>
      <c r="E242" s="67"/>
      <c r="F242" s="69" t="str">
        <f t="shared" ca="1" si="210"/>
        <v/>
      </c>
      <c r="G242" s="64" t="str">
        <f t="shared" ca="1" si="211"/>
        <v/>
      </c>
      <c r="H242" s="70" t="str">
        <f t="shared" si="212"/>
        <v/>
      </c>
      <c r="I242" s="66" t="str">
        <f t="shared" si="213"/>
        <v/>
      </c>
      <c r="J242" s="59" t="str">
        <f t="shared" ref="J242:U242" ca="1" si="258">IF($A242="","",
IF($C242&gt;J$3+6,0,IF($D242&gt;=J$3,$I242*5,0)
-IF($D242&gt;=J$3,IF(K$3&gt;$D242,NETWORKDAYS($D242,K$3)-2,0)*$I242,0)
-IF(AND($C242&gt;=J$3,$C242&lt;K$3),($C242-J$3)*$I242,0))
-IF(AND(TODAY()&gt;=J$3,TODAY()&lt;K$3),IF(TODAY()&gt;$C242,NETWORKDAYS($C242,TODAY()-1)*$I242,0),0)
)</f>
        <v/>
      </c>
      <c r="K242" s="59" t="str">
        <f t="shared" ca="1" si="258"/>
        <v/>
      </c>
      <c r="L242" s="59" t="str">
        <f t="shared" ca="1" si="258"/>
        <v/>
      </c>
      <c r="M242" s="59" t="str">
        <f t="shared" ca="1" si="258"/>
        <v/>
      </c>
      <c r="N242" s="59" t="str">
        <f t="shared" ca="1" si="258"/>
        <v/>
      </c>
      <c r="O242" s="59" t="str">
        <f t="shared" ca="1" si="258"/>
        <v/>
      </c>
      <c r="P242" s="59" t="str">
        <f t="shared" ca="1" si="258"/>
        <v/>
      </c>
      <c r="Q242" s="59" t="str">
        <f t="shared" ca="1" si="258"/>
        <v/>
      </c>
      <c r="R242" s="59" t="str">
        <f t="shared" ca="1" si="258"/>
        <v/>
      </c>
      <c r="S242" s="59" t="str">
        <f t="shared" ca="1" si="258"/>
        <v/>
      </c>
      <c r="T242" s="59" t="str">
        <f t="shared" ca="1" si="258"/>
        <v/>
      </c>
      <c r="U242" s="59" t="str">
        <f t="shared" ca="1" si="258"/>
        <v/>
      </c>
    </row>
    <row r="243" spans="1:21" ht="15" thickBot="1" x14ac:dyDescent="0.35">
      <c r="A243" s="68"/>
      <c r="B243" s="21"/>
      <c r="C243" s="61"/>
      <c r="D243" s="61"/>
      <c r="E243" s="67"/>
      <c r="F243" s="69" t="str">
        <f t="shared" ca="1" si="210"/>
        <v/>
      </c>
      <c r="G243" s="64" t="str">
        <f t="shared" ca="1" si="211"/>
        <v/>
      </c>
      <c r="H243" s="70" t="str">
        <f t="shared" si="212"/>
        <v/>
      </c>
      <c r="I243" s="66" t="str">
        <f t="shared" si="213"/>
        <v/>
      </c>
      <c r="J243" s="59" t="str">
        <f t="shared" ref="J243:U243" ca="1" si="259">IF($A243="","",
IF($C243&gt;J$3+6,0,IF($D243&gt;=J$3,$I243*5,0)
-IF($D243&gt;=J$3,IF(K$3&gt;$D243,NETWORKDAYS($D243,K$3)-2,0)*$I243,0)
-IF(AND($C243&gt;=J$3,$C243&lt;K$3),($C243-J$3)*$I243,0))
-IF(AND(TODAY()&gt;=J$3,TODAY()&lt;K$3),IF(TODAY()&gt;$C243,NETWORKDAYS($C243,TODAY()-1)*$I243,0),0)
)</f>
        <v/>
      </c>
      <c r="K243" s="59" t="str">
        <f t="shared" ca="1" si="259"/>
        <v/>
      </c>
      <c r="L243" s="59" t="str">
        <f t="shared" ca="1" si="259"/>
        <v/>
      </c>
      <c r="M243" s="59" t="str">
        <f t="shared" ca="1" si="259"/>
        <v/>
      </c>
      <c r="N243" s="59" t="str">
        <f t="shared" ca="1" si="259"/>
        <v/>
      </c>
      <c r="O243" s="59" t="str">
        <f t="shared" ca="1" si="259"/>
        <v/>
      </c>
      <c r="P243" s="59" t="str">
        <f t="shared" ca="1" si="259"/>
        <v/>
      </c>
      <c r="Q243" s="59" t="str">
        <f t="shared" ca="1" si="259"/>
        <v/>
      </c>
      <c r="R243" s="59" t="str">
        <f t="shared" ca="1" si="259"/>
        <v/>
      </c>
      <c r="S243" s="59" t="str">
        <f t="shared" ca="1" si="259"/>
        <v/>
      </c>
      <c r="T243" s="59" t="str">
        <f t="shared" ca="1" si="259"/>
        <v/>
      </c>
      <c r="U243" s="59" t="str">
        <f t="shared" ca="1" si="259"/>
        <v/>
      </c>
    </row>
    <row r="244" spans="1:21" ht="15" thickBot="1" x14ac:dyDescent="0.35">
      <c r="A244" s="68"/>
      <c r="B244" s="21"/>
      <c r="C244" s="61"/>
      <c r="D244" s="61"/>
      <c r="E244" s="67"/>
      <c r="F244" s="69" t="str">
        <f t="shared" ca="1" si="210"/>
        <v/>
      </c>
      <c r="G244" s="64" t="str">
        <f t="shared" ca="1" si="211"/>
        <v/>
      </c>
      <c r="H244" s="70" t="str">
        <f t="shared" si="212"/>
        <v/>
      </c>
      <c r="I244" s="66" t="str">
        <f t="shared" si="213"/>
        <v/>
      </c>
      <c r="J244" s="59" t="str">
        <f t="shared" ref="J244:U244" ca="1" si="260">IF($A244="","",
IF($C244&gt;J$3+6,0,IF($D244&gt;=J$3,$I244*5,0)
-IF($D244&gt;=J$3,IF(K$3&gt;$D244,NETWORKDAYS($D244,K$3)-2,0)*$I244,0)
-IF(AND($C244&gt;=J$3,$C244&lt;K$3),($C244-J$3)*$I244,0))
-IF(AND(TODAY()&gt;=J$3,TODAY()&lt;K$3),IF(TODAY()&gt;$C244,NETWORKDAYS($C244,TODAY()-1)*$I244,0),0)
)</f>
        <v/>
      </c>
      <c r="K244" s="59" t="str">
        <f t="shared" ca="1" si="260"/>
        <v/>
      </c>
      <c r="L244" s="59" t="str">
        <f t="shared" ca="1" si="260"/>
        <v/>
      </c>
      <c r="M244" s="59" t="str">
        <f t="shared" ca="1" si="260"/>
        <v/>
      </c>
      <c r="N244" s="59" t="str">
        <f t="shared" ca="1" si="260"/>
        <v/>
      </c>
      <c r="O244" s="59" t="str">
        <f t="shared" ca="1" si="260"/>
        <v/>
      </c>
      <c r="P244" s="59" t="str">
        <f t="shared" ca="1" si="260"/>
        <v/>
      </c>
      <c r="Q244" s="59" t="str">
        <f t="shared" ca="1" si="260"/>
        <v/>
      </c>
      <c r="R244" s="59" t="str">
        <f t="shared" ca="1" si="260"/>
        <v/>
      </c>
      <c r="S244" s="59" t="str">
        <f t="shared" ca="1" si="260"/>
        <v/>
      </c>
      <c r="T244" s="59" t="str">
        <f t="shared" ca="1" si="260"/>
        <v/>
      </c>
      <c r="U244" s="59" t="str">
        <f t="shared" ca="1" si="260"/>
        <v/>
      </c>
    </row>
    <row r="245" spans="1:21" ht="15" thickBot="1" x14ac:dyDescent="0.35">
      <c r="A245" s="68"/>
      <c r="B245" s="21"/>
      <c r="C245" s="61"/>
      <c r="D245" s="61"/>
      <c r="E245" s="67"/>
      <c r="F245" s="69" t="str">
        <f t="shared" ca="1" si="210"/>
        <v/>
      </c>
      <c r="G245" s="64" t="str">
        <f t="shared" ca="1" si="211"/>
        <v/>
      </c>
      <c r="H245" s="70" t="str">
        <f t="shared" si="212"/>
        <v/>
      </c>
      <c r="I245" s="66" t="str">
        <f t="shared" si="213"/>
        <v/>
      </c>
      <c r="J245" s="59" t="str">
        <f t="shared" ref="J245:U245" ca="1" si="261">IF($A245="","",
IF($C245&gt;J$3+6,0,IF($D245&gt;=J$3,$I245*5,0)
-IF($D245&gt;=J$3,IF(K$3&gt;$D245,NETWORKDAYS($D245,K$3)-2,0)*$I245,0)
-IF(AND($C245&gt;=J$3,$C245&lt;K$3),($C245-J$3)*$I245,0))
-IF(AND(TODAY()&gt;=J$3,TODAY()&lt;K$3),IF(TODAY()&gt;$C245,NETWORKDAYS($C245,TODAY()-1)*$I245,0),0)
)</f>
        <v/>
      </c>
      <c r="K245" s="59" t="str">
        <f t="shared" ca="1" si="261"/>
        <v/>
      </c>
      <c r="L245" s="59" t="str">
        <f t="shared" ca="1" si="261"/>
        <v/>
      </c>
      <c r="M245" s="59" t="str">
        <f t="shared" ca="1" si="261"/>
        <v/>
      </c>
      <c r="N245" s="59" t="str">
        <f t="shared" ca="1" si="261"/>
        <v/>
      </c>
      <c r="O245" s="59" t="str">
        <f t="shared" ca="1" si="261"/>
        <v/>
      </c>
      <c r="P245" s="59" t="str">
        <f t="shared" ca="1" si="261"/>
        <v/>
      </c>
      <c r="Q245" s="59" t="str">
        <f t="shared" ca="1" si="261"/>
        <v/>
      </c>
      <c r="R245" s="59" t="str">
        <f t="shared" ca="1" si="261"/>
        <v/>
      </c>
      <c r="S245" s="59" t="str">
        <f t="shared" ca="1" si="261"/>
        <v/>
      </c>
      <c r="T245" s="59" t="str">
        <f t="shared" ca="1" si="261"/>
        <v/>
      </c>
      <c r="U245" s="59" t="str">
        <f t="shared" ca="1" si="261"/>
        <v/>
      </c>
    </row>
    <row r="246" spans="1:21" ht="15" thickBot="1" x14ac:dyDescent="0.35">
      <c r="A246" s="68"/>
      <c r="B246" s="21"/>
      <c r="C246" s="61"/>
      <c r="D246" s="61"/>
      <c r="E246" s="67"/>
      <c r="F246" s="69" t="str">
        <f t="shared" ca="1" si="210"/>
        <v/>
      </c>
      <c r="G246" s="64" t="str">
        <f t="shared" ca="1" si="211"/>
        <v/>
      </c>
      <c r="H246" s="70" t="str">
        <f t="shared" si="212"/>
        <v/>
      </c>
      <c r="I246" s="66" t="str">
        <f t="shared" si="213"/>
        <v/>
      </c>
      <c r="J246" s="59" t="str">
        <f t="shared" ref="J246:U246" ca="1" si="262">IF($A246="","",
IF($C246&gt;J$3+6,0,IF($D246&gt;=J$3,$I246*5,0)
-IF($D246&gt;=J$3,IF(K$3&gt;$D246,NETWORKDAYS($D246,K$3)-2,0)*$I246,0)
-IF(AND($C246&gt;=J$3,$C246&lt;K$3),($C246-J$3)*$I246,0))
-IF(AND(TODAY()&gt;=J$3,TODAY()&lt;K$3),IF(TODAY()&gt;$C246,NETWORKDAYS($C246,TODAY()-1)*$I246,0),0)
)</f>
        <v/>
      </c>
      <c r="K246" s="59" t="str">
        <f t="shared" ca="1" si="262"/>
        <v/>
      </c>
      <c r="L246" s="59" t="str">
        <f t="shared" ca="1" si="262"/>
        <v/>
      </c>
      <c r="M246" s="59" t="str">
        <f t="shared" ca="1" si="262"/>
        <v/>
      </c>
      <c r="N246" s="59" t="str">
        <f t="shared" ca="1" si="262"/>
        <v/>
      </c>
      <c r="O246" s="59" t="str">
        <f t="shared" ca="1" si="262"/>
        <v/>
      </c>
      <c r="P246" s="59" t="str">
        <f t="shared" ca="1" si="262"/>
        <v/>
      </c>
      <c r="Q246" s="59" t="str">
        <f t="shared" ca="1" si="262"/>
        <v/>
      </c>
      <c r="R246" s="59" t="str">
        <f t="shared" ca="1" si="262"/>
        <v/>
      </c>
      <c r="S246" s="59" t="str">
        <f t="shared" ca="1" si="262"/>
        <v/>
      </c>
      <c r="T246" s="59" t="str">
        <f t="shared" ca="1" si="262"/>
        <v/>
      </c>
      <c r="U246" s="59" t="str">
        <f t="shared" ca="1" si="262"/>
        <v/>
      </c>
    </row>
    <row r="247" spans="1:21" ht="15" thickBot="1" x14ac:dyDescent="0.35">
      <c r="A247" s="68"/>
      <c r="B247" s="21"/>
      <c r="C247" s="61"/>
      <c r="D247" s="61"/>
      <c r="E247" s="67"/>
      <c r="F247" s="69" t="str">
        <f t="shared" ca="1" si="210"/>
        <v/>
      </c>
      <c r="G247" s="64" t="str">
        <f t="shared" ca="1" si="211"/>
        <v/>
      </c>
      <c r="H247" s="70" t="str">
        <f t="shared" si="212"/>
        <v/>
      </c>
      <c r="I247" s="66" t="str">
        <f t="shared" si="213"/>
        <v/>
      </c>
      <c r="J247" s="59" t="str">
        <f t="shared" ref="J247:U247" ca="1" si="263">IF($A247="","",
IF($C247&gt;J$3+6,0,IF($D247&gt;=J$3,$I247*5,0)
-IF($D247&gt;=J$3,IF(K$3&gt;$D247,NETWORKDAYS($D247,K$3)-2,0)*$I247,0)
-IF(AND($C247&gt;=J$3,$C247&lt;K$3),($C247-J$3)*$I247,0))
-IF(AND(TODAY()&gt;=J$3,TODAY()&lt;K$3),IF(TODAY()&gt;$C247,NETWORKDAYS($C247,TODAY()-1)*$I247,0),0)
)</f>
        <v/>
      </c>
      <c r="K247" s="59" t="str">
        <f t="shared" ca="1" si="263"/>
        <v/>
      </c>
      <c r="L247" s="59" t="str">
        <f t="shared" ca="1" si="263"/>
        <v/>
      </c>
      <c r="M247" s="59" t="str">
        <f t="shared" ca="1" si="263"/>
        <v/>
      </c>
      <c r="N247" s="59" t="str">
        <f t="shared" ca="1" si="263"/>
        <v/>
      </c>
      <c r="O247" s="59" t="str">
        <f t="shared" ca="1" si="263"/>
        <v/>
      </c>
      <c r="P247" s="59" t="str">
        <f t="shared" ca="1" si="263"/>
        <v/>
      </c>
      <c r="Q247" s="59" t="str">
        <f t="shared" ca="1" si="263"/>
        <v/>
      </c>
      <c r="R247" s="59" t="str">
        <f t="shared" ca="1" si="263"/>
        <v/>
      </c>
      <c r="S247" s="59" t="str">
        <f t="shared" ca="1" si="263"/>
        <v/>
      </c>
      <c r="T247" s="59" t="str">
        <f t="shared" ca="1" si="263"/>
        <v/>
      </c>
      <c r="U247" s="59" t="str">
        <f t="shared" ca="1" si="263"/>
        <v/>
      </c>
    </row>
    <row r="248" spans="1:21" ht="15" thickBot="1" x14ac:dyDescent="0.35">
      <c r="A248" s="68"/>
      <c r="B248" s="21"/>
      <c r="C248" s="61"/>
      <c r="D248" s="61"/>
      <c r="E248" s="67"/>
      <c r="F248" s="69" t="str">
        <f t="shared" ca="1" si="210"/>
        <v/>
      </c>
      <c r="G248" s="64" t="str">
        <f t="shared" ca="1" si="211"/>
        <v/>
      </c>
      <c r="H248" s="70" t="str">
        <f t="shared" si="212"/>
        <v/>
      </c>
      <c r="I248" s="66" t="str">
        <f t="shared" si="213"/>
        <v/>
      </c>
      <c r="J248" s="59" t="str">
        <f t="shared" ref="J248:U248" ca="1" si="264">IF($A248="","",
IF($C248&gt;J$3+6,0,IF($D248&gt;=J$3,$I248*5,0)
-IF($D248&gt;=J$3,IF(K$3&gt;$D248,NETWORKDAYS($D248,K$3)-2,0)*$I248,0)
-IF(AND($C248&gt;=J$3,$C248&lt;K$3),($C248-J$3)*$I248,0))
-IF(AND(TODAY()&gt;=J$3,TODAY()&lt;K$3),IF(TODAY()&gt;$C248,NETWORKDAYS($C248,TODAY()-1)*$I248,0),0)
)</f>
        <v/>
      </c>
      <c r="K248" s="59" t="str">
        <f t="shared" ca="1" si="264"/>
        <v/>
      </c>
      <c r="L248" s="59" t="str">
        <f t="shared" ca="1" si="264"/>
        <v/>
      </c>
      <c r="M248" s="59" t="str">
        <f t="shared" ca="1" si="264"/>
        <v/>
      </c>
      <c r="N248" s="59" t="str">
        <f t="shared" ca="1" si="264"/>
        <v/>
      </c>
      <c r="O248" s="59" t="str">
        <f t="shared" ca="1" si="264"/>
        <v/>
      </c>
      <c r="P248" s="59" t="str">
        <f t="shared" ca="1" si="264"/>
        <v/>
      </c>
      <c r="Q248" s="59" t="str">
        <f t="shared" ca="1" si="264"/>
        <v/>
      </c>
      <c r="R248" s="59" t="str">
        <f t="shared" ca="1" si="264"/>
        <v/>
      </c>
      <c r="S248" s="59" t="str">
        <f t="shared" ca="1" si="264"/>
        <v/>
      </c>
      <c r="T248" s="59" t="str">
        <f t="shared" ca="1" si="264"/>
        <v/>
      </c>
      <c r="U248" s="59" t="str">
        <f t="shared" ca="1" si="264"/>
        <v/>
      </c>
    </row>
    <row r="249" spans="1:21" ht="15" thickBot="1" x14ac:dyDescent="0.35">
      <c r="A249" s="68"/>
      <c r="B249" s="21"/>
      <c r="C249" s="61"/>
      <c r="D249" s="61"/>
      <c r="E249" s="67"/>
      <c r="F249" s="69" t="str">
        <f t="shared" ca="1" si="210"/>
        <v/>
      </c>
      <c r="G249" s="64" t="str">
        <f t="shared" ca="1" si="211"/>
        <v/>
      </c>
      <c r="H249" s="70" t="str">
        <f t="shared" si="212"/>
        <v/>
      </c>
      <c r="I249" s="66" t="str">
        <f t="shared" si="213"/>
        <v/>
      </c>
      <c r="J249" s="59" t="str">
        <f t="shared" ref="J249:U249" ca="1" si="265">IF($A249="","",
IF($C249&gt;J$3+6,0,IF($D249&gt;=J$3,$I249*5,0)
-IF($D249&gt;=J$3,IF(K$3&gt;$D249,NETWORKDAYS($D249,K$3)-2,0)*$I249,0)
-IF(AND($C249&gt;=J$3,$C249&lt;K$3),($C249-J$3)*$I249,0))
-IF(AND(TODAY()&gt;=J$3,TODAY()&lt;K$3),IF(TODAY()&gt;$C249,NETWORKDAYS($C249,TODAY()-1)*$I249,0),0)
)</f>
        <v/>
      </c>
      <c r="K249" s="59" t="str">
        <f t="shared" ca="1" si="265"/>
        <v/>
      </c>
      <c r="L249" s="59" t="str">
        <f t="shared" ca="1" si="265"/>
        <v/>
      </c>
      <c r="M249" s="59" t="str">
        <f t="shared" ca="1" si="265"/>
        <v/>
      </c>
      <c r="N249" s="59" t="str">
        <f t="shared" ca="1" si="265"/>
        <v/>
      </c>
      <c r="O249" s="59" t="str">
        <f t="shared" ca="1" si="265"/>
        <v/>
      </c>
      <c r="P249" s="59" t="str">
        <f t="shared" ca="1" si="265"/>
        <v/>
      </c>
      <c r="Q249" s="59" t="str">
        <f t="shared" ca="1" si="265"/>
        <v/>
      </c>
      <c r="R249" s="59" t="str">
        <f t="shared" ca="1" si="265"/>
        <v/>
      </c>
      <c r="S249" s="59" t="str">
        <f t="shared" ca="1" si="265"/>
        <v/>
      </c>
      <c r="T249" s="59" t="str">
        <f t="shared" ca="1" si="265"/>
        <v/>
      </c>
      <c r="U249" s="59" t="str">
        <f t="shared" ca="1" si="265"/>
        <v/>
      </c>
    </row>
    <row r="250" spans="1:21" ht="15" thickBot="1" x14ac:dyDescent="0.35">
      <c r="A250" s="68"/>
      <c r="B250" s="21"/>
      <c r="C250" s="61"/>
      <c r="D250" s="61"/>
      <c r="E250" s="67"/>
      <c r="F250" s="69" t="str">
        <f t="shared" ca="1" si="210"/>
        <v/>
      </c>
      <c r="G250" s="64" t="str">
        <f t="shared" ca="1" si="211"/>
        <v/>
      </c>
      <c r="H250" s="70" t="str">
        <f t="shared" si="212"/>
        <v/>
      </c>
      <c r="I250" s="66" t="str">
        <f t="shared" si="213"/>
        <v/>
      </c>
      <c r="J250" s="59" t="str">
        <f t="shared" ref="J250:U250" ca="1" si="266">IF($A250="","",
IF($C250&gt;J$3+6,0,IF($D250&gt;=J$3,$I250*5,0)
-IF($D250&gt;=J$3,IF(K$3&gt;$D250,NETWORKDAYS($D250,K$3)-2,0)*$I250,0)
-IF(AND($C250&gt;=J$3,$C250&lt;K$3),($C250-J$3)*$I250,0))
-IF(AND(TODAY()&gt;=J$3,TODAY()&lt;K$3),IF(TODAY()&gt;$C250,NETWORKDAYS($C250,TODAY()-1)*$I250,0),0)
)</f>
        <v/>
      </c>
      <c r="K250" s="59" t="str">
        <f t="shared" ca="1" si="266"/>
        <v/>
      </c>
      <c r="L250" s="59" t="str">
        <f t="shared" ca="1" si="266"/>
        <v/>
      </c>
      <c r="M250" s="59" t="str">
        <f t="shared" ca="1" si="266"/>
        <v/>
      </c>
      <c r="N250" s="59" t="str">
        <f t="shared" ca="1" si="266"/>
        <v/>
      </c>
      <c r="O250" s="59" t="str">
        <f t="shared" ca="1" si="266"/>
        <v/>
      </c>
      <c r="P250" s="59" t="str">
        <f t="shared" ca="1" si="266"/>
        <v/>
      </c>
      <c r="Q250" s="59" t="str">
        <f t="shared" ca="1" si="266"/>
        <v/>
      </c>
      <c r="R250" s="59" t="str">
        <f t="shared" ca="1" si="266"/>
        <v/>
      </c>
      <c r="S250" s="59" t="str">
        <f t="shared" ca="1" si="266"/>
        <v/>
      </c>
      <c r="T250" s="59" t="str">
        <f t="shared" ca="1" si="266"/>
        <v/>
      </c>
      <c r="U250" s="59" t="str">
        <f t="shared" ca="1" si="266"/>
        <v/>
      </c>
    </row>
    <row r="251" spans="1:21" ht="15" thickBot="1" x14ac:dyDescent="0.35">
      <c r="A251" s="68"/>
      <c r="B251" s="21"/>
      <c r="C251" s="61"/>
      <c r="D251" s="61"/>
      <c r="E251" s="67"/>
      <c r="F251" s="69" t="str">
        <f t="shared" ca="1" si="210"/>
        <v/>
      </c>
      <c r="G251" s="64" t="str">
        <f t="shared" ca="1" si="211"/>
        <v/>
      </c>
      <c r="H251" s="70" t="str">
        <f t="shared" si="212"/>
        <v/>
      </c>
      <c r="I251" s="66" t="str">
        <f t="shared" si="213"/>
        <v/>
      </c>
      <c r="J251" s="59" t="str">
        <f t="shared" ref="J251:U251" ca="1" si="267">IF($A251="","",
IF($C251&gt;J$3+6,0,IF($D251&gt;=J$3,$I251*5,0)
-IF($D251&gt;=J$3,IF(K$3&gt;$D251,NETWORKDAYS($D251,K$3)-2,0)*$I251,0)
-IF(AND($C251&gt;=J$3,$C251&lt;K$3),($C251-J$3)*$I251,0))
-IF(AND(TODAY()&gt;=J$3,TODAY()&lt;K$3),IF(TODAY()&gt;$C251,NETWORKDAYS($C251,TODAY()-1)*$I251,0),0)
)</f>
        <v/>
      </c>
      <c r="K251" s="59" t="str">
        <f t="shared" ca="1" si="267"/>
        <v/>
      </c>
      <c r="L251" s="59" t="str">
        <f t="shared" ca="1" si="267"/>
        <v/>
      </c>
      <c r="M251" s="59" t="str">
        <f t="shared" ca="1" si="267"/>
        <v/>
      </c>
      <c r="N251" s="59" t="str">
        <f t="shared" ca="1" si="267"/>
        <v/>
      </c>
      <c r="O251" s="59" t="str">
        <f t="shared" ca="1" si="267"/>
        <v/>
      </c>
      <c r="P251" s="59" t="str">
        <f t="shared" ca="1" si="267"/>
        <v/>
      </c>
      <c r="Q251" s="59" t="str">
        <f t="shared" ca="1" si="267"/>
        <v/>
      </c>
      <c r="R251" s="59" t="str">
        <f t="shared" ca="1" si="267"/>
        <v/>
      </c>
      <c r="S251" s="59" t="str">
        <f t="shared" ca="1" si="267"/>
        <v/>
      </c>
      <c r="T251" s="59" t="str">
        <f t="shared" ca="1" si="267"/>
        <v/>
      </c>
      <c r="U251" s="59" t="str">
        <f t="shared" ca="1" si="267"/>
        <v/>
      </c>
    </row>
    <row r="252" spans="1:21" ht="15" thickBot="1" x14ac:dyDescent="0.35">
      <c r="A252" s="68"/>
      <c r="B252" s="21"/>
      <c r="C252" s="61"/>
      <c r="D252" s="61"/>
      <c r="E252" s="67"/>
      <c r="F252" s="69" t="str">
        <f t="shared" ca="1" si="210"/>
        <v/>
      </c>
      <c r="G252" s="64" t="str">
        <f t="shared" ca="1" si="211"/>
        <v/>
      </c>
      <c r="H252" s="70" t="str">
        <f t="shared" si="212"/>
        <v/>
      </c>
      <c r="I252" s="66" t="str">
        <f t="shared" si="213"/>
        <v/>
      </c>
      <c r="J252" s="59" t="str">
        <f t="shared" ref="J252:U252" ca="1" si="268">IF($A252="","",
IF($C252&gt;J$3+6,0,IF($D252&gt;=J$3,$I252*5,0)
-IF($D252&gt;=J$3,IF(K$3&gt;$D252,NETWORKDAYS($D252,K$3)-2,0)*$I252,0)
-IF(AND($C252&gt;=J$3,$C252&lt;K$3),($C252-J$3)*$I252,0))
-IF(AND(TODAY()&gt;=J$3,TODAY()&lt;K$3),IF(TODAY()&gt;$C252,NETWORKDAYS($C252,TODAY()-1)*$I252,0),0)
)</f>
        <v/>
      </c>
      <c r="K252" s="59" t="str">
        <f t="shared" ca="1" si="268"/>
        <v/>
      </c>
      <c r="L252" s="59" t="str">
        <f t="shared" ca="1" si="268"/>
        <v/>
      </c>
      <c r="M252" s="59" t="str">
        <f t="shared" ca="1" si="268"/>
        <v/>
      </c>
      <c r="N252" s="59" t="str">
        <f t="shared" ca="1" si="268"/>
        <v/>
      </c>
      <c r="O252" s="59" t="str">
        <f t="shared" ca="1" si="268"/>
        <v/>
      </c>
      <c r="P252" s="59" t="str">
        <f t="shared" ca="1" si="268"/>
        <v/>
      </c>
      <c r="Q252" s="59" t="str">
        <f t="shared" ca="1" si="268"/>
        <v/>
      </c>
      <c r="R252" s="59" t="str">
        <f t="shared" ca="1" si="268"/>
        <v/>
      </c>
      <c r="S252" s="59" t="str">
        <f t="shared" ca="1" si="268"/>
        <v/>
      </c>
      <c r="T252" s="59" t="str">
        <f t="shared" ca="1" si="268"/>
        <v/>
      </c>
      <c r="U252" s="59" t="str">
        <f t="shared" ca="1" si="268"/>
        <v/>
      </c>
    </row>
    <row r="253" spans="1:21" ht="15" thickBot="1" x14ac:dyDescent="0.35">
      <c r="A253" s="68"/>
      <c r="B253" s="21"/>
      <c r="C253" s="61"/>
      <c r="D253" s="61"/>
      <c r="E253" s="67"/>
      <c r="F253" s="69" t="str">
        <f t="shared" ca="1" si="210"/>
        <v/>
      </c>
      <c r="G253" s="64" t="str">
        <f t="shared" ca="1" si="211"/>
        <v/>
      </c>
      <c r="H253" s="70" t="str">
        <f t="shared" si="212"/>
        <v/>
      </c>
      <c r="I253" s="66" t="str">
        <f t="shared" si="213"/>
        <v/>
      </c>
      <c r="J253" s="59" t="str">
        <f t="shared" ref="J253:U253" ca="1" si="269">IF($A253="","",
IF($C253&gt;J$3+6,0,IF($D253&gt;=J$3,$I253*5,0)
-IF($D253&gt;=J$3,IF(K$3&gt;$D253,NETWORKDAYS($D253,K$3)-2,0)*$I253,0)
-IF(AND($C253&gt;=J$3,$C253&lt;K$3),($C253-J$3)*$I253,0))
-IF(AND(TODAY()&gt;=J$3,TODAY()&lt;K$3),IF(TODAY()&gt;$C253,NETWORKDAYS($C253,TODAY()-1)*$I253,0),0)
)</f>
        <v/>
      </c>
      <c r="K253" s="59" t="str">
        <f t="shared" ca="1" si="269"/>
        <v/>
      </c>
      <c r="L253" s="59" t="str">
        <f t="shared" ca="1" si="269"/>
        <v/>
      </c>
      <c r="M253" s="59" t="str">
        <f t="shared" ca="1" si="269"/>
        <v/>
      </c>
      <c r="N253" s="59" t="str">
        <f t="shared" ca="1" si="269"/>
        <v/>
      </c>
      <c r="O253" s="59" t="str">
        <f t="shared" ca="1" si="269"/>
        <v/>
      </c>
      <c r="P253" s="59" t="str">
        <f t="shared" ca="1" si="269"/>
        <v/>
      </c>
      <c r="Q253" s="59" t="str">
        <f t="shared" ca="1" si="269"/>
        <v/>
      </c>
      <c r="R253" s="59" t="str">
        <f t="shared" ca="1" si="269"/>
        <v/>
      </c>
      <c r="S253" s="59" t="str">
        <f t="shared" ca="1" si="269"/>
        <v/>
      </c>
      <c r="T253" s="59" t="str">
        <f t="shared" ca="1" si="269"/>
        <v/>
      </c>
      <c r="U253" s="59" t="str">
        <f t="shared" ca="1" si="269"/>
        <v/>
      </c>
    </row>
    <row r="254" spans="1:21" ht="15" thickBot="1" x14ac:dyDescent="0.35">
      <c r="A254" s="68"/>
      <c r="B254" s="21"/>
      <c r="C254" s="61"/>
      <c r="D254" s="61"/>
      <c r="E254" s="67"/>
      <c r="F254" s="69" t="str">
        <f t="shared" ca="1" si="210"/>
        <v/>
      </c>
      <c r="G254" s="64" t="str">
        <f t="shared" ca="1" si="211"/>
        <v/>
      </c>
      <c r="H254" s="70" t="str">
        <f t="shared" si="212"/>
        <v/>
      </c>
      <c r="I254" s="66" t="str">
        <f t="shared" si="213"/>
        <v/>
      </c>
      <c r="J254" s="59" t="str">
        <f t="shared" ref="J254:U254" ca="1" si="270">IF($A254="","",
IF($C254&gt;J$3+6,0,IF($D254&gt;=J$3,$I254*5,0)
-IF($D254&gt;=J$3,IF(K$3&gt;$D254,NETWORKDAYS($D254,K$3)-2,0)*$I254,0)
-IF(AND($C254&gt;=J$3,$C254&lt;K$3),($C254-J$3)*$I254,0))
-IF(AND(TODAY()&gt;=J$3,TODAY()&lt;K$3),IF(TODAY()&gt;$C254,NETWORKDAYS($C254,TODAY()-1)*$I254,0),0)
)</f>
        <v/>
      </c>
      <c r="K254" s="59" t="str">
        <f t="shared" ca="1" si="270"/>
        <v/>
      </c>
      <c r="L254" s="59" t="str">
        <f t="shared" ca="1" si="270"/>
        <v/>
      </c>
      <c r="M254" s="59" t="str">
        <f t="shared" ca="1" si="270"/>
        <v/>
      </c>
      <c r="N254" s="59" t="str">
        <f t="shared" ca="1" si="270"/>
        <v/>
      </c>
      <c r="O254" s="59" t="str">
        <f t="shared" ca="1" si="270"/>
        <v/>
      </c>
      <c r="P254" s="59" t="str">
        <f t="shared" ca="1" si="270"/>
        <v/>
      </c>
      <c r="Q254" s="59" t="str">
        <f t="shared" ca="1" si="270"/>
        <v/>
      </c>
      <c r="R254" s="59" t="str">
        <f t="shared" ca="1" si="270"/>
        <v/>
      </c>
      <c r="S254" s="59" t="str">
        <f t="shared" ca="1" si="270"/>
        <v/>
      </c>
      <c r="T254" s="59" t="str">
        <f t="shared" ca="1" si="270"/>
        <v/>
      </c>
      <c r="U254" s="59" t="str">
        <f t="shared" ca="1" si="270"/>
        <v/>
      </c>
    </row>
    <row r="255" spans="1:21" ht="15" thickBot="1" x14ac:dyDescent="0.35">
      <c r="A255" s="68"/>
      <c r="B255" s="21"/>
      <c r="C255" s="61"/>
      <c r="D255" s="61"/>
      <c r="E255" s="67"/>
      <c r="F255" s="69" t="str">
        <f t="shared" ca="1" si="210"/>
        <v/>
      </c>
      <c r="G255" s="64" t="str">
        <f t="shared" ca="1" si="211"/>
        <v/>
      </c>
      <c r="H255" s="70" t="str">
        <f t="shared" si="212"/>
        <v/>
      </c>
      <c r="I255" s="66" t="str">
        <f t="shared" si="213"/>
        <v/>
      </c>
      <c r="J255" s="59" t="str">
        <f t="shared" ref="J255:U255" ca="1" si="271">IF($A255="","",
IF($C255&gt;J$3+6,0,IF($D255&gt;=J$3,$I255*5,0)
-IF($D255&gt;=J$3,IF(K$3&gt;$D255,NETWORKDAYS($D255,K$3)-2,0)*$I255,0)
-IF(AND($C255&gt;=J$3,$C255&lt;K$3),($C255-J$3)*$I255,0))
-IF(AND(TODAY()&gt;=J$3,TODAY()&lt;K$3),IF(TODAY()&gt;$C255,NETWORKDAYS($C255,TODAY()-1)*$I255,0),0)
)</f>
        <v/>
      </c>
      <c r="K255" s="59" t="str">
        <f t="shared" ca="1" si="271"/>
        <v/>
      </c>
      <c r="L255" s="59" t="str">
        <f t="shared" ca="1" si="271"/>
        <v/>
      </c>
      <c r="M255" s="59" t="str">
        <f t="shared" ca="1" si="271"/>
        <v/>
      </c>
      <c r="N255" s="59" t="str">
        <f t="shared" ca="1" si="271"/>
        <v/>
      </c>
      <c r="O255" s="59" t="str">
        <f t="shared" ca="1" si="271"/>
        <v/>
      </c>
      <c r="P255" s="59" t="str">
        <f t="shared" ca="1" si="271"/>
        <v/>
      </c>
      <c r="Q255" s="59" t="str">
        <f t="shared" ca="1" si="271"/>
        <v/>
      </c>
      <c r="R255" s="59" t="str">
        <f t="shared" ca="1" si="271"/>
        <v/>
      </c>
      <c r="S255" s="59" t="str">
        <f t="shared" ca="1" si="271"/>
        <v/>
      </c>
      <c r="T255" s="59" t="str">
        <f t="shared" ca="1" si="271"/>
        <v/>
      </c>
      <c r="U255" s="59" t="str">
        <f t="shared" ca="1" si="271"/>
        <v/>
      </c>
    </row>
    <row r="256" spans="1:21" ht="15" thickBot="1" x14ac:dyDescent="0.35">
      <c r="A256" s="68"/>
      <c r="B256" s="21"/>
      <c r="C256" s="61"/>
      <c r="D256" s="61"/>
      <c r="E256" s="67"/>
      <c r="F256" s="69" t="str">
        <f t="shared" ca="1" si="210"/>
        <v/>
      </c>
      <c r="G256" s="64" t="str">
        <f t="shared" ca="1" si="211"/>
        <v/>
      </c>
      <c r="H256" s="70" t="str">
        <f t="shared" si="212"/>
        <v/>
      </c>
      <c r="I256" s="66" t="str">
        <f t="shared" si="213"/>
        <v/>
      </c>
      <c r="J256" s="59" t="str">
        <f t="shared" ref="J256:U256" ca="1" si="272">IF($A256="","",
IF($C256&gt;J$3+6,0,IF($D256&gt;=J$3,$I256*5,0)
-IF($D256&gt;=J$3,IF(K$3&gt;$D256,NETWORKDAYS($D256,K$3)-2,0)*$I256,0)
-IF(AND($C256&gt;=J$3,$C256&lt;K$3),($C256-J$3)*$I256,0))
-IF(AND(TODAY()&gt;=J$3,TODAY()&lt;K$3),IF(TODAY()&gt;$C256,NETWORKDAYS($C256,TODAY()-1)*$I256,0),0)
)</f>
        <v/>
      </c>
      <c r="K256" s="59" t="str">
        <f t="shared" ca="1" si="272"/>
        <v/>
      </c>
      <c r="L256" s="59" t="str">
        <f t="shared" ca="1" si="272"/>
        <v/>
      </c>
      <c r="M256" s="59" t="str">
        <f t="shared" ca="1" si="272"/>
        <v/>
      </c>
      <c r="N256" s="59" t="str">
        <f t="shared" ca="1" si="272"/>
        <v/>
      </c>
      <c r="O256" s="59" t="str">
        <f t="shared" ca="1" si="272"/>
        <v/>
      </c>
      <c r="P256" s="59" t="str">
        <f t="shared" ca="1" si="272"/>
        <v/>
      </c>
      <c r="Q256" s="59" t="str">
        <f t="shared" ca="1" si="272"/>
        <v/>
      </c>
      <c r="R256" s="59" t="str">
        <f t="shared" ca="1" si="272"/>
        <v/>
      </c>
      <c r="S256" s="59" t="str">
        <f t="shared" ca="1" si="272"/>
        <v/>
      </c>
      <c r="T256" s="59" t="str">
        <f t="shared" ca="1" si="272"/>
        <v/>
      </c>
      <c r="U256" s="59" t="str">
        <f t="shared" ca="1" si="272"/>
        <v/>
      </c>
    </row>
    <row r="257" spans="1:21" ht="15" thickBot="1" x14ac:dyDescent="0.35">
      <c r="A257" s="68"/>
      <c r="B257" s="21"/>
      <c r="C257" s="61"/>
      <c r="D257" s="61"/>
      <c r="E257" s="67"/>
      <c r="F257" s="69" t="str">
        <f t="shared" ca="1" si="210"/>
        <v/>
      </c>
      <c r="G257" s="64" t="str">
        <f t="shared" ca="1" si="211"/>
        <v/>
      </c>
      <c r="H257" s="70" t="str">
        <f t="shared" si="212"/>
        <v/>
      </c>
      <c r="I257" s="66" t="str">
        <f t="shared" si="213"/>
        <v/>
      </c>
      <c r="J257" s="59" t="str">
        <f t="shared" ref="J257:U257" ca="1" si="273">IF($A257="","",
IF($C257&gt;J$3+6,0,IF($D257&gt;=J$3,$I257*5,0)
-IF($D257&gt;=J$3,IF(K$3&gt;$D257,NETWORKDAYS($D257,K$3)-2,0)*$I257,0)
-IF(AND($C257&gt;=J$3,$C257&lt;K$3),($C257-J$3)*$I257,0))
-IF(AND(TODAY()&gt;=J$3,TODAY()&lt;K$3),IF(TODAY()&gt;$C257,NETWORKDAYS($C257,TODAY()-1)*$I257,0),0)
)</f>
        <v/>
      </c>
      <c r="K257" s="59" t="str">
        <f t="shared" ca="1" si="273"/>
        <v/>
      </c>
      <c r="L257" s="59" t="str">
        <f t="shared" ca="1" si="273"/>
        <v/>
      </c>
      <c r="M257" s="59" t="str">
        <f t="shared" ca="1" si="273"/>
        <v/>
      </c>
      <c r="N257" s="59" t="str">
        <f t="shared" ca="1" si="273"/>
        <v/>
      </c>
      <c r="O257" s="59" t="str">
        <f t="shared" ca="1" si="273"/>
        <v/>
      </c>
      <c r="P257" s="59" t="str">
        <f t="shared" ca="1" si="273"/>
        <v/>
      </c>
      <c r="Q257" s="59" t="str">
        <f t="shared" ca="1" si="273"/>
        <v/>
      </c>
      <c r="R257" s="59" t="str">
        <f t="shared" ca="1" si="273"/>
        <v/>
      </c>
      <c r="S257" s="59" t="str">
        <f t="shared" ca="1" si="273"/>
        <v/>
      </c>
      <c r="T257" s="59" t="str">
        <f t="shared" ca="1" si="273"/>
        <v/>
      </c>
      <c r="U257" s="59" t="str">
        <f t="shared" ca="1" si="273"/>
        <v/>
      </c>
    </row>
    <row r="258" spans="1:21" ht="15" thickBot="1" x14ac:dyDescent="0.35">
      <c r="A258" s="68"/>
      <c r="B258" s="21"/>
      <c r="C258" s="61"/>
      <c r="D258" s="61"/>
      <c r="E258" s="67"/>
      <c r="F258" s="69" t="str">
        <f t="shared" ca="1" si="210"/>
        <v/>
      </c>
      <c r="G258" s="64" t="str">
        <f t="shared" ca="1" si="211"/>
        <v/>
      </c>
      <c r="H258" s="70" t="str">
        <f t="shared" si="212"/>
        <v/>
      </c>
      <c r="I258" s="66" t="str">
        <f t="shared" si="213"/>
        <v/>
      </c>
      <c r="J258" s="59" t="str">
        <f t="shared" ref="J258:U258" ca="1" si="274">IF($A258="","",
IF($C258&gt;J$3+6,0,IF($D258&gt;=J$3,$I258*5,0)
-IF($D258&gt;=J$3,IF(K$3&gt;$D258,NETWORKDAYS($D258,K$3)-2,0)*$I258,0)
-IF(AND($C258&gt;=J$3,$C258&lt;K$3),($C258-J$3)*$I258,0))
-IF(AND(TODAY()&gt;=J$3,TODAY()&lt;K$3),IF(TODAY()&gt;$C258,NETWORKDAYS($C258,TODAY()-1)*$I258,0),0)
)</f>
        <v/>
      </c>
      <c r="K258" s="59" t="str">
        <f t="shared" ca="1" si="274"/>
        <v/>
      </c>
      <c r="L258" s="59" t="str">
        <f t="shared" ca="1" si="274"/>
        <v/>
      </c>
      <c r="M258" s="59" t="str">
        <f t="shared" ca="1" si="274"/>
        <v/>
      </c>
      <c r="N258" s="59" t="str">
        <f t="shared" ca="1" si="274"/>
        <v/>
      </c>
      <c r="O258" s="59" t="str">
        <f t="shared" ca="1" si="274"/>
        <v/>
      </c>
      <c r="P258" s="59" t="str">
        <f t="shared" ca="1" si="274"/>
        <v/>
      </c>
      <c r="Q258" s="59" t="str">
        <f t="shared" ca="1" si="274"/>
        <v/>
      </c>
      <c r="R258" s="59" t="str">
        <f t="shared" ca="1" si="274"/>
        <v/>
      </c>
      <c r="S258" s="59" t="str">
        <f t="shared" ca="1" si="274"/>
        <v/>
      </c>
      <c r="T258" s="59" t="str">
        <f t="shared" ca="1" si="274"/>
        <v/>
      </c>
      <c r="U258" s="59" t="str">
        <f t="shared" ca="1" si="274"/>
        <v/>
      </c>
    </row>
    <row r="259" spans="1:21" ht="15" thickBot="1" x14ac:dyDescent="0.35">
      <c r="A259" s="68"/>
      <c r="B259" s="21"/>
      <c r="C259" s="61"/>
      <c r="D259" s="61"/>
      <c r="E259" s="67"/>
      <c r="F259" s="69" t="str">
        <f t="shared" ca="1" si="210"/>
        <v/>
      </c>
      <c r="G259" s="64" t="str">
        <f t="shared" ca="1" si="211"/>
        <v/>
      </c>
      <c r="H259" s="70" t="str">
        <f t="shared" si="212"/>
        <v/>
      </c>
      <c r="I259" s="66" t="str">
        <f t="shared" si="213"/>
        <v/>
      </c>
      <c r="J259" s="59" t="str">
        <f t="shared" ref="J259:U259" ca="1" si="275">IF($A259="","",
IF($C259&gt;J$3+6,0,IF($D259&gt;=J$3,$I259*5,0)
-IF($D259&gt;=J$3,IF(K$3&gt;$D259,NETWORKDAYS($D259,K$3)-2,0)*$I259,0)
-IF(AND($C259&gt;=J$3,$C259&lt;K$3),($C259-J$3)*$I259,0))
-IF(AND(TODAY()&gt;=J$3,TODAY()&lt;K$3),IF(TODAY()&gt;$C259,NETWORKDAYS($C259,TODAY()-1)*$I259,0),0)
)</f>
        <v/>
      </c>
      <c r="K259" s="59" t="str">
        <f t="shared" ca="1" si="275"/>
        <v/>
      </c>
      <c r="L259" s="59" t="str">
        <f t="shared" ca="1" si="275"/>
        <v/>
      </c>
      <c r="M259" s="59" t="str">
        <f t="shared" ca="1" si="275"/>
        <v/>
      </c>
      <c r="N259" s="59" t="str">
        <f t="shared" ca="1" si="275"/>
        <v/>
      </c>
      <c r="O259" s="59" t="str">
        <f t="shared" ca="1" si="275"/>
        <v/>
      </c>
      <c r="P259" s="59" t="str">
        <f t="shared" ca="1" si="275"/>
        <v/>
      </c>
      <c r="Q259" s="59" t="str">
        <f t="shared" ca="1" si="275"/>
        <v/>
      </c>
      <c r="R259" s="59" t="str">
        <f t="shared" ca="1" si="275"/>
        <v/>
      </c>
      <c r="S259" s="59" t="str">
        <f t="shared" ca="1" si="275"/>
        <v/>
      </c>
      <c r="T259" s="59" t="str">
        <f t="shared" ca="1" si="275"/>
        <v/>
      </c>
      <c r="U259" s="59" t="str">
        <f t="shared" ca="1" si="275"/>
        <v/>
      </c>
    </row>
    <row r="260" spans="1:21" ht="15" thickBot="1" x14ac:dyDescent="0.35">
      <c r="A260" s="68"/>
      <c r="B260" s="21"/>
      <c r="C260" s="61"/>
      <c r="D260" s="61"/>
      <c r="E260" s="67"/>
      <c r="F260" s="69" t="str">
        <f t="shared" ca="1" si="210"/>
        <v/>
      </c>
      <c r="G260" s="64" t="str">
        <f t="shared" ca="1" si="211"/>
        <v/>
      </c>
      <c r="H260" s="70" t="str">
        <f t="shared" si="212"/>
        <v/>
      </c>
      <c r="I260" s="66" t="str">
        <f t="shared" si="213"/>
        <v/>
      </c>
      <c r="J260" s="59" t="str">
        <f t="shared" ref="J260:U260" ca="1" si="276">IF($A260="","",
IF($C260&gt;J$3+6,0,IF($D260&gt;=J$3,$I260*5,0)
-IF($D260&gt;=J$3,IF(K$3&gt;$D260,NETWORKDAYS($D260,K$3)-2,0)*$I260,0)
-IF(AND($C260&gt;=J$3,$C260&lt;K$3),($C260-J$3)*$I260,0))
-IF(AND(TODAY()&gt;=J$3,TODAY()&lt;K$3),IF(TODAY()&gt;$C260,NETWORKDAYS($C260,TODAY()-1)*$I260,0),0)
)</f>
        <v/>
      </c>
      <c r="K260" s="59" t="str">
        <f t="shared" ca="1" si="276"/>
        <v/>
      </c>
      <c r="L260" s="59" t="str">
        <f t="shared" ca="1" si="276"/>
        <v/>
      </c>
      <c r="M260" s="59" t="str">
        <f t="shared" ca="1" si="276"/>
        <v/>
      </c>
      <c r="N260" s="59" t="str">
        <f t="shared" ca="1" si="276"/>
        <v/>
      </c>
      <c r="O260" s="59" t="str">
        <f t="shared" ca="1" si="276"/>
        <v/>
      </c>
      <c r="P260" s="59" t="str">
        <f t="shared" ca="1" si="276"/>
        <v/>
      </c>
      <c r="Q260" s="59" t="str">
        <f t="shared" ca="1" si="276"/>
        <v/>
      </c>
      <c r="R260" s="59" t="str">
        <f t="shared" ca="1" si="276"/>
        <v/>
      </c>
      <c r="S260" s="59" t="str">
        <f t="shared" ca="1" si="276"/>
        <v/>
      </c>
      <c r="T260" s="59" t="str">
        <f t="shared" ca="1" si="276"/>
        <v/>
      </c>
      <c r="U260" s="59" t="str">
        <f t="shared" ca="1" si="276"/>
        <v/>
      </c>
    </row>
    <row r="261" spans="1:21" ht="15" thickBot="1" x14ac:dyDescent="0.35">
      <c r="A261" s="68"/>
      <c r="B261" s="21"/>
      <c r="C261" s="61"/>
      <c r="D261" s="61"/>
      <c r="E261" s="67"/>
      <c r="F261" s="69" t="str">
        <f t="shared" ca="1" si="210"/>
        <v/>
      </c>
      <c r="G261" s="64" t="str">
        <f t="shared" ca="1" si="211"/>
        <v/>
      </c>
      <c r="H261" s="70" t="str">
        <f t="shared" si="212"/>
        <v/>
      </c>
      <c r="I261" s="66" t="str">
        <f t="shared" si="213"/>
        <v/>
      </c>
      <c r="J261" s="59" t="str">
        <f t="shared" ref="J261:U261" ca="1" si="277">IF($A261="","",
IF($C261&gt;J$3+6,0,IF($D261&gt;=J$3,$I261*5,0)
-IF($D261&gt;=J$3,IF(K$3&gt;$D261,NETWORKDAYS($D261,K$3)-2,0)*$I261,0)
-IF(AND($C261&gt;=J$3,$C261&lt;K$3),($C261-J$3)*$I261,0))
-IF(AND(TODAY()&gt;=J$3,TODAY()&lt;K$3),IF(TODAY()&gt;$C261,NETWORKDAYS($C261,TODAY()-1)*$I261,0),0)
)</f>
        <v/>
      </c>
      <c r="K261" s="59" t="str">
        <f t="shared" ca="1" si="277"/>
        <v/>
      </c>
      <c r="L261" s="59" t="str">
        <f t="shared" ca="1" si="277"/>
        <v/>
      </c>
      <c r="M261" s="59" t="str">
        <f t="shared" ca="1" si="277"/>
        <v/>
      </c>
      <c r="N261" s="59" t="str">
        <f t="shared" ca="1" si="277"/>
        <v/>
      </c>
      <c r="O261" s="59" t="str">
        <f t="shared" ca="1" si="277"/>
        <v/>
      </c>
      <c r="P261" s="59" t="str">
        <f t="shared" ca="1" si="277"/>
        <v/>
      </c>
      <c r="Q261" s="59" t="str">
        <f t="shared" ca="1" si="277"/>
        <v/>
      </c>
      <c r="R261" s="59" t="str">
        <f t="shared" ca="1" si="277"/>
        <v/>
      </c>
      <c r="S261" s="59" t="str">
        <f t="shared" ca="1" si="277"/>
        <v/>
      </c>
      <c r="T261" s="59" t="str">
        <f t="shared" ca="1" si="277"/>
        <v/>
      </c>
      <c r="U261" s="59" t="str">
        <f t="shared" ca="1" si="277"/>
        <v/>
      </c>
    </row>
    <row r="262" spans="1:21" ht="15" thickBot="1" x14ac:dyDescent="0.35">
      <c r="A262" s="68"/>
      <c r="B262" s="21"/>
      <c r="C262" s="61"/>
      <c r="D262" s="61"/>
      <c r="E262" s="67"/>
      <c r="F262" s="69" t="str">
        <f t="shared" ref="F262:F300" ca="1" si="278">IF(E262="","",E262-IF(TODAY()&lt;C262,0,(TODAY()-C262)*I262))</f>
        <v/>
      </c>
      <c r="G262" s="64" t="str">
        <f t="shared" ref="G262:G300" ca="1" si="279">IF(E262="","",NETWORKDAYS(TODAY(),D262)+1)</f>
        <v/>
      </c>
      <c r="H262" s="70" t="str">
        <f t="shared" ref="H262:H300" si="280">IF(E262="","",G262/5)</f>
        <v/>
      </c>
      <c r="I262" s="66" t="str">
        <f t="shared" ref="I262:I300" si="281">IF(E262="","",E262/((NETWORKDAYS(C262,D262))))</f>
        <v/>
      </c>
      <c r="J262" s="59" t="str">
        <f t="shared" ref="J262:U262" ca="1" si="282">IF($A262="","",
IF($C262&gt;J$3+6,0,IF($D262&gt;=J$3,$I262*5,0)
-IF($D262&gt;=J$3,IF(K$3&gt;$D262,NETWORKDAYS($D262,K$3)-2,0)*$I262,0)
-IF(AND($C262&gt;=J$3,$C262&lt;K$3),($C262-J$3)*$I262,0))
-IF(AND(TODAY()&gt;=J$3,TODAY()&lt;K$3),IF(TODAY()&gt;$C262,NETWORKDAYS($C262,TODAY()-1)*$I262,0),0)
)</f>
        <v/>
      </c>
      <c r="K262" s="59" t="str">
        <f t="shared" ca="1" si="282"/>
        <v/>
      </c>
      <c r="L262" s="59" t="str">
        <f t="shared" ca="1" si="282"/>
        <v/>
      </c>
      <c r="M262" s="59" t="str">
        <f t="shared" ca="1" si="282"/>
        <v/>
      </c>
      <c r="N262" s="59" t="str">
        <f t="shared" ca="1" si="282"/>
        <v/>
      </c>
      <c r="O262" s="59" t="str">
        <f t="shared" ca="1" si="282"/>
        <v/>
      </c>
      <c r="P262" s="59" t="str">
        <f t="shared" ca="1" si="282"/>
        <v/>
      </c>
      <c r="Q262" s="59" t="str">
        <f t="shared" ca="1" si="282"/>
        <v/>
      </c>
      <c r="R262" s="59" t="str">
        <f t="shared" ca="1" si="282"/>
        <v/>
      </c>
      <c r="S262" s="59" t="str">
        <f t="shared" ca="1" si="282"/>
        <v/>
      </c>
      <c r="T262" s="59" t="str">
        <f t="shared" ca="1" si="282"/>
        <v/>
      </c>
      <c r="U262" s="59" t="str">
        <f t="shared" ca="1" si="282"/>
        <v/>
      </c>
    </row>
    <row r="263" spans="1:21" ht="15" thickBot="1" x14ac:dyDescent="0.35">
      <c r="A263" s="68"/>
      <c r="B263" s="21"/>
      <c r="C263" s="61"/>
      <c r="D263" s="61"/>
      <c r="E263" s="67"/>
      <c r="F263" s="69" t="str">
        <f t="shared" ca="1" si="278"/>
        <v/>
      </c>
      <c r="G263" s="64" t="str">
        <f t="shared" ca="1" si="279"/>
        <v/>
      </c>
      <c r="H263" s="70" t="str">
        <f t="shared" si="280"/>
        <v/>
      </c>
      <c r="I263" s="66" t="str">
        <f t="shared" si="281"/>
        <v/>
      </c>
      <c r="J263" s="59" t="str">
        <f t="shared" ref="J263:U263" ca="1" si="283">IF($A263="","",
IF($C263&gt;J$3+6,0,IF($D263&gt;=J$3,$I263*5,0)
-IF($D263&gt;=J$3,IF(K$3&gt;$D263,NETWORKDAYS($D263,K$3)-2,0)*$I263,0)
-IF(AND($C263&gt;=J$3,$C263&lt;K$3),($C263-J$3)*$I263,0))
-IF(AND(TODAY()&gt;=J$3,TODAY()&lt;K$3),IF(TODAY()&gt;$C263,NETWORKDAYS($C263,TODAY()-1)*$I263,0),0)
)</f>
        <v/>
      </c>
      <c r="K263" s="59" t="str">
        <f t="shared" ca="1" si="283"/>
        <v/>
      </c>
      <c r="L263" s="59" t="str">
        <f t="shared" ca="1" si="283"/>
        <v/>
      </c>
      <c r="M263" s="59" t="str">
        <f t="shared" ca="1" si="283"/>
        <v/>
      </c>
      <c r="N263" s="59" t="str">
        <f t="shared" ca="1" si="283"/>
        <v/>
      </c>
      <c r="O263" s="59" t="str">
        <f t="shared" ca="1" si="283"/>
        <v/>
      </c>
      <c r="P263" s="59" t="str">
        <f t="shared" ca="1" si="283"/>
        <v/>
      </c>
      <c r="Q263" s="59" t="str">
        <f t="shared" ca="1" si="283"/>
        <v/>
      </c>
      <c r="R263" s="59" t="str">
        <f t="shared" ca="1" si="283"/>
        <v/>
      </c>
      <c r="S263" s="59" t="str">
        <f t="shared" ca="1" si="283"/>
        <v/>
      </c>
      <c r="T263" s="59" t="str">
        <f t="shared" ca="1" si="283"/>
        <v/>
      </c>
      <c r="U263" s="59" t="str">
        <f t="shared" ca="1" si="283"/>
        <v/>
      </c>
    </row>
    <row r="264" spans="1:21" ht="15" thickBot="1" x14ac:dyDescent="0.35">
      <c r="A264" s="68"/>
      <c r="B264" s="21"/>
      <c r="C264" s="61"/>
      <c r="D264" s="61"/>
      <c r="E264" s="67"/>
      <c r="F264" s="69" t="str">
        <f t="shared" ca="1" si="278"/>
        <v/>
      </c>
      <c r="G264" s="64" t="str">
        <f t="shared" ca="1" si="279"/>
        <v/>
      </c>
      <c r="H264" s="70" t="str">
        <f t="shared" si="280"/>
        <v/>
      </c>
      <c r="I264" s="66" t="str">
        <f t="shared" si="281"/>
        <v/>
      </c>
      <c r="J264" s="59" t="str">
        <f t="shared" ref="J264:U264" ca="1" si="284">IF($A264="","",
IF($C264&gt;J$3+6,0,IF($D264&gt;=J$3,$I264*5,0)
-IF($D264&gt;=J$3,IF(K$3&gt;$D264,NETWORKDAYS($D264,K$3)-2,0)*$I264,0)
-IF(AND($C264&gt;=J$3,$C264&lt;K$3),($C264-J$3)*$I264,0))
-IF(AND(TODAY()&gt;=J$3,TODAY()&lt;K$3),IF(TODAY()&gt;$C264,NETWORKDAYS($C264,TODAY()-1)*$I264,0),0)
)</f>
        <v/>
      </c>
      <c r="K264" s="59" t="str">
        <f t="shared" ca="1" si="284"/>
        <v/>
      </c>
      <c r="L264" s="59" t="str">
        <f t="shared" ca="1" si="284"/>
        <v/>
      </c>
      <c r="M264" s="59" t="str">
        <f t="shared" ca="1" si="284"/>
        <v/>
      </c>
      <c r="N264" s="59" t="str">
        <f t="shared" ca="1" si="284"/>
        <v/>
      </c>
      <c r="O264" s="59" t="str">
        <f t="shared" ca="1" si="284"/>
        <v/>
      </c>
      <c r="P264" s="59" t="str">
        <f t="shared" ca="1" si="284"/>
        <v/>
      </c>
      <c r="Q264" s="59" t="str">
        <f t="shared" ca="1" si="284"/>
        <v/>
      </c>
      <c r="R264" s="59" t="str">
        <f t="shared" ca="1" si="284"/>
        <v/>
      </c>
      <c r="S264" s="59" t="str">
        <f t="shared" ca="1" si="284"/>
        <v/>
      </c>
      <c r="T264" s="59" t="str">
        <f t="shared" ca="1" si="284"/>
        <v/>
      </c>
      <c r="U264" s="59" t="str">
        <f t="shared" ca="1" si="284"/>
        <v/>
      </c>
    </row>
    <row r="265" spans="1:21" ht="15" thickBot="1" x14ac:dyDescent="0.35">
      <c r="A265" s="68"/>
      <c r="B265" s="21"/>
      <c r="C265" s="61"/>
      <c r="D265" s="61"/>
      <c r="E265" s="67"/>
      <c r="F265" s="69" t="str">
        <f t="shared" ca="1" si="278"/>
        <v/>
      </c>
      <c r="G265" s="64" t="str">
        <f t="shared" ca="1" si="279"/>
        <v/>
      </c>
      <c r="H265" s="70" t="str">
        <f t="shared" si="280"/>
        <v/>
      </c>
      <c r="I265" s="66" t="str">
        <f t="shared" si="281"/>
        <v/>
      </c>
      <c r="J265" s="59" t="str">
        <f t="shared" ref="J265:U265" ca="1" si="285">IF($A265="","",
IF($C265&gt;J$3+6,0,IF($D265&gt;=J$3,$I265*5,0)
-IF($D265&gt;=J$3,IF(K$3&gt;$D265,NETWORKDAYS($D265,K$3)-2,0)*$I265,0)
-IF(AND($C265&gt;=J$3,$C265&lt;K$3),($C265-J$3)*$I265,0))
-IF(AND(TODAY()&gt;=J$3,TODAY()&lt;K$3),IF(TODAY()&gt;$C265,NETWORKDAYS($C265,TODAY()-1)*$I265,0),0)
)</f>
        <v/>
      </c>
      <c r="K265" s="59" t="str">
        <f t="shared" ca="1" si="285"/>
        <v/>
      </c>
      <c r="L265" s="59" t="str">
        <f t="shared" ca="1" si="285"/>
        <v/>
      </c>
      <c r="M265" s="59" t="str">
        <f t="shared" ca="1" si="285"/>
        <v/>
      </c>
      <c r="N265" s="59" t="str">
        <f t="shared" ca="1" si="285"/>
        <v/>
      </c>
      <c r="O265" s="59" t="str">
        <f t="shared" ca="1" si="285"/>
        <v/>
      </c>
      <c r="P265" s="59" t="str">
        <f t="shared" ca="1" si="285"/>
        <v/>
      </c>
      <c r="Q265" s="59" t="str">
        <f t="shared" ca="1" si="285"/>
        <v/>
      </c>
      <c r="R265" s="59" t="str">
        <f t="shared" ca="1" si="285"/>
        <v/>
      </c>
      <c r="S265" s="59" t="str">
        <f t="shared" ca="1" si="285"/>
        <v/>
      </c>
      <c r="T265" s="59" t="str">
        <f t="shared" ca="1" si="285"/>
        <v/>
      </c>
      <c r="U265" s="59" t="str">
        <f t="shared" ca="1" si="285"/>
        <v/>
      </c>
    </row>
    <row r="266" spans="1:21" ht="15" thickBot="1" x14ac:dyDescent="0.35">
      <c r="A266" s="68"/>
      <c r="B266" s="21"/>
      <c r="C266" s="61"/>
      <c r="D266" s="61"/>
      <c r="E266" s="67"/>
      <c r="F266" s="69" t="str">
        <f t="shared" ca="1" si="278"/>
        <v/>
      </c>
      <c r="G266" s="64" t="str">
        <f t="shared" ca="1" si="279"/>
        <v/>
      </c>
      <c r="H266" s="70" t="str">
        <f t="shared" si="280"/>
        <v/>
      </c>
      <c r="I266" s="66" t="str">
        <f t="shared" si="281"/>
        <v/>
      </c>
      <c r="J266" s="59" t="str">
        <f t="shared" ref="J266:U266" ca="1" si="286">IF($A266="","",
IF($C266&gt;J$3+6,0,IF($D266&gt;=J$3,$I266*5,0)
-IF($D266&gt;=J$3,IF(K$3&gt;$D266,NETWORKDAYS($D266,K$3)-2,0)*$I266,0)
-IF(AND($C266&gt;=J$3,$C266&lt;K$3),($C266-J$3)*$I266,0))
-IF(AND(TODAY()&gt;=J$3,TODAY()&lt;K$3),IF(TODAY()&gt;$C266,NETWORKDAYS($C266,TODAY()-1)*$I266,0),0)
)</f>
        <v/>
      </c>
      <c r="K266" s="59" t="str">
        <f t="shared" ca="1" si="286"/>
        <v/>
      </c>
      <c r="L266" s="59" t="str">
        <f t="shared" ca="1" si="286"/>
        <v/>
      </c>
      <c r="M266" s="59" t="str">
        <f t="shared" ca="1" si="286"/>
        <v/>
      </c>
      <c r="N266" s="59" t="str">
        <f t="shared" ca="1" si="286"/>
        <v/>
      </c>
      <c r="O266" s="59" t="str">
        <f t="shared" ca="1" si="286"/>
        <v/>
      </c>
      <c r="P266" s="59" t="str">
        <f t="shared" ca="1" si="286"/>
        <v/>
      </c>
      <c r="Q266" s="59" t="str">
        <f t="shared" ca="1" si="286"/>
        <v/>
      </c>
      <c r="R266" s="59" t="str">
        <f t="shared" ca="1" si="286"/>
        <v/>
      </c>
      <c r="S266" s="59" t="str">
        <f t="shared" ca="1" si="286"/>
        <v/>
      </c>
      <c r="T266" s="59" t="str">
        <f t="shared" ca="1" si="286"/>
        <v/>
      </c>
      <c r="U266" s="59" t="str">
        <f t="shared" ca="1" si="286"/>
        <v/>
      </c>
    </row>
    <row r="267" spans="1:21" ht="15" thickBot="1" x14ac:dyDescent="0.35">
      <c r="A267" s="68"/>
      <c r="B267" s="21"/>
      <c r="C267" s="61"/>
      <c r="D267" s="61"/>
      <c r="E267" s="67"/>
      <c r="F267" s="69" t="str">
        <f t="shared" ca="1" si="278"/>
        <v/>
      </c>
      <c r="G267" s="64" t="str">
        <f t="shared" ca="1" si="279"/>
        <v/>
      </c>
      <c r="H267" s="70" t="str">
        <f t="shared" si="280"/>
        <v/>
      </c>
      <c r="I267" s="66" t="str">
        <f t="shared" si="281"/>
        <v/>
      </c>
      <c r="J267" s="59" t="str">
        <f t="shared" ref="J267:U267" ca="1" si="287">IF($A267="","",
IF($C267&gt;J$3+6,0,IF($D267&gt;=J$3,$I267*5,0)
-IF($D267&gt;=J$3,IF(K$3&gt;$D267,NETWORKDAYS($D267,K$3)-2,0)*$I267,0)
-IF(AND($C267&gt;=J$3,$C267&lt;K$3),($C267-J$3)*$I267,0))
-IF(AND(TODAY()&gt;=J$3,TODAY()&lt;K$3),IF(TODAY()&gt;$C267,NETWORKDAYS($C267,TODAY()-1)*$I267,0),0)
)</f>
        <v/>
      </c>
      <c r="K267" s="59" t="str">
        <f t="shared" ca="1" si="287"/>
        <v/>
      </c>
      <c r="L267" s="59" t="str">
        <f t="shared" ca="1" si="287"/>
        <v/>
      </c>
      <c r="M267" s="59" t="str">
        <f t="shared" ca="1" si="287"/>
        <v/>
      </c>
      <c r="N267" s="59" t="str">
        <f t="shared" ca="1" si="287"/>
        <v/>
      </c>
      <c r="O267" s="59" t="str">
        <f t="shared" ca="1" si="287"/>
        <v/>
      </c>
      <c r="P267" s="59" t="str">
        <f t="shared" ca="1" si="287"/>
        <v/>
      </c>
      <c r="Q267" s="59" t="str">
        <f t="shared" ca="1" si="287"/>
        <v/>
      </c>
      <c r="R267" s="59" t="str">
        <f t="shared" ca="1" si="287"/>
        <v/>
      </c>
      <c r="S267" s="59" t="str">
        <f t="shared" ca="1" si="287"/>
        <v/>
      </c>
      <c r="T267" s="59" t="str">
        <f t="shared" ca="1" si="287"/>
        <v/>
      </c>
      <c r="U267" s="59" t="str">
        <f t="shared" ca="1" si="287"/>
        <v/>
      </c>
    </row>
    <row r="268" spans="1:21" ht="15" thickBot="1" x14ac:dyDescent="0.35">
      <c r="A268" s="68"/>
      <c r="B268" s="21"/>
      <c r="C268" s="61"/>
      <c r="D268" s="61"/>
      <c r="E268" s="67"/>
      <c r="F268" s="69" t="str">
        <f t="shared" ca="1" si="278"/>
        <v/>
      </c>
      <c r="G268" s="64" t="str">
        <f t="shared" ca="1" si="279"/>
        <v/>
      </c>
      <c r="H268" s="70" t="str">
        <f t="shared" si="280"/>
        <v/>
      </c>
      <c r="I268" s="66" t="str">
        <f t="shared" si="281"/>
        <v/>
      </c>
      <c r="J268" s="59" t="str">
        <f t="shared" ref="J268:U268" ca="1" si="288">IF($A268="","",
IF($C268&gt;J$3+6,0,IF($D268&gt;=J$3,$I268*5,0)
-IF($D268&gt;=J$3,IF(K$3&gt;$D268,NETWORKDAYS($D268,K$3)-2,0)*$I268,0)
-IF(AND($C268&gt;=J$3,$C268&lt;K$3),($C268-J$3)*$I268,0))
-IF(AND(TODAY()&gt;=J$3,TODAY()&lt;K$3),IF(TODAY()&gt;$C268,NETWORKDAYS($C268,TODAY()-1)*$I268,0),0)
)</f>
        <v/>
      </c>
      <c r="K268" s="59" t="str">
        <f t="shared" ca="1" si="288"/>
        <v/>
      </c>
      <c r="L268" s="59" t="str">
        <f t="shared" ca="1" si="288"/>
        <v/>
      </c>
      <c r="M268" s="59" t="str">
        <f t="shared" ca="1" si="288"/>
        <v/>
      </c>
      <c r="N268" s="59" t="str">
        <f t="shared" ca="1" si="288"/>
        <v/>
      </c>
      <c r="O268" s="59" t="str">
        <f t="shared" ca="1" si="288"/>
        <v/>
      </c>
      <c r="P268" s="59" t="str">
        <f t="shared" ca="1" si="288"/>
        <v/>
      </c>
      <c r="Q268" s="59" t="str">
        <f t="shared" ca="1" si="288"/>
        <v/>
      </c>
      <c r="R268" s="59" t="str">
        <f t="shared" ca="1" si="288"/>
        <v/>
      </c>
      <c r="S268" s="59" t="str">
        <f t="shared" ca="1" si="288"/>
        <v/>
      </c>
      <c r="T268" s="59" t="str">
        <f t="shared" ca="1" si="288"/>
        <v/>
      </c>
      <c r="U268" s="59" t="str">
        <f t="shared" ca="1" si="288"/>
        <v/>
      </c>
    </row>
    <row r="269" spans="1:21" ht="15" thickBot="1" x14ac:dyDescent="0.35">
      <c r="A269" s="68"/>
      <c r="B269" s="21"/>
      <c r="C269" s="61"/>
      <c r="D269" s="61"/>
      <c r="E269" s="67"/>
      <c r="F269" s="69" t="str">
        <f t="shared" ca="1" si="278"/>
        <v/>
      </c>
      <c r="G269" s="64" t="str">
        <f t="shared" ca="1" si="279"/>
        <v/>
      </c>
      <c r="H269" s="70" t="str">
        <f t="shared" si="280"/>
        <v/>
      </c>
      <c r="I269" s="66" t="str">
        <f t="shared" si="281"/>
        <v/>
      </c>
      <c r="J269" s="59" t="str">
        <f t="shared" ref="J269:U269" ca="1" si="289">IF($A269="","",
IF($C269&gt;J$3+6,0,IF($D269&gt;=J$3,$I269*5,0)
-IF($D269&gt;=J$3,IF(K$3&gt;$D269,NETWORKDAYS($D269,K$3)-2,0)*$I269,0)
-IF(AND($C269&gt;=J$3,$C269&lt;K$3),($C269-J$3)*$I269,0))
-IF(AND(TODAY()&gt;=J$3,TODAY()&lt;K$3),IF(TODAY()&gt;$C269,NETWORKDAYS($C269,TODAY()-1)*$I269,0),0)
)</f>
        <v/>
      </c>
      <c r="K269" s="59" t="str">
        <f t="shared" ca="1" si="289"/>
        <v/>
      </c>
      <c r="L269" s="59" t="str">
        <f t="shared" ca="1" si="289"/>
        <v/>
      </c>
      <c r="M269" s="59" t="str">
        <f t="shared" ca="1" si="289"/>
        <v/>
      </c>
      <c r="N269" s="59" t="str">
        <f t="shared" ca="1" si="289"/>
        <v/>
      </c>
      <c r="O269" s="59" t="str">
        <f t="shared" ca="1" si="289"/>
        <v/>
      </c>
      <c r="P269" s="59" t="str">
        <f t="shared" ca="1" si="289"/>
        <v/>
      </c>
      <c r="Q269" s="59" t="str">
        <f t="shared" ca="1" si="289"/>
        <v/>
      </c>
      <c r="R269" s="59" t="str">
        <f t="shared" ca="1" si="289"/>
        <v/>
      </c>
      <c r="S269" s="59" t="str">
        <f t="shared" ca="1" si="289"/>
        <v/>
      </c>
      <c r="T269" s="59" t="str">
        <f t="shared" ca="1" si="289"/>
        <v/>
      </c>
      <c r="U269" s="59" t="str">
        <f t="shared" ca="1" si="289"/>
        <v/>
      </c>
    </row>
    <row r="270" spans="1:21" ht="15" thickBot="1" x14ac:dyDescent="0.35">
      <c r="A270" s="68"/>
      <c r="B270" s="21"/>
      <c r="C270" s="61"/>
      <c r="D270" s="61"/>
      <c r="E270" s="67"/>
      <c r="F270" s="69" t="str">
        <f t="shared" ca="1" si="278"/>
        <v/>
      </c>
      <c r="G270" s="64" t="str">
        <f t="shared" ca="1" si="279"/>
        <v/>
      </c>
      <c r="H270" s="70" t="str">
        <f t="shared" si="280"/>
        <v/>
      </c>
      <c r="I270" s="66" t="str">
        <f t="shared" si="281"/>
        <v/>
      </c>
      <c r="J270" s="59" t="str">
        <f t="shared" ref="J270:U270" ca="1" si="290">IF($A270="","",
IF($C270&gt;J$3+6,0,IF($D270&gt;=J$3,$I270*5,0)
-IF($D270&gt;=J$3,IF(K$3&gt;$D270,NETWORKDAYS($D270,K$3)-2,0)*$I270,0)
-IF(AND($C270&gt;=J$3,$C270&lt;K$3),($C270-J$3)*$I270,0))
-IF(AND(TODAY()&gt;=J$3,TODAY()&lt;K$3),IF(TODAY()&gt;$C270,NETWORKDAYS($C270,TODAY()-1)*$I270,0),0)
)</f>
        <v/>
      </c>
      <c r="K270" s="59" t="str">
        <f t="shared" ca="1" si="290"/>
        <v/>
      </c>
      <c r="L270" s="59" t="str">
        <f t="shared" ca="1" si="290"/>
        <v/>
      </c>
      <c r="M270" s="59" t="str">
        <f t="shared" ca="1" si="290"/>
        <v/>
      </c>
      <c r="N270" s="59" t="str">
        <f t="shared" ca="1" si="290"/>
        <v/>
      </c>
      <c r="O270" s="59" t="str">
        <f t="shared" ca="1" si="290"/>
        <v/>
      </c>
      <c r="P270" s="59" t="str">
        <f t="shared" ca="1" si="290"/>
        <v/>
      </c>
      <c r="Q270" s="59" t="str">
        <f t="shared" ca="1" si="290"/>
        <v/>
      </c>
      <c r="R270" s="59" t="str">
        <f t="shared" ca="1" si="290"/>
        <v/>
      </c>
      <c r="S270" s="59" t="str">
        <f t="shared" ca="1" si="290"/>
        <v/>
      </c>
      <c r="T270" s="59" t="str">
        <f t="shared" ca="1" si="290"/>
        <v/>
      </c>
      <c r="U270" s="59" t="str">
        <f t="shared" ca="1" si="290"/>
        <v/>
      </c>
    </row>
    <row r="271" spans="1:21" ht="15" thickBot="1" x14ac:dyDescent="0.35">
      <c r="A271" s="68"/>
      <c r="B271" s="21"/>
      <c r="C271" s="61"/>
      <c r="D271" s="61"/>
      <c r="E271" s="67"/>
      <c r="F271" s="69" t="str">
        <f t="shared" ca="1" si="278"/>
        <v/>
      </c>
      <c r="G271" s="64" t="str">
        <f t="shared" ca="1" si="279"/>
        <v/>
      </c>
      <c r="H271" s="70" t="str">
        <f t="shared" si="280"/>
        <v/>
      </c>
      <c r="I271" s="66" t="str">
        <f t="shared" si="281"/>
        <v/>
      </c>
      <c r="J271" s="59" t="str">
        <f t="shared" ref="J271:U271" ca="1" si="291">IF($A271="","",
IF($C271&gt;J$3+6,0,IF($D271&gt;=J$3,$I271*5,0)
-IF($D271&gt;=J$3,IF(K$3&gt;$D271,NETWORKDAYS($D271,K$3)-2,0)*$I271,0)
-IF(AND($C271&gt;=J$3,$C271&lt;K$3),($C271-J$3)*$I271,0))
-IF(AND(TODAY()&gt;=J$3,TODAY()&lt;K$3),IF(TODAY()&gt;$C271,NETWORKDAYS($C271,TODAY()-1)*$I271,0),0)
)</f>
        <v/>
      </c>
      <c r="K271" s="59" t="str">
        <f t="shared" ca="1" si="291"/>
        <v/>
      </c>
      <c r="L271" s="59" t="str">
        <f t="shared" ca="1" si="291"/>
        <v/>
      </c>
      <c r="M271" s="59" t="str">
        <f t="shared" ca="1" si="291"/>
        <v/>
      </c>
      <c r="N271" s="59" t="str">
        <f t="shared" ca="1" si="291"/>
        <v/>
      </c>
      <c r="O271" s="59" t="str">
        <f t="shared" ca="1" si="291"/>
        <v/>
      </c>
      <c r="P271" s="59" t="str">
        <f t="shared" ca="1" si="291"/>
        <v/>
      </c>
      <c r="Q271" s="59" t="str">
        <f t="shared" ca="1" si="291"/>
        <v/>
      </c>
      <c r="R271" s="59" t="str">
        <f t="shared" ca="1" si="291"/>
        <v/>
      </c>
      <c r="S271" s="59" t="str">
        <f t="shared" ca="1" si="291"/>
        <v/>
      </c>
      <c r="T271" s="59" t="str">
        <f t="shared" ca="1" si="291"/>
        <v/>
      </c>
      <c r="U271" s="59" t="str">
        <f t="shared" ca="1" si="291"/>
        <v/>
      </c>
    </row>
    <row r="272" spans="1:21" ht="15" thickBot="1" x14ac:dyDescent="0.35">
      <c r="A272" s="68"/>
      <c r="B272" s="21"/>
      <c r="C272" s="61"/>
      <c r="D272" s="61"/>
      <c r="E272" s="67"/>
      <c r="F272" s="69" t="str">
        <f t="shared" ca="1" si="278"/>
        <v/>
      </c>
      <c r="G272" s="64" t="str">
        <f t="shared" ca="1" si="279"/>
        <v/>
      </c>
      <c r="H272" s="70" t="str">
        <f t="shared" si="280"/>
        <v/>
      </c>
      <c r="I272" s="66" t="str">
        <f t="shared" si="281"/>
        <v/>
      </c>
      <c r="J272" s="59" t="str">
        <f t="shared" ref="J272:U272" ca="1" si="292">IF($A272="","",
IF($C272&gt;J$3+6,0,IF($D272&gt;=J$3,$I272*5,0)
-IF($D272&gt;=J$3,IF(K$3&gt;$D272,NETWORKDAYS($D272,K$3)-2,0)*$I272,0)
-IF(AND($C272&gt;=J$3,$C272&lt;K$3),($C272-J$3)*$I272,0))
-IF(AND(TODAY()&gt;=J$3,TODAY()&lt;K$3),IF(TODAY()&gt;$C272,NETWORKDAYS($C272,TODAY()-1)*$I272,0),0)
)</f>
        <v/>
      </c>
      <c r="K272" s="59" t="str">
        <f t="shared" ca="1" si="292"/>
        <v/>
      </c>
      <c r="L272" s="59" t="str">
        <f t="shared" ca="1" si="292"/>
        <v/>
      </c>
      <c r="M272" s="59" t="str">
        <f t="shared" ca="1" si="292"/>
        <v/>
      </c>
      <c r="N272" s="59" t="str">
        <f t="shared" ca="1" si="292"/>
        <v/>
      </c>
      <c r="O272" s="59" t="str">
        <f t="shared" ca="1" si="292"/>
        <v/>
      </c>
      <c r="P272" s="59" t="str">
        <f t="shared" ca="1" si="292"/>
        <v/>
      </c>
      <c r="Q272" s="59" t="str">
        <f t="shared" ca="1" si="292"/>
        <v/>
      </c>
      <c r="R272" s="59" t="str">
        <f t="shared" ca="1" si="292"/>
        <v/>
      </c>
      <c r="S272" s="59" t="str">
        <f t="shared" ca="1" si="292"/>
        <v/>
      </c>
      <c r="T272" s="59" t="str">
        <f t="shared" ca="1" si="292"/>
        <v/>
      </c>
      <c r="U272" s="59" t="str">
        <f t="shared" ca="1" si="292"/>
        <v/>
      </c>
    </row>
    <row r="273" spans="1:21" ht="15" thickBot="1" x14ac:dyDescent="0.35">
      <c r="A273" s="68"/>
      <c r="B273" s="21"/>
      <c r="C273" s="61"/>
      <c r="D273" s="61"/>
      <c r="E273" s="67"/>
      <c r="F273" s="69" t="str">
        <f t="shared" ca="1" si="278"/>
        <v/>
      </c>
      <c r="G273" s="64" t="str">
        <f t="shared" ca="1" si="279"/>
        <v/>
      </c>
      <c r="H273" s="70" t="str">
        <f t="shared" si="280"/>
        <v/>
      </c>
      <c r="I273" s="66" t="str">
        <f t="shared" si="281"/>
        <v/>
      </c>
      <c r="J273" s="59" t="str">
        <f t="shared" ref="J273:U273" ca="1" si="293">IF($A273="","",
IF($C273&gt;J$3+6,0,IF($D273&gt;=J$3,$I273*5,0)
-IF($D273&gt;=J$3,IF(K$3&gt;$D273,NETWORKDAYS($D273,K$3)-2,0)*$I273,0)
-IF(AND($C273&gt;=J$3,$C273&lt;K$3),($C273-J$3)*$I273,0))
-IF(AND(TODAY()&gt;=J$3,TODAY()&lt;K$3),IF(TODAY()&gt;$C273,NETWORKDAYS($C273,TODAY()-1)*$I273,0),0)
)</f>
        <v/>
      </c>
      <c r="K273" s="59" t="str">
        <f t="shared" ca="1" si="293"/>
        <v/>
      </c>
      <c r="L273" s="59" t="str">
        <f t="shared" ca="1" si="293"/>
        <v/>
      </c>
      <c r="M273" s="59" t="str">
        <f t="shared" ca="1" si="293"/>
        <v/>
      </c>
      <c r="N273" s="59" t="str">
        <f t="shared" ca="1" si="293"/>
        <v/>
      </c>
      <c r="O273" s="59" t="str">
        <f t="shared" ca="1" si="293"/>
        <v/>
      </c>
      <c r="P273" s="59" t="str">
        <f t="shared" ca="1" si="293"/>
        <v/>
      </c>
      <c r="Q273" s="59" t="str">
        <f t="shared" ca="1" si="293"/>
        <v/>
      </c>
      <c r="R273" s="59" t="str">
        <f t="shared" ca="1" si="293"/>
        <v/>
      </c>
      <c r="S273" s="59" t="str">
        <f t="shared" ca="1" si="293"/>
        <v/>
      </c>
      <c r="T273" s="59" t="str">
        <f t="shared" ca="1" si="293"/>
        <v/>
      </c>
      <c r="U273" s="59" t="str">
        <f t="shared" ca="1" si="293"/>
        <v/>
      </c>
    </row>
    <row r="274" spans="1:21" ht="15" thickBot="1" x14ac:dyDescent="0.35">
      <c r="A274" s="68"/>
      <c r="B274" s="21"/>
      <c r="C274" s="61"/>
      <c r="D274" s="61"/>
      <c r="E274" s="67"/>
      <c r="F274" s="69" t="str">
        <f t="shared" ca="1" si="278"/>
        <v/>
      </c>
      <c r="G274" s="64" t="str">
        <f t="shared" ca="1" si="279"/>
        <v/>
      </c>
      <c r="H274" s="70" t="str">
        <f t="shared" si="280"/>
        <v/>
      </c>
      <c r="I274" s="66" t="str">
        <f t="shared" si="281"/>
        <v/>
      </c>
      <c r="J274" s="59" t="str">
        <f t="shared" ref="J274:U274" ca="1" si="294">IF($A274="","",
IF($C274&gt;J$3+6,0,IF($D274&gt;=J$3,$I274*5,0)
-IF($D274&gt;=J$3,IF(K$3&gt;$D274,NETWORKDAYS($D274,K$3)-2,0)*$I274,0)
-IF(AND($C274&gt;=J$3,$C274&lt;K$3),($C274-J$3)*$I274,0))
-IF(AND(TODAY()&gt;=J$3,TODAY()&lt;K$3),IF(TODAY()&gt;$C274,NETWORKDAYS($C274,TODAY()-1)*$I274,0),0)
)</f>
        <v/>
      </c>
      <c r="K274" s="59" t="str">
        <f t="shared" ca="1" si="294"/>
        <v/>
      </c>
      <c r="L274" s="59" t="str">
        <f t="shared" ca="1" si="294"/>
        <v/>
      </c>
      <c r="M274" s="59" t="str">
        <f t="shared" ca="1" si="294"/>
        <v/>
      </c>
      <c r="N274" s="59" t="str">
        <f t="shared" ca="1" si="294"/>
        <v/>
      </c>
      <c r="O274" s="59" t="str">
        <f t="shared" ca="1" si="294"/>
        <v/>
      </c>
      <c r="P274" s="59" t="str">
        <f t="shared" ca="1" si="294"/>
        <v/>
      </c>
      <c r="Q274" s="59" t="str">
        <f t="shared" ca="1" si="294"/>
        <v/>
      </c>
      <c r="R274" s="59" t="str">
        <f t="shared" ca="1" si="294"/>
        <v/>
      </c>
      <c r="S274" s="59" t="str">
        <f t="shared" ca="1" si="294"/>
        <v/>
      </c>
      <c r="T274" s="59" t="str">
        <f t="shared" ca="1" si="294"/>
        <v/>
      </c>
      <c r="U274" s="59" t="str">
        <f t="shared" ca="1" si="294"/>
        <v/>
      </c>
    </row>
    <row r="275" spans="1:21" ht="15" thickBot="1" x14ac:dyDescent="0.35">
      <c r="A275" s="68"/>
      <c r="B275" s="21"/>
      <c r="C275" s="61"/>
      <c r="D275" s="61"/>
      <c r="E275" s="67"/>
      <c r="F275" s="69" t="str">
        <f t="shared" ca="1" si="278"/>
        <v/>
      </c>
      <c r="G275" s="64" t="str">
        <f t="shared" ca="1" si="279"/>
        <v/>
      </c>
      <c r="H275" s="70" t="str">
        <f t="shared" si="280"/>
        <v/>
      </c>
      <c r="I275" s="66" t="str">
        <f t="shared" si="281"/>
        <v/>
      </c>
      <c r="J275" s="59" t="str">
        <f t="shared" ref="J275:U275" ca="1" si="295">IF($A275="","",
IF($C275&gt;J$3+6,0,IF($D275&gt;=J$3,$I275*5,0)
-IF($D275&gt;=J$3,IF(K$3&gt;$D275,NETWORKDAYS($D275,K$3)-2,0)*$I275,0)
-IF(AND($C275&gt;=J$3,$C275&lt;K$3),($C275-J$3)*$I275,0))
-IF(AND(TODAY()&gt;=J$3,TODAY()&lt;K$3),IF(TODAY()&gt;$C275,NETWORKDAYS($C275,TODAY()-1)*$I275,0),0)
)</f>
        <v/>
      </c>
      <c r="K275" s="59" t="str">
        <f t="shared" ca="1" si="295"/>
        <v/>
      </c>
      <c r="L275" s="59" t="str">
        <f t="shared" ca="1" si="295"/>
        <v/>
      </c>
      <c r="M275" s="59" t="str">
        <f t="shared" ca="1" si="295"/>
        <v/>
      </c>
      <c r="N275" s="59" t="str">
        <f t="shared" ca="1" si="295"/>
        <v/>
      </c>
      <c r="O275" s="59" t="str">
        <f t="shared" ca="1" si="295"/>
        <v/>
      </c>
      <c r="P275" s="59" t="str">
        <f t="shared" ca="1" si="295"/>
        <v/>
      </c>
      <c r="Q275" s="59" t="str">
        <f t="shared" ca="1" si="295"/>
        <v/>
      </c>
      <c r="R275" s="59" t="str">
        <f t="shared" ca="1" si="295"/>
        <v/>
      </c>
      <c r="S275" s="59" t="str">
        <f t="shared" ca="1" si="295"/>
        <v/>
      </c>
      <c r="T275" s="59" t="str">
        <f t="shared" ca="1" si="295"/>
        <v/>
      </c>
      <c r="U275" s="59" t="str">
        <f t="shared" ca="1" si="295"/>
        <v/>
      </c>
    </row>
    <row r="276" spans="1:21" ht="15" thickBot="1" x14ac:dyDescent="0.35">
      <c r="A276" s="68"/>
      <c r="B276" s="21"/>
      <c r="C276" s="61"/>
      <c r="D276" s="61"/>
      <c r="E276" s="67"/>
      <c r="F276" s="69" t="str">
        <f t="shared" ca="1" si="278"/>
        <v/>
      </c>
      <c r="G276" s="64" t="str">
        <f t="shared" ca="1" si="279"/>
        <v/>
      </c>
      <c r="H276" s="70" t="str">
        <f t="shared" si="280"/>
        <v/>
      </c>
      <c r="I276" s="66" t="str">
        <f t="shared" si="281"/>
        <v/>
      </c>
      <c r="J276" s="59" t="str">
        <f t="shared" ref="J276:U276" ca="1" si="296">IF($A276="","",
IF($C276&gt;J$3+6,0,IF($D276&gt;=J$3,$I276*5,0)
-IF($D276&gt;=J$3,IF(K$3&gt;$D276,NETWORKDAYS($D276,K$3)-2,0)*$I276,0)
-IF(AND($C276&gt;=J$3,$C276&lt;K$3),($C276-J$3)*$I276,0))
-IF(AND(TODAY()&gt;=J$3,TODAY()&lt;K$3),IF(TODAY()&gt;$C276,NETWORKDAYS($C276,TODAY()-1)*$I276,0),0)
)</f>
        <v/>
      </c>
      <c r="K276" s="59" t="str">
        <f t="shared" ca="1" si="296"/>
        <v/>
      </c>
      <c r="L276" s="59" t="str">
        <f t="shared" ca="1" si="296"/>
        <v/>
      </c>
      <c r="M276" s="59" t="str">
        <f t="shared" ca="1" si="296"/>
        <v/>
      </c>
      <c r="N276" s="59" t="str">
        <f t="shared" ca="1" si="296"/>
        <v/>
      </c>
      <c r="O276" s="59" t="str">
        <f t="shared" ca="1" si="296"/>
        <v/>
      </c>
      <c r="P276" s="59" t="str">
        <f t="shared" ca="1" si="296"/>
        <v/>
      </c>
      <c r="Q276" s="59" t="str">
        <f t="shared" ca="1" si="296"/>
        <v/>
      </c>
      <c r="R276" s="59" t="str">
        <f t="shared" ca="1" si="296"/>
        <v/>
      </c>
      <c r="S276" s="59" t="str">
        <f t="shared" ca="1" si="296"/>
        <v/>
      </c>
      <c r="T276" s="59" t="str">
        <f t="shared" ca="1" si="296"/>
        <v/>
      </c>
      <c r="U276" s="59" t="str">
        <f t="shared" ca="1" si="296"/>
        <v/>
      </c>
    </row>
    <row r="277" spans="1:21" ht="15" thickBot="1" x14ac:dyDescent="0.35">
      <c r="A277" s="68"/>
      <c r="B277" s="21"/>
      <c r="C277" s="61"/>
      <c r="D277" s="61"/>
      <c r="E277" s="67"/>
      <c r="F277" s="69" t="str">
        <f t="shared" ca="1" si="278"/>
        <v/>
      </c>
      <c r="G277" s="64" t="str">
        <f t="shared" ca="1" si="279"/>
        <v/>
      </c>
      <c r="H277" s="70" t="str">
        <f t="shared" si="280"/>
        <v/>
      </c>
      <c r="I277" s="66" t="str">
        <f t="shared" si="281"/>
        <v/>
      </c>
      <c r="J277" s="59" t="str">
        <f t="shared" ref="J277:U277" ca="1" si="297">IF($A277="","",
IF($C277&gt;J$3+6,0,IF($D277&gt;=J$3,$I277*5,0)
-IF($D277&gt;=J$3,IF(K$3&gt;$D277,NETWORKDAYS($D277,K$3)-2,0)*$I277,0)
-IF(AND($C277&gt;=J$3,$C277&lt;K$3),($C277-J$3)*$I277,0))
-IF(AND(TODAY()&gt;=J$3,TODAY()&lt;K$3),IF(TODAY()&gt;$C277,NETWORKDAYS($C277,TODAY()-1)*$I277,0),0)
)</f>
        <v/>
      </c>
      <c r="K277" s="59" t="str">
        <f t="shared" ca="1" si="297"/>
        <v/>
      </c>
      <c r="L277" s="59" t="str">
        <f t="shared" ca="1" si="297"/>
        <v/>
      </c>
      <c r="M277" s="59" t="str">
        <f t="shared" ca="1" si="297"/>
        <v/>
      </c>
      <c r="N277" s="59" t="str">
        <f t="shared" ca="1" si="297"/>
        <v/>
      </c>
      <c r="O277" s="59" t="str">
        <f t="shared" ca="1" si="297"/>
        <v/>
      </c>
      <c r="P277" s="59" t="str">
        <f t="shared" ca="1" si="297"/>
        <v/>
      </c>
      <c r="Q277" s="59" t="str">
        <f t="shared" ca="1" si="297"/>
        <v/>
      </c>
      <c r="R277" s="59" t="str">
        <f t="shared" ca="1" si="297"/>
        <v/>
      </c>
      <c r="S277" s="59" t="str">
        <f t="shared" ca="1" si="297"/>
        <v/>
      </c>
      <c r="T277" s="59" t="str">
        <f t="shared" ca="1" si="297"/>
        <v/>
      </c>
      <c r="U277" s="59" t="str">
        <f t="shared" ca="1" si="297"/>
        <v/>
      </c>
    </row>
    <row r="278" spans="1:21" ht="15" thickBot="1" x14ac:dyDescent="0.35">
      <c r="A278" s="68"/>
      <c r="B278" s="21"/>
      <c r="C278" s="61"/>
      <c r="D278" s="61"/>
      <c r="E278" s="67"/>
      <c r="F278" s="69" t="str">
        <f t="shared" ca="1" si="278"/>
        <v/>
      </c>
      <c r="G278" s="64" t="str">
        <f t="shared" ca="1" si="279"/>
        <v/>
      </c>
      <c r="H278" s="70" t="str">
        <f t="shared" si="280"/>
        <v/>
      </c>
      <c r="I278" s="66" t="str">
        <f t="shared" si="281"/>
        <v/>
      </c>
      <c r="J278" s="59" t="str">
        <f t="shared" ref="J278:U278" ca="1" si="298">IF($A278="","",
IF($C278&gt;J$3+6,0,IF($D278&gt;=J$3,$I278*5,0)
-IF($D278&gt;=J$3,IF(K$3&gt;$D278,NETWORKDAYS($D278,K$3)-2,0)*$I278,0)
-IF(AND($C278&gt;=J$3,$C278&lt;K$3),($C278-J$3)*$I278,0))
-IF(AND(TODAY()&gt;=J$3,TODAY()&lt;K$3),IF(TODAY()&gt;$C278,NETWORKDAYS($C278,TODAY()-1)*$I278,0),0)
)</f>
        <v/>
      </c>
      <c r="K278" s="59" t="str">
        <f t="shared" ca="1" si="298"/>
        <v/>
      </c>
      <c r="L278" s="59" t="str">
        <f t="shared" ca="1" si="298"/>
        <v/>
      </c>
      <c r="M278" s="59" t="str">
        <f t="shared" ca="1" si="298"/>
        <v/>
      </c>
      <c r="N278" s="59" t="str">
        <f t="shared" ca="1" si="298"/>
        <v/>
      </c>
      <c r="O278" s="59" t="str">
        <f t="shared" ca="1" si="298"/>
        <v/>
      </c>
      <c r="P278" s="59" t="str">
        <f t="shared" ca="1" si="298"/>
        <v/>
      </c>
      <c r="Q278" s="59" t="str">
        <f t="shared" ca="1" si="298"/>
        <v/>
      </c>
      <c r="R278" s="59" t="str">
        <f t="shared" ca="1" si="298"/>
        <v/>
      </c>
      <c r="S278" s="59" t="str">
        <f t="shared" ca="1" si="298"/>
        <v/>
      </c>
      <c r="T278" s="59" t="str">
        <f t="shared" ca="1" si="298"/>
        <v/>
      </c>
      <c r="U278" s="59" t="str">
        <f t="shared" ca="1" si="298"/>
        <v/>
      </c>
    </row>
    <row r="279" spans="1:21" ht="15" thickBot="1" x14ac:dyDescent="0.35">
      <c r="A279" s="68"/>
      <c r="B279" s="21"/>
      <c r="C279" s="61"/>
      <c r="D279" s="61"/>
      <c r="E279" s="67"/>
      <c r="F279" s="69" t="str">
        <f t="shared" ca="1" si="278"/>
        <v/>
      </c>
      <c r="G279" s="64" t="str">
        <f t="shared" ca="1" si="279"/>
        <v/>
      </c>
      <c r="H279" s="70" t="str">
        <f t="shared" si="280"/>
        <v/>
      </c>
      <c r="I279" s="66" t="str">
        <f t="shared" si="281"/>
        <v/>
      </c>
      <c r="J279" s="59" t="str">
        <f t="shared" ref="J279:U279" ca="1" si="299">IF($A279="","",
IF($C279&gt;J$3+6,0,IF($D279&gt;=J$3,$I279*5,0)
-IF($D279&gt;=J$3,IF(K$3&gt;$D279,NETWORKDAYS($D279,K$3)-2,0)*$I279,0)
-IF(AND($C279&gt;=J$3,$C279&lt;K$3),($C279-J$3)*$I279,0))
-IF(AND(TODAY()&gt;=J$3,TODAY()&lt;K$3),IF(TODAY()&gt;$C279,NETWORKDAYS($C279,TODAY()-1)*$I279,0),0)
)</f>
        <v/>
      </c>
      <c r="K279" s="59" t="str">
        <f t="shared" ca="1" si="299"/>
        <v/>
      </c>
      <c r="L279" s="59" t="str">
        <f t="shared" ca="1" si="299"/>
        <v/>
      </c>
      <c r="M279" s="59" t="str">
        <f t="shared" ca="1" si="299"/>
        <v/>
      </c>
      <c r="N279" s="59" t="str">
        <f t="shared" ca="1" si="299"/>
        <v/>
      </c>
      <c r="O279" s="59" t="str">
        <f t="shared" ca="1" si="299"/>
        <v/>
      </c>
      <c r="P279" s="59" t="str">
        <f t="shared" ca="1" si="299"/>
        <v/>
      </c>
      <c r="Q279" s="59" t="str">
        <f t="shared" ca="1" si="299"/>
        <v/>
      </c>
      <c r="R279" s="59" t="str">
        <f t="shared" ca="1" si="299"/>
        <v/>
      </c>
      <c r="S279" s="59" t="str">
        <f t="shared" ca="1" si="299"/>
        <v/>
      </c>
      <c r="T279" s="59" t="str">
        <f t="shared" ca="1" si="299"/>
        <v/>
      </c>
      <c r="U279" s="59" t="str">
        <f t="shared" ca="1" si="299"/>
        <v/>
      </c>
    </row>
    <row r="280" spans="1:21" ht="15" thickBot="1" x14ac:dyDescent="0.35">
      <c r="A280" s="68"/>
      <c r="B280" s="21"/>
      <c r="C280" s="61"/>
      <c r="D280" s="61"/>
      <c r="E280" s="67"/>
      <c r="F280" s="69" t="str">
        <f t="shared" ca="1" si="278"/>
        <v/>
      </c>
      <c r="G280" s="64" t="str">
        <f t="shared" ca="1" si="279"/>
        <v/>
      </c>
      <c r="H280" s="70" t="str">
        <f t="shared" si="280"/>
        <v/>
      </c>
      <c r="I280" s="66" t="str">
        <f t="shared" si="281"/>
        <v/>
      </c>
      <c r="J280" s="59" t="str">
        <f t="shared" ref="J280:U280" ca="1" si="300">IF($A280="","",
IF($C280&gt;J$3+6,0,IF($D280&gt;=J$3,$I280*5,0)
-IF($D280&gt;=J$3,IF(K$3&gt;$D280,NETWORKDAYS($D280,K$3)-2,0)*$I280,0)
-IF(AND($C280&gt;=J$3,$C280&lt;K$3),($C280-J$3)*$I280,0))
-IF(AND(TODAY()&gt;=J$3,TODAY()&lt;K$3),IF(TODAY()&gt;$C280,NETWORKDAYS($C280,TODAY()-1)*$I280,0),0)
)</f>
        <v/>
      </c>
      <c r="K280" s="59" t="str">
        <f t="shared" ca="1" si="300"/>
        <v/>
      </c>
      <c r="L280" s="59" t="str">
        <f t="shared" ca="1" si="300"/>
        <v/>
      </c>
      <c r="M280" s="59" t="str">
        <f t="shared" ca="1" si="300"/>
        <v/>
      </c>
      <c r="N280" s="59" t="str">
        <f t="shared" ca="1" si="300"/>
        <v/>
      </c>
      <c r="O280" s="59" t="str">
        <f t="shared" ca="1" si="300"/>
        <v/>
      </c>
      <c r="P280" s="59" t="str">
        <f t="shared" ca="1" si="300"/>
        <v/>
      </c>
      <c r="Q280" s="59" t="str">
        <f t="shared" ca="1" si="300"/>
        <v/>
      </c>
      <c r="R280" s="59" t="str">
        <f t="shared" ca="1" si="300"/>
        <v/>
      </c>
      <c r="S280" s="59" t="str">
        <f t="shared" ca="1" si="300"/>
        <v/>
      </c>
      <c r="T280" s="59" t="str">
        <f t="shared" ca="1" si="300"/>
        <v/>
      </c>
      <c r="U280" s="59" t="str">
        <f t="shared" ca="1" si="300"/>
        <v/>
      </c>
    </row>
    <row r="281" spans="1:21" ht="15" thickBot="1" x14ac:dyDescent="0.35">
      <c r="A281" s="68"/>
      <c r="B281" s="21"/>
      <c r="C281" s="61"/>
      <c r="D281" s="61"/>
      <c r="E281" s="67"/>
      <c r="F281" s="69" t="str">
        <f t="shared" ca="1" si="278"/>
        <v/>
      </c>
      <c r="G281" s="64" t="str">
        <f t="shared" ca="1" si="279"/>
        <v/>
      </c>
      <c r="H281" s="70" t="str">
        <f t="shared" si="280"/>
        <v/>
      </c>
      <c r="I281" s="66" t="str">
        <f t="shared" si="281"/>
        <v/>
      </c>
      <c r="J281" s="59" t="str">
        <f t="shared" ref="J281:U281" ca="1" si="301">IF($A281="","",
IF($C281&gt;J$3+6,0,IF($D281&gt;=J$3,$I281*5,0)
-IF($D281&gt;=J$3,IF(K$3&gt;$D281,NETWORKDAYS($D281,K$3)-2,0)*$I281,0)
-IF(AND($C281&gt;=J$3,$C281&lt;K$3),($C281-J$3)*$I281,0))
-IF(AND(TODAY()&gt;=J$3,TODAY()&lt;K$3),IF(TODAY()&gt;$C281,NETWORKDAYS($C281,TODAY()-1)*$I281,0),0)
)</f>
        <v/>
      </c>
      <c r="K281" s="59" t="str">
        <f t="shared" ca="1" si="301"/>
        <v/>
      </c>
      <c r="L281" s="59" t="str">
        <f t="shared" ca="1" si="301"/>
        <v/>
      </c>
      <c r="M281" s="59" t="str">
        <f t="shared" ca="1" si="301"/>
        <v/>
      </c>
      <c r="N281" s="59" t="str">
        <f t="shared" ca="1" si="301"/>
        <v/>
      </c>
      <c r="O281" s="59" t="str">
        <f t="shared" ca="1" si="301"/>
        <v/>
      </c>
      <c r="P281" s="59" t="str">
        <f t="shared" ca="1" si="301"/>
        <v/>
      </c>
      <c r="Q281" s="59" t="str">
        <f t="shared" ca="1" si="301"/>
        <v/>
      </c>
      <c r="R281" s="59" t="str">
        <f t="shared" ca="1" si="301"/>
        <v/>
      </c>
      <c r="S281" s="59" t="str">
        <f t="shared" ca="1" si="301"/>
        <v/>
      </c>
      <c r="T281" s="59" t="str">
        <f t="shared" ca="1" si="301"/>
        <v/>
      </c>
      <c r="U281" s="59" t="str">
        <f t="shared" ca="1" si="301"/>
        <v/>
      </c>
    </row>
    <row r="282" spans="1:21" ht="15" thickBot="1" x14ac:dyDescent="0.35">
      <c r="A282" s="68"/>
      <c r="B282" s="21"/>
      <c r="C282" s="61"/>
      <c r="D282" s="61"/>
      <c r="E282" s="67"/>
      <c r="F282" s="69" t="str">
        <f t="shared" ca="1" si="278"/>
        <v/>
      </c>
      <c r="G282" s="64" t="str">
        <f t="shared" ca="1" si="279"/>
        <v/>
      </c>
      <c r="H282" s="70" t="str">
        <f t="shared" si="280"/>
        <v/>
      </c>
      <c r="I282" s="66" t="str">
        <f t="shared" si="281"/>
        <v/>
      </c>
      <c r="J282" s="59" t="str">
        <f t="shared" ref="J282:U282" ca="1" si="302">IF($A282="","",
IF($C282&gt;J$3+6,0,IF($D282&gt;=J$3,$I282*5,0)
-IF($D282&gt;=J$3,IF(K$3&gt;$D282,NETWORKDAYS($D282,K$3)-2,0)*$I282,0)
-IF(AND($C282&gt;=J$3,$C282&lt;K$3),($C282-J$3)*$I282,0))
-IF(AND(TODAY()&gt;=J$3,TODAY()&lt;K$3),IF(TODAY()&gt;$C282,NETWORKDAYS($C282,TODAY()-1)*$I282,0),0)
)</f>
        <v/>
      </c>
      <c r="K282" s="59" t="str">
        <f t="shared" ca="1" si="302"/>
        <v/>
      </c>
      <c r="L282" s="59" t="str">
        <f t="shared" ca="1" si="302"/>
        <v/>
      </c>
      <c r="M282" s="59" t="str">
        <f t="shared" ca="1" si="302"/>
        <v/>
      </c>
      <c r="N282" s="59" t="str">
        <f t="shared" ca="1" si="302"/>
        <v/>
      </c>
      <c r="O282" s="59" t="str">
        <f t="shared" ca="1" si="302"/>
        <v/>
      </c>
      <c r="P282" s="59" t="str">
        <f t="shared" ca="1" si="302"/>
        <v/>
      </c>
      <c r="Q282" s="59" t="str">
        <f t="shared" ca="1" si="302"/>
        <v/>
      </c>
      <c r="R282" s="59" t="str">
        <f t="shared" ca="1" si="302"/>
        <v/>
      </c>
      <c r="S282" s="59" t="str">
        <f t="shared" ca="1" si="302"/>
        <v/>
      </c>
      <c r="T282" s="59" t="str">
        <f t="shared" ca="1" si="302"/>
        <v/>
      </c>
      <c r="U282" s="59" t="str">
        <f t="shared" ca="1" si="302"/>
        <v/>
      </c>
    </row>
    <row r="283" spans="1:21" ht="15" thickBot="1" x14ac:dyDescent="0.35">
      <c r="A283" s="68"/>
      <c r="B283" s="21"/>
      <c r="C283" s="61"/>
      <c r="D283" s="61"/>
      <c r="E283" s="67"/>
      <c r="F283" s="69" t="str">
        <f t="shared" ca="1" si="278"/>
        <v/>
      </c>
      <c r="G283" s="64" t="str">
        <f t="shared" ca="1" si="279"/>
        <v/>
      </c>
      <c r="H283" s="70" t="str">
        <f t="shared" si="280"/>
        <v/>
      </c>
      <c r="I283" s="66" t="str">
        <f t="shared" si="281"/>
        <v/>
      </c>
      <c r="J283" s="59" t="str">
        <f t="shared" ref="J283:U283" ca="1" si="303">IF($A283="","",
IF($C283&gt;J$3+6,0,IF($D283&gt;=J$3,$I283*5,0)
-IF($D283&gt;=J$3,IF(K$3&gt;$D283,NETWORKDAYS($D283,K$3)-2,0)*$I283,0)
-IF(AND($C283&gt;=J$3,$C283&lt;K$3),($C283-J$3)*$I283,0))
-IF(AND(TODAY()&gt;=J$3,TODAY()&lt;K$3),IF(TODAY()&gt;$C283,NETWORKDAYS($C283,TODAY()-1)*$I283,0),0)
)</f>
        <v/>
      </c>
      <c r="K283" s="59" t="str">
        <f t="shared" ca="1" si="303"/>
        <v/>
      </c>
      <c r="L283" s="59" t="str">
        <f t="shared" ca="1" si="303"/>
        <v/>
      </c>
      <c r="M283" s="59" t="str">
        <f t="shared" ca="1" si="303"/>
        <v/>
      </c>
      <c r="N283" s="59" t="str">
        <f t="shared" ca="1" si="303"/>
        <v/>
      </c>
      <c r="O283" s="59" t="str">
        <f t="shared" ca="1" si="303"/>
        <v/>
      </c>
      <c r="P283" s="59" t="str">
        <f t="shared" ca="1" si="303"/>
        <v/>
      </c>
      <c r="Q283" s="59" t="str">
        <f t="shared" ca="1" si="303"/>
        <v/>
      </c>
      <c r="R283" s="59" t="str">
        <f t="shared" ca="1" si="303"/>
        <v/>
      </c>
      <c r="S283" s="59" t="str">
        <f t="shared" ca="1" si="303"/>
        <v/>
      </c>
      <c r="T283" s="59" t="str">
        <f t="shared" ca="1" si="303"/>
        <v/>
      </c>
      <c r="U283" s="59" t="str">
        <f t="shared" ca="1" si="303"/>
        <v/>
      </c>
    </row>
    <row r="284" spans="1:21" ht="15" thickBot="1" x14ac:dyDescent="0.35">
      <c r="A284" s="68"/>
      <c r="B284" s="21"/>
      <c r="C284" s="61"/>
      <c r="D284" s="61"/>
      <c r="E284" s="67"/>
      <c r="F284" s="69" t="str">
        <f t="shared" ca="1" si="278"/>
        <v/>
      </c>
      <c r="G284" s="64" t="str">
        <f t="shared" ca="1" si="279"/>
        <v/>
      </c>
      <c r="H284" s="70" t="str">
        <f t="shared" si="280"/>
        <v/>
      </c>
      <c r="I284" s="66" t="str">
        <f t="shared" si="281"/>
        <v/>
      </c>
      <c r="J284" s="59" t="str">
        <f t="shared" ref="J284:U284" ca="1" si="304">IF($A284="","",
IF($C284&gt;J$3+6,0,IF($D284&gt;=J$3,$I284*5,0)
-IF($D284&gt;=J$3,IF(K$3&gt;$D284,NETWORKDAYS($D284,K$3)-2,0)*$I284,0)
-IF(AND($C284&gt;=J$3,$C284&lt;K$3),($C284-J$3)*$I284,0))
-IF(AND(TODAY()&gt;=J$3,TODAY()&lt;K$3),IF(TODAY()&gt;$C284,NETWORKDAYS($C284,TODAY()-1)*$I284,0),0)
)</f>
        <v/>
      </c>
      <c r="K284" s="59" t="str">
        <f t="shared" ca="1" si="304"/>
        <v/>
      </c>
      <c r="L284" s="59" t="str">
        <f t="shared" ca="1" si="304"/>
        <v/>
      </c>
      <c r="M284" s="59" t="str">
        <f t="shared" ca="1" si="304"/>
        <v/>
      </c>
      <c r="N284" s="59" t="str">
        <f t="shared" ca="1" si="304"/>
        <v/>
      </c>
      <c r="O284" s="59" t="str">
        <f t="shared" ca="1" si="304"/>
        <v/>
      </c>
      <c r="P284" s="59" t="str">
        <f t="shared" ca="1" si="304"/>
        <v/>
      </c>
      <c r="Q284" s="59" t="str">
        <f t="shared" ca="1" si="304"/>
        <v/>
      </c>
      <c r="R284" s="59" t="str">
        <f t="shared" ca="1" si="304"/>
        <v/>
      </c>
      <c r="S284" s="59" t="str">
        <f t="shared" ca="1" si="304"/>
        <v/>
      </c>
      <c r="T284" s="59" t="str">
        <f t="shared" ca="1" si="304"/>
        <v/>
      </c>
      <c r="U284" s="59" t="str">
        <f t="shared" ca="1" si="304"/>
        <v/>
      </c>
    </row>
    <row r="285" spans="1:21" ht="15" thickBot="1" x14ac:dyDescent="0.35">
      <c r="A285" s="68"/>
      <c r="B285" s="21"/>
      <c r="C285" s="61"/>
      <c r="D285" s="61"/>
      <c r="E285" s="67"/>
      <c r="F285" s="69" t="str">
        <f t="shared" ca="1" si="278"/>
        <v/>
      </c>
      <c r="G285" s="64" t="str">
        <f t="shared" ca="1" si="279"/>
        <v/>
      </c>
      <c r="H285" s="70" t="str">
        <f t="shared" si="280"/>
        <v/>
      </c>
      <c r="I285" s="66" t="str">
        <f t="shared" si="281"/>
        <v/>
      </c>
      <c r="J285" s="59" t="str">
        <f t="shared" ref="J285:U285" ca="1" si="305">IF($A285="","",
IF($C285&gt;J$3+6,0,IF($D285&gt;=J$3,$I285*5,0)
-IF($D285&gt;=J$3,IF(K$3&gt;$D285,NETWORKDAYS($D285,K$3)-2,0)*$I285,0)
-IF(AND($C285&gt;=J$3,$C285&lt;K$3),($C285-J$3)*$I285,0))
-IF(AND(TODAY()&gt;=J$3,TODAY()&lt;K$3),IF(TODAY()&gt;$C285,NETWORKDAYS($C285,TODAY()-1)*$I285,0),0)
)</f>
        <v/>
      </c>
      <c r="K285" s="59" t="str">
        <f t="shared" ca="1" si="305"/>
        <v/>
      </c>
      <c r="L285" s="59" t="str">
        <f t="shared" ca="1" si="305"/>
        <v/>
      </c>
      <c r="M285" s="59" t="str">
        <f t="shared" ca="1" si="305"/>
        <v/>
      </c>
      <c r="N285" s="59" t="str">
        <f t="shared" ca="1" si="305"/>
        <v/>
      </c>
      <c r="O285" s="59" t="str">
        <f t="shared" ca="1" si="305"/>
        <v/>
      </c>
      <c r="P285" s="59" t="str">
        <f t="shared" ca="1" si="305"/>
        <v/>
      </c>
      <c r="Q285" s="59" t="str">
        <f t="shared" ca="1" si="305"/>
        <v/>
      </c>
      <c r="R285" s="59" t="str">
        <f t="shared" ca="1" si="305"/>
        <v/>
      </c>
      <c r="S285" s="59" t="str">
        <f t="shared" ca="1" si="305"/>
        <v/>
      </c>
      <c r="T285" s="59" t="str">
        <f t="shared" ca="1" si="305"/>
        <v/>
      </c>
      <c r="U285" s="59" t="str">
        <f t="shared" ca="1" si="305"/>
        <v/>
      </c>
    </row>
    <row r="286" spans="1:21" ht="15" thickBot="1" x14ac:dyDescent="0.35">
      <c r="A286" s="68"/>
      <c r="B286" s="21"/>
      <c r="C286" s="61"/>
      <c r="D286" s="61"/>
      <c r="E286" s="67"/>
      <c r="F286" s="69" t="str">
        <f t="shared" ca="1" si="278"/>
        <v/>
      </c>
      <c r="G286" s="64" t="str">
        <f t="shared" ca="1" si="279"/>
        <v/>
      </c>
      <c r="H286" s="70" t="str">
        <f t="shared" si="280"/>
        <v/>
      </c>
      <c r="I286" s="66" t="str">
        <f t="shared" si="281"/>
        <v/>
      </c>
      <c r="J286" s="59" t="str">
        <f t="shared" ref="J286:U286" ca="1" si="306">IF($A286="","",
IF($C286&gt;J$3+6,0,IF($D286&gt;=J$3,$I286*5,0)
-IF($D286&gt;=J$3,IF(K$3&gt;$D286,NETWORKDAYS($D286,K$3)-2,0)*$I286,0)
-IF(AND($C286&gt;=J$3,$C286&lt;K$3),($C286-J$3)*$I286,0))
-IF(AND(TODAY()&gt;=J$3,TODAY()&lt;K$3),IF(TODAY()&gt;$C286,NETWORKDAYS($C286,TODAY()-1)*$I286,0),0)
)</f>
        <v/>
      </c>
      <c r="K286" s="59" t="str">
        <f t="shared" ca="1" si="306"/>
        <v/>
      </c>
      <c r="L286" s="59" t="str">
        <f t="shared" ca="1" si="306"/>
        <v/>
      </c>
      <c r="M286" s="59" t="str">
        <f t="shared" ca="1" si="306"/>
        <v/>
      </c>
      <c r="N286" s="59" t="str">
        <f t="shared" ca="1" si="306"/>
        <v/>
      </c>
      <c r="O286" s="59" t="str">
        <f t="shared" ca="1" si="306"/>
        <v/>
      </c>
      <c r="P286" s="59" t="str">
        <f t="shared" ca="1" si="306"/>
        <v/>
      </c>
      <c r="Q286" s="59" t="str">
        <f t="shared" ca="1" si="306"/>
        <v/>
      </c>
      <c r="R286" s="59" t="str">
        <f t="shared" ca="1" si="306"/>
        <v/>
      </c>
      <c r="S286" s="59" t="str">
        <f t="shared" ca="1" si="306"/>
        <v/>
      </c>
      <c r="T286" s="59" t="str">
        <f t="shared" ca="1" si="306"/>
        <v/>
      </c>
      <c r="U286" s="59" t="str">
        <f t="shared" ca="1" si="306"/>
        <v/>
      </c>
    </row>
    <row r="287" spans="1:21" ht="15" thickBot="1" x14ac:dyDescent="0.35">
      <c r="A287" s="68"/>
      <c r="B287" s="21"/>
      <c r="C287" s="61"/>
      <c r="D287" s="61"/>
      <c r="E287" s="67"/>
      <c r="F287" s="69" t="str">
        <f t="shared" ca="1" si="278"/>
        <v/>
      </c>
      <c r="G287" s="64" t="str">
        <f t="shared" ca="1" si="279"/>
        <v/>
      </c>
      <c r="H287" s="70" t="str">
        <f t="shared" si="280"/>
        <v/>
      </c>
      <c r="I287" s="66" t="str">
        <f t="shared" si="281"/>
        <v/>
      </c>
      <c r="J287" s="59" t="str">
        <f t="shared" ref="J287:U287" ca="1" si="307">IF($A287="","",
IF($C287&gt;J$3+6,0,IF($D287&gt;=J$3,$I287*5,0)
-IF($D287&gt;=J$3,IF(K$3&gt;$D287,NETWORKDAYS($D287,K$3)-2,0)*$I287,0)
-IF(AND($C287&gt;=J$3,$C287&lt;K$3),($C287-J$3)*$I287,0))
-IF(AND(TODAY()&gt;=J$3,TODAY()&lt;K$3),IF(TODAY()&gt;$C287,NETWORKDAYS($C287,TODAY()-1)*$I287,0),0)
)</f>
        <v/>
      </c>
      <c r="K287" s="59" t="str">
        <f t="shared" ca="1" si="307"/>
        <v/>
      </c>
      <c r="L287" s="59" t="str">
        <f t="shared" ca="1" si="307"/>
        <v/>
      </c>
      <c r="M287" s="59" t="str">
        <f t="shared" ca="1" si="307"/>
        <v/>
      </c>
      <c r="N287" s="59" t="str">
        <f t="shared" ca="1" si="307"/>
        <v/>
      </c>
      <c r="O287" s="59" t="str">
        <f t="shared" ca="1" si="307"/>
        <v/>
      </c>
      <c r="P287" s="59" t="str">
        <f t="shared" ca="1" si="307"/>
        <v/>
      </c>
      <c r="Q287" s="59" t="str">
        <f t="shared" ca="1" si="307"/>
        <v/>
      </c>
      <c r="R287" s="59" t="str">
        <f t="shared" ca="1" si="307"/>
        <v/>
      </c>
      <c r="S287" s="59" t="str">
        <f t="shared" ca="1" si="307"/>
        <v/>
      </c>
      <c r="T287" s="59" t="str">
        <f t="shared" ca="1" si="307"/>
        <v/>
      </c>
      <c r="U287" s="59" t="str">
        <f t="shared" ca="1" si="307"/>
        <v/>
      </c>
    </row>
    <row r="288" spans="1:21" ht="15" thickBot="1" x14ac:dyDescent="0.35">
      <c r="A288" s="68"/>
      <c r="B288" s="21"/>
      <c r="C288" s="61"/>
      <c r="D288" s="61"/>
      <c r="E288" s="67"/>
      <c r="F288" s="69" t="str">
        <f t="shared" ca="1" si="278"/>
        <v/>
      </c>
      <c r="G288" s="64" t="str">
        <f t="shared" ca="1" si="279"/>
        <v/>
      </c>
      <c r="H288" s="70" t="str">
        <f t="shared" si="280"/>
        <v/>
      </c>
      <c r="I288" s="66" t="str">
        <f t="shared" si="281"/>
        <v/>
      </c>
      <c r="J288" s="59" t="str">
        <f t="shared" ref="J288:U288" ca="1" si="308">IF($A288="","",
IF($C288&gt;J$3+6,0,IF($D288&gt;=J$3,$I288*5,0)
-IF($D288&gt;=J$3,IF(K$3&gt;$D288,NETWORKDAYS($D288,K$3)-2,0)*$I288,0)
-IF(AND($C288&gt;=J$3,$C288&lt;K$3),($C288-J$3)*$I288,0))
-IF(AND(TODAY()&gt;=J$3,TODAY()&lt;K$3),IF(TODAY()&gt;$C288,NETWORKDAYS($C288,TODAY()-1)*$I288,0),0)
)</f>
        <v/>
      </c>
      <c r="K288" s="59" t="str">
        <f t="shared" ca="1" si="308"/>
        <v/>
      </c>
      <c r="L288" s="59" t="str">
        <f t="shared" ca="1" si="308"/>
        <v/>
      </c>
      <c r="M288" s="59" t="str">
        <f t="shared" ca="1" si="308"/>
        <v/>
      </c>
      <c r="N288" s="59" t="str">
        <f t="shared" ca="1" si="308"/>
        <v/>
      </c>
      <c r="O288" s="59" t="str">
        <f t="shared" ca="1" si="308"/>
        <v/>
      </c>
      <c r="P288" s="59" t="str">
        <f t="shared" ca="1" si="308"/>
        <v/>
      </c>
      <c r="Q288" s="59" t="str">
        <f t="shared" ca="1" si="308"/>
        <v/>
      </c>
      <c r="R288" s="59" t="str">
        <f t="shared" ca="1" si="308"/>
        <v/>
      </c>
      <c r="S288" s="59" t="str">
        <f t="shared" ca="1" si="308"/>
        <v/>
      </c>
      <c r="T288" s="59" t="str">
        <f t="shared" ca="1" si="308"/>
        <v/>
      </c>
      <c r="U288" s="59" t="str">
        <f t="shared" ca="1" si="308"/>
        <v/>
      </c>
    </row>
    <row r="289" spans="1:21" ht="15" thickBot="1" x14ac:dyDescent="0.35">
      <c r="A289" s="68"/>
      <c r="B289" s="21"/>
      <c r="C289" s="61"/>
      <c r="D289" s="61"/>
      <c r="E289" s="67"/>
      <c r="F289" s="69" t="str">
        <f t="shared" ca="1" si="278"/>
        <v/>
      </c>
      <c r="G289" s="64" t="str">
        <f t="shared" ca="1" si="279"/>
        <v/>
      </c>
      <c r="H289" s="70" t="str">
        <f t="shared" si="280"/>
        <v/>
      </c>
      <c r="I289" s="66" t="str">
        <f t="shared" si="281"/>
        <v/>
      </c>
      <c r="J289" s="59" t="str">
        <f t="shared" ref="J289:U289" ca="1" si="309">IF($A289="","",
IF($C289&gt;J$3+6,0,IF($D289&gt;=J$3,$I289*5,0)
-IF($D289&gt;=J$3,IF(K$3&gt;$D289,NETWORKDAYS($D289,K$3)-2,0)*$I289,0)
-IF(AND($C289&gt;=J$3,$C289&lt;K$3),($C289-J$3)*$I289,0))
-IF(AND(TODAY()&gt;=J$3,TODAY()&lt;K$3),IF(TODAY()&gt;$C289,NETWORKDAYS($C289,TODAY()-1)*$I289,0),0)
)</f>
        <v/>
      </c>
      <c r="K289" s="59" t="str">
        <f t="shared" ca="1" si="309"/>
        <v/>
      </c>
      <c r="L289" s="59" t="str">
        <f t="shared" ca="1" si="309"/>
        <v/>
      </c>
      <c r="M289" s="59" t="str">
        <f t="shared" ca="1" si="309"/>
        <v/>
      </c>
      <c r="N289" s="59" t="str">
        <f t="shared" ca="1" si="309"/>
        <v/>
      </c>
      <c r="O289" s="59" t="str">
        <f t="shared" ca="1" si="309"/>
        <v/>
      </c>
      <c r="P289" s="59" t="str">
        <f t="shared" ca="1" si="309"/>
        <v/>
      </c>
      <c r="Q289" s="59" t="str">
        <f t="shared" ca="1" si="309"/>
        <v/>
      </c>
      <c r="R289" s="59" t="str">
        <f t="shared" ca="1" si="309"/>
        <v/>
      </c>
      <c r="S289" s="59" t="str">
        <f t="shared" ca="1" si="309"/>
        <v/>
      </c>
      <c r="T289" s="59" t="str">
        <f t="shared" ca="1" si="309"/>
        <v/>
      </c>
      <c r="U289" s="59" t="str">
        <f t="shared" ca="1" si="309"/>
        <v/>
      </c>
    </row>
    <row r="290" spans="1:21" ht="15" thickBot="1" x14ac:dyDescent="0.35">
      <c r="A290" s="68"/>
      <c r="B290" s="21"/>
      <c r="C290" s="61"/>
      <c r="D290" s="61"/>
      <c r="E290" s="67"/>
      <c r="F290" s="69" t="str">
        <f t="shared" ca="1" si="278"/>
        <v/>
      </c>
      <c r="G290" s="64" t="str">
        <f t="shared" ca="1" si="279"/>
        <v/>
      </c>
      <c r="H290" s="70" t="str">
        <f t="shared" si="280"/>
        <v/>
      </c>
      <c r="I290" s="66" t="str">
        <f t="shared" si="281"/>
        <v/>
      </c>
      <c r="J290" s="59" t="str">
        <f t="shared" ref="J290:U290" ca="1" si="310">IF($A290="","",
IF($C290&gt;J$3+6,0,IF($D290&gt;=J$3,$I290*5,0)
-IF($D290&gt;=J$3,IF(K$3&gt;$D290,NETWORKDAYS($D290,K$3)-2,0)*$I290,0)
-IF(AND($C290&gt;=J$3,$C290&lt;K$3),($C290-J$3)*$I290,0))
-IF(AND(TODAY()&gt;=J$3,TODAY()&lt;K$3),IF(TODAY()&gt;$C290,NETWORKDAYS($C290,TODAY()-1)*$I290,0),0)
)</f>
        <v/>
      </c>
      <c r="K290" s="59" t="str">
        <f t="shared" ca="1" si="310"/>
        <v/>
      </c>
      <c r="L290" s="59" t="str">
        <f t="shared" ca="1" si="310"/>
        <v/>
      </c>
      <c r="M290" s="59" t="str">
        <f t="shared" ca="1" si="310"/>
        <v/>
      </c>
      <c r="N290" s="59" t="str">
        <f t="shared" ca="1" si="310"/>
        <v/>
      </c>
      <c r="O290" s="59" t="str">
        <f t="shared" ca="1" si="310"/>
        <v/>
      </c>
      <c r="P290" s="59" t="str">
        <f t="shared" ca="1" si="310"/>
        <v/>
      </c>
      <c r="Q290" s="59" t="str">
        <f t="shared" ca="1" si="310"/>
        <v/>
      </c>
      <c r="R290" s="59" t="str">
        <f t="shared" ca="1" si="310"/>
        <v/>
      </c>
      <c r="S290" s="59" t="str">
        <f t="shared" ca="1" si="310"/>
        <v/>
      </c>
      <c r="T290" s="59" t="str">
        <f t="shared" ca="1" si="310"/>
        <v/>
      </c>
      <c r="U290" s="59" t="str">
        <f t="shared" ca="1" si="310"/>
        <v/>
      </c>
    </row>
    <row r="291" spans="1:21" ht="15" thickBot="1" x14ac:dyDescent="0.35">
      <c r="A291" s="68"/>
      <c r="B291" s="21"/>
      <c r="C291" s="61"/>
      <c r="D291" s="61"/>
      <c r="E291" s="67"/>
      <c r="F291" s="69" t="str">
        <f t="shared" ca="1" si="278"/>
        <v/>
      </c>
      <c r="G291" s="64" t="str">
        <f t="shared" ca="1" si="279"/>
        <v/>
      </c>
      <c r="H291" s="70" t="str">
        <f t="shared" si="280"/>
        <v/>
      </c>
      <c r="I291" s="66" t="str">
        <f t="shared" si="281"/>
        <v/>
      </c>
      <c r="J291" s="59" t="str">
        <f t="shared" ref="J291:U291" ca="1" si="311">IF($A291="","",
IF($C291&gt;J$3+6,0,IF($D291&gt;=J$3,$I291*5,0)
-IF($D291&gt;=J$3,IF(K$3&gt;$D291,NETWORKDAYS($D291,K$3)-2,0)*$I291,0)
-IF(AND($C291&gt;=J$3,$C291&lt;K$3),($C291-J$3)*$I291,0))
-IF(AND(TODAY()&gt;=J$3,TODAY()&lt;K$3),IF(TODAY()&gt;$C291,NETWORKDAYS($C291,TODAY()-1)*$I291,0),0)
)</f>
        <v/>
      </c>
      <c r="K291" s="59" t="str">
        <f t="shared" ca="1" si="311"/>
        <v/>
      </c>
      <c r="L291" s="59" t="str">
        <f t="shared" ca="1" si="311"/>
        <v/>
      </c>
      <c r="M291" s="59" t="str">
        <f t="shared" ca="1" si="311"/>
        <v/>
      </c>
      <c r="N291" s="59" t="str">
        <f t="shared" ca="1" si="311"/>
        <v/>
      </c>
      <c r="O291" s="59" t="str">
        <f t="shared" ca="1" si="311"/>
        <v/>
      </c>
      <c r="P291" s="59" t="str">
        <f t="shared" ca="1" si="311"/>
        <v/>
      </c>
      <c r="Q291" s="59" t="str">
        <f t="shared" ca="1" si="311"/>
        <v/>
      </c>
      <c r="R291" s="59" t="str">
        <f t="shared" ca="1" si="311"/>
        <v/>
      </c>
      <c r="S291" s="59" t="str">
        <f t="shared" ca="1" si="311"/>
        <v/>
      </c>
      <c r="T291" s="59" t="str">
        <f t="shared" ca="1" si="311"/>
        <v/>
      </c>
      <c r="U291" s="59" t="str">
        <f t="shared" ca="1" si="311"/>
        <v/>
      </c>
    </row>
    <row r="292" spans="1:21" ht="15" thickBot="1" x14ac:dyDescent="0.35">
      <c r="A292" s="68"/>
      <c r="B292" s="21"/>
      <c r="C292" s="61"/>
      <c r="D292" s="61"/>
      <c r="E292" s="67"/>
      <c r="F292" s="69" t="str">
        <f t="shared" ca="1" si="278"/>
        <v/>
      </c>
      <c r="G292" s="64" t="str">
        <f t="shared" ca="1" si="279"/>
        <v/>
      </c>
      <c r="H292" s="70" t="str">
        <f t="shared" si="280"/>
        <v/>
      </c>
      <c r="I292" s="66" t="str">
        <f t="shared" si="281"/>
        <v/>
      </c>
      <c r="J292" s="59" t="str">
        <f t="shared" ref="J292:U292" ca="1" si="312">IF($A292="","",
IF($C292&gt;J$3+6,0,IF($D292&gt;=J$3,$I292*5,0)
-IF($D292&gt;=J$3,IF(K$3&gt;$D292,NETWORKDAYS($D292,K$3)-2,0)*$I292,0)
-IF(AND($C292&gt;=J$3,$C292&lt;K$3),($C292-J$3)*$I292,0))
-IF(AND(TODAY()&gt;=J$3,TODAY()&lt;K$3),IF(TODAY()&gt;$C292,NETWORKDAYS($C292,TODAY()-1)*$I292,0),0)
)</f>
        <v/>
      </c>
      <c r="K292" s="59" t="str">
        <f t="shared" ca="1" si="312"/>
        <v/>
      </c>
      <c r="L292" s="59" t="str">
        <f t="shared" ca="1" si="312"/>
        <v/>
      </c>
      <c r="M292" s="59" t="str">
        <f t="shared" ca="1" si="312"/>
        <v/>
      </c>
      <c r="N292" s="59" t="str">
        <f t="shared" ca="1" si="312"/>
        <v/>
      </c>
      <c r="O292" s="59" t="str">
        <f t="shared" ca="1" si="312"/>
        <v/>
      </c>
      <c r="P292" s="59" t="str">
        <f t="shared" ca="1" si="312"/>
        <v/>
      </c>
      <c r="Q292" s="59" t="str">
        <f t="shared" ca="1" si="312"/>
        <v/>
      </c>
      <c r="R292" s="59" t="str">
        <f t="shared" ca="1" si="312"/>
        <v/>
      </c>
      <c r="S292" s="59" t="str">
        <f t="shared" ca="1" si="312"/>
        <v/>
      </c>
      <c r="T292" s="59" t="str">
        <f t="shared" ca="1" si="312"/>
        <v/>
      </c>
      <c r="U292" s="59" t="str">
        <f t="shared" ca="1" si="312"/>
        <v/>
      </c>
    </row>
    <row r="293" spans="1:21" ht="15" thickBot="1" x14ac:dyDescent="0.35">
      <c r="A293" s="68"/>
      <c r="B293" s="21"/>
      <c r="C293" s="61"/>
      <c r="D293" s="61"/>
      <c r="E293" s="67"/>
      <c r="F293" s="69" t="str">
        <f t="shared" ca="1" si="278"/>
        <v/>
      </c>
      <c r="G293" s="64" t="str">
        <f t="shared" ca="1" si="279"/>
        <v/>
      </c>
      <c r="H293" s="70" t="str">
        <f t="shared" si="280"/>
        <v/>
      </c>
      <c r="I293" s="66" t="str">
        <f t="shared" si="281"/>
        <v/>
      </c>
      <c r="J293" s="59" t="str">
        <f t="shared" ref="J293:U293" ca="1" si="313">IF($A293="","",
IF($C293&gt;J$3+6,0,IF($D293&gt;=J$3,$I293*5,0)
-IF($D293&gt;=J$3,IF(K$3&gt;$D293,NETWORKDAYS($D293,K$3)-2,0)*$I293,0)
-IF(AND($C293&gt;=J$3,$C293&lt;K$3),($C293-J$3)*$I293,0))
-IF(AND(TODAY()&gt;=J$3,TODAY()&lt;K$3),IF(TODAY()&gt;$C293,NETWORKDAYS($C293,TODAY()-1)*$I293,0),0)
)</f>
        <v/>
      </c>
      <c r="K293" s="59" t="str">
        <f t="shared" ca="1" si="313"/>
        <v/>
      </c>
      <c r="L293" s="59" t="str">
        <f t="shared" ca="1" si="313"/>
        <v/>
      </c>
      <c r="M293" s="59" t="str">
        <f t="shared" ca="1" si="313"/>
        <v/>
      </c>
      <c r="N293" s="59" t="str">
        <f t="shared" ca="1" si="313"/>
        <v/>
      </c>
      <c r="O293" s="59" t="str">
        <f t="shared" ca="1" si="313"/>
        <v/>
      </c>
      <c r="P293" s="59" t="str">
        <f t="shared" ca="1" si="313"/>
        <v/>
      </c>
      <c r="Q293" s="59" t="str">
        <f t="shared" ca="1" si="313"/>
        <v/>
      </c>
      <c r="R293" s="59" t="str">
        <f t="shared" ca="1" si="313"/>
        <v/>
      </c>
      <c r="S293" s="59" t="str">
        <f t="shared" ca="1" si="313"/>
        <v/>
      </c>
      <c r="T293" s="59" t="str">
        <f t="shared" ca="1" si="313"/>
        <v/>
      </c>
      <c r="U293" s="59" t="str">
        <f t="shared" ca="1" si="313"/>
        <v/>
      </c>
    </row>
    <row r="294" spans="1:21" ht="15" thickBot="1" x14ac:dyDescent="0.35">
      <c r="A294" s="68"/>
      <c r="B294" s="21"/>
      <c r="C294" s="61"/>
      <c r="D294" s="61"/>
      <c r="E294" s="67"/>
      <c r="F294" s="69" t="str">
        <f t="shared" ca="1" si="278"/>
        <v/>
      </c>
      <c r="G294" s="64" t="str">
        <f t="shared" ca="1" si="279"/>
        <v/>
      </c>
      <c r="H294" s="70" t="str">
        <f t="shared" si="280"/>
        <v/>
      </c>
      <c r="I294" s="66" t="str">
        <f t="shared" si="281"/>
        <v/>
      </c>
      <c r="J294" s="59" t="str">
        <f t="shared" ref="J294:U294" ca="1" si="314">IF($A294="","",
IF($C294&gt;J$3+6,0,IF($D294&gt;=J$3,$I294*5,0)
-IF($D294&gt;=J$3,IF(K$3&gt;$D294,NETWORKDAYS($D294,K$3)-2,0)*$I294,0)
-IF(AND($C294&gt;=J$3,$C294&lt;K$3),($C294-J$3)*$I294,0))
-IF(AND(TODAY()&gt;=J$3,TODAY()&lt;K$3),IF(TODAY()&gt;$C294,NETWORKDAYS($C294,TODAY()-1)*$I294,0),0)
)</f>
        <v/>
      </c>
      <c r="K294" s="59" t="str">
        <f t="shared" ca="1" si="314"/>
        <v/>
      </c>
      <c r="L294" s="59" t="str">
        <f t="shared" ca="1" si="314"/>
        <v/>
      </c>
      <c r="M294" s="59" t="str">
        <f t="shared" ca="1" si="314"/>
        <v/>
      </c>
      <c r="N294" s="59" t="str">
        <f t="shared" ca="1" si="314"/>
        <v/>
      </c>
      <c r="O294" s="59" t="str">
        <f t="shared" ca="1" si="314"/>
        <v/>
      </c>
      <c r="P294" s="59" t="str">
        <f t="shared" ca="1" si="314"/>
        <v/>
      </c>
      <c r="Q294" s="59" t="str">
        <f t="shared" ca="1" si="314"/>
        <v/>
      </c>
      <c r="R294" s="59" t="str">
        <f t="shared" ca="1" si="314"/>
        <v/>
      </c>
      <c r="S294" s="59" t="str">
        <f t="shared" ca="1" si="314"/>
        <v/>
      </c>
      <c r="T294" s="59" t="str">
        <f t="shared" ca="1" si="314"/>
        <v/>
      </c>
      <c r="U294" s="59" t="str">
        <f t="shared" ca="1" si="314"/>
        <v/>
      </c>
    </row>
    <row r="295" spans="1:21" ht="15" thickBot="1" x14ac:dyDescent="0.35">
      <c r="A295" s="68"/>
      <c r="B295" s="21"/>
      <c r="C295" s="61"/>
      <c r="D295" s="61"/>
      <c r="E295" s="67"/>
      <c r="F295" s="69" t="str">
        <f t="shared" ca="1" si="278"/>
        <v/>
      </c>
      <c r="G295" s="64" t="str">
        <f t="shared" ca="1" si="279"/>
        <v/>
      </c>
      <c r="H295" s="70" t="str">
        <f t="shared" si="280"/>
        <v/>
      </c>
      <c r="I295" s="66" t="str">
        <f t="shared" si="281"/>
        <v/>
      </c>
      <c r="J295" s="59" t="str">
        <f t="shared" ref="J295:U295" ca="1" si="315">IF($A295="","",
IF($C295&gt;J$3+6,0,IF($D295&gt;=J$3,$I295*5,0)
-IF($D295&gt;=J$3,IF(K$3&gt;$D295,NETWORKDAYS($D295,K$3)-2,0)*$I295,0)
-IF(AND($C295&gt;=J$3,$C295&lt;K$3),($C295-J$3)*$I295,0))
-IF(AND(TODAY()&gt;=J$3,TODAY()&lt;K$3),IF(TODAY()&gt;$C295,NETWORKDAYS($C295,TODAY()-1)*$I295,0),0)
)</f>
        <v/>
      </c>
      <c r="K295" s="59" t="str">
        <f t="shared" ca="1" si="315"/>
        <v/>
      </c>
      <c r="L295" s="59" t="str">
        <f t="shared" ca="1" si="315"/>
        <v/>
      </c>
      <c r="M295" s="59" t="str">
        <f t="shared" ca="1" si="315"/>
        <v/>
      </c>
      <c r="N295" s="59" t="str">
        <f t="shared" ca="1" si="315"/>
        <v/>
      </c>
      <c r="O295" s="59" t="str">
        <f t="shared" ca="1" si="315"/>
        <v/>
      </c>
      <c r="P295" s="59" t="str">
        <f t="shared" ca="1" si="315"/>
        <v/>
      </c>
      <c r="Q295" s="59" t="str">
        <f t="shared" ca="1" si="315"/>
        <v/>
      </c>
      <c r="R295" s="59" t="str">
        <f t="shared" ca="1" si="315"/>
        <v/>
      </c>
      <c r="S295" s="59" t="str">
        <f t="shared" ca="1" si="315"/>
        <v/>
      </c>
      <c r="T295" s="59" t="str">
        <f t="shared" ca="1" si="315"/>
        <v/>
      </c>
      <c r="U295" s="59" t="str">
        <f t="shared" ca="1" si="315"/>
        <v/>
      </c>
    </row>
    <row r="296" spans="1:21" ht="15" thickBot="1" x14ac:dyDescent="0.35">
      <c r="A296" s="68"/>
      <c r="B296" s="21"/>
      <c r="C296" s="61"/>
      <c r="D296" s="61"/>
      <c r="E296" s="67"/>
      <c r="F296" s="69" t="str">
        <f t="shared" ca="1" si="278"/>
        <v/>
      </c>
      <c r="G296" s="64" t="str">
        <f t="shared" ca="1" si="279"/>
        <v/>
      </c>
      <c r="H296" s="70" t="str">
        <f t="shared" si="280"/>
        <v/>
      </c>
      <c r="I296" s="66" t="str">
        <f t="shared" si="281"/>
        <v/>
      </c>
      <c r="J296" s="59" t="str">
        <f t="shared" ref="J296:U296" ca="1" si="316">IF($A296="","",
IF($C296&gt;J$3+6,0,IF($D296&gt;=J$3,$I296*5,0)
-IF($D296&gt;=J$3,IF(K$3&gt;$D296,NETWORKDAYS($D296,K$3)-2,0)*$I296,0)
-IF(AND($C296&gt;=J$3,$C296&lt;K$3),($C296-J$3)*$I296,0))
-IF(AND(TODAY()&gt;=J$3,TODAY()&lt;K$3),IF(TODAY()&gt;$C296,NETWORKDAYS($C296,TODAY()-1)*$I296,0),0)
)</f>
        <v/>
      </c>
      <c r="K296" s="59" t="str">
        <f t="shared" ca="1" si="316"/>
        <v/>
      </c>
      <c r="L296" s="59" t="str">
        <f t="shared" ca="1" si="316"/>
        <v/>
      </c>
      <c r="M296" s="59" t="str">
        <f t="shared" ca="1" si="316"/>
        <v/>
      </c>
      <c r="N296" s="59" t="str">
        <f t="shared" ca="1" si="316"/>
        <v/>
      </c>
      <c r="O296" s="59" t="str">
        <f t="shared" ca="1" si="316"/>
        <v/>
      </c>
      <c r="P296" s="59" t="str">
        <f t="shared" ca="1" si="316"/>
        <v/>
      </c>
      <c r="Q296" s="59" t="str">
        <f t="shared" ca="1" si="316"/>
        <v/>
      </c>
      <c r="R296" s="59" t="str">
        <f t="shared" ca="1" si="316"/>
        <v/>
      </c>
      <c r="S296" s="59" t="str">
        <f t="shared" ca="1" si="316"/>
        <v/>
      </c>
      <c r="T296" s="59" t="str">
        <f t="shared" ca="1" si="316"/>
        <v/>
      </c>
      <c r="U296" s="59" t="str">
        <f t="shared" ca="1" si="316"/>
        <v/>
      </c>
    </row>
    <row r="297" spans="1:21" ht="15" thickBot="1" x14ac:dyDescent="0.35">
      <c r="A297" s="68"/>
      <c r="B297" s="21"/>
      <c r="C297" s="61"/>
      <c r="D297" s="61"/>
      <c r="E297" s="67"/>
      <c r="F297" s="69" t="str">
        <f t="shared" ca="1" si="278"/>
        <v/>
      </c>
      <c r="G297" s="64" t="str">
        <f t="shared" ca="1" si="279"/>
        <v/>
      </c>
      <c r="H297" s="70" t="str">
        <f t="shared" si="280"/>
        <v/>
      </c>
      <c r="I297" s="66" t="str">
        <f t="shared" si="281"/>
        <v/>
      </c>
      <c r="J297" s="59" t="str">
        <f t="shared" ref="J297:U297" ca="1" si="317">IF($A297="","",
IF($C297&gt;J$3+6,0,IF($D297&gt;=J$3,$I297*5,0)
-IF($D297&gt;=J$3,IF(K$3&gt;$D297,NETWORKDAYS($D297,K$3)-2,0)*$I297,0)
-IF(AND($C297&gt;=J$3,$C297&lt;K$3),($C297-J$3)*$I297,0))
-IF(AND(TODAY()&gt;=J$3,TODAY()&lt;K$3),IF(TODAY()&gt;$C297,NETWORKDAYS($C297,TODAY()-1)*$I297,0),0)
)</f>
        <v/>
      </c>
      <c r="K297" s="59" t="str">
        <f t="shared" ca="1" si="317"/>
        <v/>
      </c>
      <c r="L297" s="59" t="str">
        <f t="shared" ca="1" si="317"/>
        <v/>
      </c>
      <c r="M297" s="59" t="str">
        <f t="shared" ca="1" si="317"/>
        <v/>
      </c>
      <c r="N297" s="59" t="str">
        <f t="shared" ca="1" si="317"/>
        <v/>
      </c>
      <c r="O297" s="59" t="str">
        <f t="shared" ca="1" si="317"/>
        <v/>
      </c>
      <c r="P297" s="59" t="str">
        <f t="shared" ca="1" si="317"/>
        <v/>
      </c>
      <c r="Q297" s="59" t="str">
        <f t="shared" ca="1" si="317"/>
        <v/>
      </c>
      <c r="R297" s="59" t="str">
        <f t="shared" ca="1" si="317"/>
        <v/>
      </c>
      <c r="S297" s="59" t="str">
        <f t="shared" ca="1" si="317"/>
        <v/>
      </c>
      <c r="T297" s="59" t="str">
        <f t="shared" ca="1" si="317"/>
        <v/>
      </c>
      <c r="U297" s="59" t="str">
        <f t="shared" ca="1" si="317"/>
        <v/>
      </c>
    </row>
    <row r="298" spans="1:21" ht="15" thickBot="1" x14ac:dyDescent="0.35">
      <c r="A298" s="68"/>
      <c r="B298" s="21"/>
      <c r="C298" s="61"/>
      <c r="D298" s="61"/>
      <c r="E298" s="67"/>
      <c r="F298" s="69" t="str">
        <f t="shared" ca="1" si="278"/>
        <v/>
      </c>
      <c r="G298" s="64" t="str">
        <f t="shared" ca="1" si="279"/>
        <v/>
      </c>
      <c r="H298" s="70" t="str">
        <f t="shared" si="280"/>
        <v/>
      </c>
      <c r="I298" s="66" t="str">
        <f t="shared" si="281"/>
        <v/>
      </c>
      <c r="J298" s="59" t="str">
        <f t="shared" ref="J298:U298" ca="1" si="318">IF($A298="","",
IF($C298&gt;J$3+6,0,IF($D298&gt;=J$3,$I298*5,0)
-IF($D298&gt;=J$3,IF(K$3&gt;$D298,NETWORKDAYS($D298,K$3)-2,0)*$I298,0)
-IF(AND($C298&gt;=J$3,$C298&lt;K$3),($C298-J$3)*$I298,0))
-IF(AND(TODAY()&gt;=J$3,TODAY()&lt;K$3),IF(TODAY()&gt;$C298,NETWORKDAYS($C298,TODAY()-1)*$I298,0),0)
)</f>
        <v/>
      </c>
      <c r="K298" s="59" t="str">
        <f t="shared" ca="1" si="318"/>
        <v/>
      </c>
      <c r="L298" s="59" t="str">
        <f t="shared" ca="1" si="318"/>
        <v/>
      </c>
      <c r="M298" s="59" t="str">
        <f t="shared" ca="1" si="318"/>
        <v/>
      </c>
      <c r="N298" s="59" t="str">
        <f t="shared" ca="1" si="318"/>
        <v/>
      </c>
      <c r="O298" s="59" t="str">
        <f t="shared" ca="1" si="318"/>
        <v/>
      </c>
      <c r="P298" s="59" t="str">
        <f t="shared" ca="1" si="318"/>
        <v/>
      </c>
      <c r="Q298" s="59" t="str">
        <f t="shared" ca="1" si="318"/>
        <v/>
      </c>
      <c r="R298" s="59" t="str">
        <f t="shared" ca="1" si="318"/>
        <v/>
      </c>
      <c r="S298" s="59" t="str">
        <f t="shared" ca="1" si="318"/>
        <v/>
      </c>
      <c r="T298" s="59" t="str">
        <f t="shared" ca="1" si="318"/>
        <v/>
      </c>
      <c r="U298" s="59" t="str">
        <f t="shared" ca="1" si="318"/>
        <v/>
      </c>
    </row>
    <row r="299" spans="1:21" ht="15" thickBot="1" x14ac:dyDescent="0.35">
      <c r="A299" s="68"/>
      <c r="B299" s="21"/>
      <c r="C299" s="61"/>
      <c r="D299" s="61"/>
      <c r="E299" s="67"/>
      <c r="F299" s="69" t="str">
        <f t="shared" ca="1" si="278"/>
        <v/>
      </c>
      <c r="G299" s="64" t="str">
        <f t="shared" ca="1" si="279"/>
        <v/>
      </c>
      <c r="H299" s="70" t="str">
        <f t="shared" si="280"/>
        <v/>
      </c>
      <c r="I299" s="66" t="str">
        <f t="shared" si="281"/>
        <v/>
      </c>
      <c r="J299" s="59" t="str">
        <f t="shared" ref="J299:U299" ca="1" si="319">IF($A299="","",
IF($C299&gt;J$3+6,0,IF($D299&gt;=J$3,$I299*5,0)
-IF($D299&gt;=J$3,IF(K$3&gt;$D299,NETWORKDAYS($D299,K$3)-2,0)*$I299,0)
-IF(AND($C299&gt;=J$3,$C299&lt;K$3),($C299-J$3)*$I299,0))
-IF(AND(TODAY()&gt;=J$3,TODAY()&lt;K$3),IF(TODAY()&gt;$C299,NETWORKDAYS($C299,TODAY()-1)*$I299,0),0)
)</f>
        <v/>
      </c>
      <c r="K299" s="59" t="str">
        <f t="shared" ca="1" si="319"/>
        <v/>
      </c>
      <c r="L299" s="59" t="str">
        <f t="shared" ca="1" si="319"/>
        <v/>
      </c>
      <c r="M299" s="59" t="str">
        <f t="shared" ca="1" si="319"/>
        <v/>
      </c>
      <c r="N299" s="59" t="str">
        <f t="shared" ca="1" si="319"/>
        <v/>
      </c>
      <c r="O299" s="59" t="str">
        <f t="shared" ca="1" si="319"/>
        <v/>
      </c>
      <c r="P299" s="59" t="str">
        <f t="shared" ca="1" si="319"/>
        <v/>
      </c>
      <c r="Q299" s="59" t="str">
        <f t="shared" ca="1" si="319"/>
        <v/>
      </c>
      <c r="R299" s="59" t="str">
        <f t="shared" ca="1" si="319"/>
        <v/>
      </c>
      <c r="S299" s="59" t="str">
        <f t="shared" ca="1" si="319"/>
        <v/>
      </c>
      <c r="T299" s="59" t="str">
        <f t="shared" ca="1" si="319"/>
        <v/>
      </c>
      <c r="U299" s="59" t="str">
        <f t="shared" ca="1" si="319"/>
        <v/>
      </c>
    </row>
    <row r="300" spans="1:21" ht="15" thickBot="1" x14ac:dyDescent="0.35">
      <c r="A300" s="71"/>
      <c r="B300" s="72"/>
      <c r="C300" s="73"/>
      <c r="D300" s="73"/>
      <c r="E300" s="74"/>
      <c r="F300" s="75" t="str">
        <f t="shared" ca="1" si="278"/>
        <v/>
      </c>
      <c r="G300" s="76" t="str">
        <f t="shared" ca="1" si="279"/>
        <v/>
      </c>
      <c r="H300" s="77" t="str">
        <f t="shared" si="280"/>
        <v/>
      </c>
      <c r="I300" s="78" t="str">
        <f t="shared" si="281"/>
        <v/>
      </c>
      <c r="J300" s="59" t="str">
        <f t="shared" ref="J300:U300" ca="1" si="320">IF($A300="","",
IF($C300&gt;J$3+6,0,IF($D300&gt;=J$3,$I300*5,0)
-IF($D300&gt;=J$3,IF(K$3&gt;$D300,NETWORKDAYS($D300,K$3)-2,0)*$I300,0)
-IF(AND($C300&gt;=J$3,$C300&lt;K$3),($C300-J$3)*$I300,0))
-IF(AND(TODAY()&gt;=J$3,TODAY()&lt;K$3),IF(TODAY()&gt;$C300,NETWORKDAYS($C300,TODAY()-1)*$I300,0),0)
)</f>
        <v/>
      </c>
      <c r="K300" s="59" t="str">
        <f t="shared" ca="1" si="320"/>
        <v/>
      </c>
      <c r="L300" s="59" t="str">
        <f t="shared" ca="1" si="320"/>
        <v/>
      </c>
      <c r="M300" s="59" t="str">
        <f t="shared" ca="1" si="320"/>
        <v/>
      </c>
      <c r="N300" s="59" t="str">
        <f t="shared" ca="1" si="320"/>
        <v/>
      </c>
      <c r="O300" s="59" t="str">
        <f t="shared" ca="1" si="320"/>
        <v/>
      </c>
      <c r="P300" s="59" t="str">
        <f t="shared" ca="1" si="320"/>
        <v/>
      </c>
      <c r="Q300" s="59" t="str">
        <f t="shared" ca="1" si="320"/>
        <v/>
      </c>
      <c r="R300" s="59" t="str">
        <f t="shared" ca="1" si="320"/>
        <v/>
      </c>
      <c r="S300" s="59" t="str">
        <f t="shared" ca="1" si="320"/>
        <v/>
      </c>
      <c r="T300" s="59" t="str">
        <f t="shared" ca="1" si="320"/>
        <v/>
      </c>
      <c r="U300" s="59" t="str">
        <f t="shared" ca="1" si="320"/>
        <v/>
      </c>
    </row>
  </sheetData>
  <sheetProtection algorithmName="SHA-512" hashValue="wA7AAW2CfoVl7l9FujcByAm5gu/Vi7+ndV8rm3Pjsd2cI7kiDKQml/yHyorMQ/WRVVtyfauVofdKMLUbL+KfwA==" saltValue="omvLoXhswfQvXqsCBegWkQ==" spinCount="100000" sheet="1" objects="1" scenarios="1"/>
  <mergeCells count="2">
    <mergeCell ref="A3:E3"/>
    <mergeCell ref="F3:I3"/>
  </mergeCells>
  <phoneticPr fontId="5" type="noConversion"/>
  <conditionalFormatting sqref="H5:H43 H58:H1048576">
    <cfRule type="cellIs" dxfId="0"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A87C-50BC-4329-A217-09035F50BA26}">
  <dimension ref="A1:AN200"/>
  <sheetViews>
    <sheetView topLeftCell="A21" zoomScale="70" zoomScaleNormal="70" workbookViewId="0">
      <selection activeCell="J26" sqref="J26"/>
    </sheetView>
  </sheetViews>
  <sheetFormatPr baseColWidth="10" defaultColWidth="10.88671875" defaultRowHeight="14.4" x14ac:dyDescent="0.3"/>
  <cols>
    <col min="1" max="1" width="17" style="5" bestFit="1" customWidth="1"/>
    <col min="2" max="2" width="21.5546875" style="5" bestFit="1" customWidth="1"/>
    <col min="3" max="3" width="7.6640625" style="5" bestFit="1" customWidth="1"/>
    <col min="4" max="4" width="21.33203125" style="5" bestFit="1" customWidth="1"/>
    <col min="5" max="5" width="7.6640625" style="5" bestFit="1" customWidth="1"/>
    <col min="6" max="6" width="21.33203125" style="5" bestFit="1" customWidth="1"/>
    <col min="7" max="7" width="7.6640625" style="5" bestFit="1" customWidth="1"/>
    <col min="8" max="8" width="21.33203125" style="5" bestFit="1" customWidth="1"/>
    <col min="9" max="9" width="7.6640625" style="5" bestFit="1" customWidth="1"/>
    <col min="10" max="11" width="11.109375" style="5" bestFit="1" customWidth="1"/>
    <col min="12" max="12" width="12.109375" style="5" customWidth="1"/>
    <col min="13" max="13" width="8.33203125" style="5" bestFit="1" customWidth="1"/>
    <col min="14" max="14" width="21.88671875" style="5" bestFit="1" customWidth="1"/>
    <col min="15" max="15" width="8.33203125" style="5" bestFit="1" customWidth="1"/>
    <col min="16" max="16" width="21.88671875" style="5" bestFit="1" customWidth="1"/>
    <col min="17" max="17" width="8.33203125" style="5" bestFit="1" customWidth="1"/>
    <col min="18" max="18" width="21.88671875" style="5" bestFit="1" customWidth="1"/>
    <col min="19" max="19" width="8.33203125" style="5" bestFit="1" customWidth="1"/>
    <col min="20" max="20" width="21.88671875" style="5" bestFit="1" customWidth="1"/>
    <col min="21" max="21" width="8.33203125" style="5" bestFit="1" customWidth="1"/>
    <col min="22" max="22" width="21.88671875" style="5" bestFit="1" customWidth="1"/>
    <col min="23" max="23" width="8.33203125" style="5" bestFit="1" customWidth="1"/>
    <col min="24" max="24" width="21.88671875" style="5" bestFit="1" customWidth="1"/>
    <col min="25" max="25" width="8.33203125" style="5" bestFit="1" customWidth="1"/>
    <col min="26" max="26" width="12" style="5" bestFit="1" customWidth="1"/>
    <col min="27" max="27" width="14.6640625" style="5" bestFit="1" customWidth="1"/>
    <col min="28" max="28" width="11.5546875" style="5" bestFit="1" customWidth="1"/>
    <col min="29" max="38" width="10.88671875" style="5"/>
    <col min="39" max="39" width="17" style="5" bestFit="1" customWidth="1"/>
    <col min="40" max="40" width="10.6640625" style="5" bestFit="1" customWidth="1"/>
    <col min="41" max="16384" width="10.88671875" style="5"/>
  </cols>
  <sheetData>
    <row r="1" spans="10:40" x14ac:dyDescent="0.3">
      <c r="L1" s="80"/>
      <c r="M1" s="81"/>
      <c r="N1" s="81"/>
      <c r="O1" s="81"/>
      <c r="P1" s="81"/>
      <c r="Q1" s="81"/>
      <c r="R1" s="81"/>
      <c r="S1" s="81"/>
      <c r="T1" s="81"/>
      <c r="U1" s="81"/>
      <c r="V1" s="81"/>
      <c r="W1" s="81"/>
      <c r="X1" s="81"/>
      <c r="Y1" s="81"/>
      <c r="Z1" s="81"/>
      <c r="AA1" s="81"/>
      <c r="AB1" s="81"/>
      <c r="AC1" s="81"/>
      <c r="AD1" s="81"/>
      <c r="AE1" s="81"/>
      <c r="AF1" s="81"/>
      <c r="AG1" s="81"/>
      <c r="AH1" s="81"/>
      <c r="AI1" s="81"/>
      <c r="AJ1" s="81"/>
      <c r="AK1" s="81"/>
      <c r="AL1" s="82"/>
    </row>
    <row r="2" spans="10:40" ht="15" thickBot="1" x14ac:dyDescent="0.35">
      <c r="L2" s="83"/>
      <c r="M2" s="84"/>
      <c r="N2" s="84"/>
      <c r="O2" s="84"/>
      <c r="P2" s="84"/>
      <c r="Q2" s="84"/>
      <c r="R2" s="84"/>
      <c r="S2" s="84"/>
      <c r="T2" s="84"/>
      <c r="U2" s="84"/>
      <c r="V2" s="84"/>
      <c r="W2" s="84"/>
      <c r="X2" s="84"/>
      <c r="Y2" s="84"/>
      <c r="Z2" s="84"/>
      <c r="AA2" s="84"/>
      <c r="AB2" s="84"/>
      <c r="AC2" s="84"/>
      <c r="AD2" s="84"/>
      <c r="AE2" s="84"/>
      <c r="AF2" s="84"/>
      <c r="AG2" s="84"/>
      <c r="AH2" s="84"/>
      <c r="AI2" s="84"/>
      <c r="AJ2" s="84"/>
      <c r="AK2" s="84"/>
      <c r="AL2" s="85"/>
    </row>
    <row r="3" spans="10:40" ht="14.4" customHeight="1" x14ac:dyDescent="0.3">
      <c r="L3" s="83"/>
      <c r="M3" s="105" t="s">
        <v>60</v>
      </c>
      <c r="N3" s="106"/>
      <c r="O3" s="106"/>
      <c r="P3" s="106"/>
      <c r="Q3" s="106"/>
      <c r="R3" s="106"/>
      <c r="S3" s="106"/>
      <c r="T3" s="106"/>
      <c r="U3" s="106"/>
      <c r="V3" s="106"/>
      <c r="W3" s="106"/>
      <c r="X3" s="106"/>
      <c r="Y3" s="106"/>
      <c r="Z3" s="106"/>
      <c r="AA3" s="106"/>
      <c r="AB3" s="106"/>
      <c r="AC3" s="106"/>
      <c r="AD3" s="106"/>
      <c r="AE3" s="106"/>
      <c r="AF3" s="106"/>
      <c r="AG3" s="106"/>
      <c r="AH3" s="106"/>
      <c r="AI3" s="106"/>
      <c r="AJ3" s="106"/>
      <c r="AK3" s="107"/>
      <c r="AL3" s="85"/>
    </row>
    <row r="4" spans="10:40" ht="14.4" customHeight="1" x14ac:dyDescent="0.3">
      <c r="L4" s="83"/>
      <c r="M4" s="108"/>
      <c r="N4" s="109"/>
      <c r="O4" s="109"/>
      <c r="P4" s="109"/>
      <c r="Q4" s="109"/>
      <c r="R4" s="109"/>
      <c r="S4" s="109"/>
      <c r="T4" s="109"/>
      <c r="U4" s="109"/>
      <c r="V4" s="109"/>
      <c r="W4" s="109"/>
      <c r="X4" s="109"/>
      <c r="Y4" s="109"/>
      <c r="Z4" s="109"/>
      <c r="AA4" s="109"/>
      <c r="AB4" s="109"/>
      <c r="AC4" s="109"/>
      <c r="AD4" s="109"/>
      <c r="AE4" s="109"/>
      <c r="AF4" s="109"/>
      <c r="AG4" s="109"/>
      <c r="AH4" s="109"/>
      <c r="AI4" s="109"/>
      <c r="AJ4" s="109"/>
      <c r="AK4" s="110"/>
      <c r="AL4" s="85"/>
    </row>
    <row r="5" spans="10:40" ht="14.4" customHeight="1" x14ac:dyDescent="0.3">
      <c r="L5" s="83"/>
      <c r="M5" s="108"/>
      <c r="N5" s="109"/>
      <c r="O5" s="109"/>
      <c r="P5" s="109"/>
      <c r="Q5" s="109"/>
      <c r="R5" s="109"/>
      <c r="S5" s="109"/>
      <c r="T5" s="109"/>
      <c r="U5" s="109"/>
      <c r="V5" s="109"/>
      <c r="W5" s="109"/>
      <c r="X5" s="109"/>
      <c r="Y5" s="109"/>
      <c r="Z5" s="109"/>
      <c r="AA5" s="109"/>
      <c r="AB5" s="109"/>
      <c r="AC5" s="109"/>
      <c r="AD5" s="109"/>
      <c r="AE5" s="109"/>
      <c r="AF5" s="109"/>
      <c r="AG5" s="109"/>
      <c r="AH5" s="109"/>
      <c r="AI5" s="109"/>
      <c r="AJ5" s="109"/>
      <c r="AK5" s="110"/>
      <c r="AL5" s="85"/>
    </row>
    <row r="6" spans="10:40" ht="15" thickBot="1" x14ac:dyDescent="0.35">
      <c r="L6" s="83"/>
      <c r="M6" s="111"/>
      <c r="N6" s="112"/>
      <c r="O6" s="112"/>
      <c r="P6" s="112"/>
      <c r="Q6" s="112"/>
      <c r="R6" s="112"/>
      <c r="S6" s="112"/>
      <c r="T6" s="112"/>
      <c r="U6" s="112"/>
      <c r="V6" s="112"/>
      <c r="W6" s="112"/>
      <c r="X6" s="112"/>
      <c r="Y6" s="112"/>
      <c r="Z6" s="112"/>
      <c r="AA6" s="112"/>
      <c r="AB6" s="112"/>
      <c r="AC6" s="112"/>
      <c r="AD6" s="112"/>
      <c r="AE6" s="112"/>
      <c r="AF6" s="112"/>
      <c r="AG6" s="112"/>
      <c r="AH6" s="112"/>
      <c r="AI6" s="112"/>
      <c r="AJ6" s="112"/>
      <c r="AK6" s="113"/>
      <c r="AL6" s="85"/>
    </row>
    <row r="7" spans="10:40" x14ac:dyDescent="0.3">
      <c r="L7" s="83"/>
      <c r="M7" s="84"/>
      <c r="N7" s="84"/>
      <c r="O7" s="84"/>
      <c r="P7" s="84"/>
      <c r="Q7" s="84"/>
      <c r="R7" s="84"/>
      <c r="S7" s="84"/>
      <c r="T7" s="84"/>
      <c r="U7" s="84"/>
      <c r="V7" s="84"/>
      <c r="W7" s="84"/>
      <c r="X7" s="84"/>
      <c r="Y7" s="84"/>
      <c r="Z7" s="84"/>
      <c r="AA7" s="84"/>
      <c r="AB7" s="84"/>
      <c r="AC7" s="84"/>
      <c r="AD7" s="84"/>
      <c r="AE7" s="84"/>
      <c r="AF7" s="84"/>
      <c r="AG7" s="84"/>
      <c r="AH7" s="84"/>
      <c r="AI7" s="84"/>
      <c r="AJ7" s="84"/>
      <c r="AK7" s="84"/>
      <c r="AL7" s="85"/>
    </row>
    <row r="8" spans="10:40" x14ac:dyDescent="0.3">
      <c r="L8" s="83"/>
      <c r="M8" s="84"/>
      <c r="N8" s="84"/>
      <c r="O8" s="84"/>
      <c r="P8" s="84"/>
      <c r="Q8" s="84"/>
      <c r="R8" s="84"/>
      <c r="S8" s="84"/>
      <c r="T8" s="84"/>
      <c r="U8" s="84"/>
      <c r="V8" s="84"/>
      <c r="W8" s="84"/>
      <c r="X8" s="84"/>
      <c r="Y8" s="84"/>
      <c r="Z8" s="84"/>
      <c r="AA8" s="84"/>
      <c r="AB8" s="84"/>
      <c r="AC8" s="84"/>
      <c r="AD8" s="84"/>
      <c r="AE8" s="84"/>
      <c r="AF8" s="84"/>
      <c r="AG8" s="84"/>
      <c r="AH8" s="84"/>
      <c r="AI8" s="84"/>
      <c r="AJ8" s="84"/>
      <c r="AK8" s="84"/>
      <c r="AL8" s="85"/>
    </row>
    <row r="9" spans="10:40" x14ac:dyDescent="0.3">
      <c r="L9" s="83"/>
      <c r="M9" s="84"/>
      <c r="N9" s="84"/>
      <c r="O9" s="84"/>
      <c r="P9" s="84"/>
      <c r="Q9" s="84"/>
      <c r="R9" s="84"/>
      <c r="S9" s="84"/>
      <c r="T9" s="84"/>
      <c r="U9" s="84"/>
      <c r="V9" s="84"/>
      <c r="W9" s="84"/>
      <c r="X9" s="84"/>
      <c r="Y9" s="84"/>
      <c r="Z9" s="84"/>
      <c r="AA9" s="84"/>
      <c r="AB9" s="84"/>
      <c r="AC9" s="84"/>
      <c r="AD9" s="84"/>
      <c r="AE9" s="84"/>
      <c r="AF9" s="84"/>
      <c r="AG9" s="84"/>
      <c r="AH9" s="84"/>
      <c r="AI9" s="84"/>
      <c r="AJ9" s="84"/>
      <c r="AK9" s="84"/>
      <c r="AL9" s="85"/>
    </row>
    <row r="10" spans="10:40" x14ac:dyDescent="0.3">
      <c r="J10" s="2" t="s">
        <v>61</v>
      </c>
      <c r="K10" t="s">
        <v>62</v>
      </c>
      <c r="L10" s="83"/>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5"/>
      <c r="AM10" s="2" t="s">
        <v>61</v>
      </c>
      <c r="AN10" t="s">
        <v>62</v>
      </c>
    </row>
    <row r="11" spans="10:40" x14ac:dyDescent="0.3">
      <c r="J11" s="3" t="s">
        <v>21</v>
      </c>
      <c r="K11" s="1">
        <v>45.5</v>
      </c>
      <c r="L11" s="83"/>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5"/>
      <c r="AM11" s="3" t="s">
        <v>21</v>
      </c>
      <c r="AN11" s="1">
        <v>45.5</v>
      </c>
    </row>
    <row r="12" spans="10:40" x14ac:dyDescent="0.3">
      <c r="J12" s="3" t="s">
        <v>10</v>
      </c>
      <c r="K12" s="1">
        <v>81.028571428571439</v>
      </c>
      <c r="L12" s="83"/>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5"/>
      <c r="AM12" s="3" t="s">
        <v>10</v>
      </c>
      <c r="AN12" s="1">
        <v>81.028571428571439</v>
      </c>
    </row>
    <row r="13" spans="10:40" x14ac:dyDescent="0.3">
      <c r="J13" s="3" t="s">
        <v>24</v>
      </c>
      <c r="K13" s="1">
        <v>60.30952380952381</v>
      </c>
      <c r="L13" s="83"/>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5"/>
      <c r="AM13" s="3" t="s">
        <v>24</v>
      </c>
      <c r="AN13" s="1">
        <v>60.30952380952381</v>
      </c>
    </row>
    <row r="14" spans="10:40" x14ac:dyDescent="0.3">
      <c r="J14" s="3" t="s">
        <v>17</v>
      </c>
      <c r="K14" s="1">
        <v>59.3</v>
      </c>
      <c r="L14" s="83"/>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5"/>
      <c r="AM14" s="3" t="s">
        <v>17</v>
      </c>
      <c r="AN14" s="1">
        <v>59.3</v>
      </c>
    </row>
    <row r="15" spans="10:40" x14ac:dyDescent="0.3">
      <c r="J15" s="3" t="s">
        <v>26</v>
      </c>
      <c r="K15" s="1">
        <v>45.642857142857139</v>
      </c>
      <c r="L15" s="83"/>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5"/>
      <c r="AM15" s="3" t="s">
        <v>26</v>
      </c>
      <c r="AN15" s="1">
        <v>45.642857142857139</v>
      </c>
    </row>
    <row r="16" spans="10:40" x14ac:dyDescent="0.3">
      <c r="J16" s="3" t="s">
        <v>19</v>
      </c>
      <c r="K16" s="1">
        <v>34.5</v>
      </c>
      <c r="L16" s="83"/>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5"/>
      <c r="AM16" s="3" t="s">
        <v>19</v>
      </c>
      <c r="AN16" s="1">
        <v>34.5</v>
      </c>
    </row>
    <row r="17" spans="10:40" x14ac:dyDescent="0.3">
      <c r="J17" s="3" t="s">
        <v>15</v>
      </c>
      <c r="K17" s="1">
        <v>47.68452380952381</v>
      </c>
      <c r="L17" s="83"/>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5"/>
      <c r="AM17" s="3" t="s">
        <v>15</v>
      </c>
      <c r="AN17" s="1">
        <v>47.68452380952381</v>
      </c>
    </row>
    <row r="18" spans="10:40" x14ac:dyDescent="0.3">
      <c r="J18" s="8" t="s">
        <v>63</v>
      </c>
      <c r="K18" s="1">
        <v>373.96547619047618</v>
      </c>
      <c r="L18" s="83"/>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5"/>
      <c r="AM18" s="3" t="s">
        <v>63</v>
      </c>
      <c r="AN18" s="1">
        <v>373.96547619047618</v>
      </c>
    </row>
    <row r="19" spans="10:40" x14ac:dyDescent="0.3">
      <c r="L19" s="8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5"/>
    </row>
    <row r="20" spans="10:40" x14ac:dyDescent="0.3">
      <c r="L20" s="83"/>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5"/>
    </row>
    <row r="21" spans="10:40" x14ac:dyDescent="0.3">
      <c r="L21" s="83"/>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5"/>
    </row>
    <row r="22" spans="10:40" x14ac:dyDescent="0.3">
      <c r="L22" s="83"/>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5"/>
    </row>
    <row r="23" spans="10:40" x14ac:dyDescent="0.3">
      <c r="L23" s="83"/>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5"/>
    </row>
    <row r="24" spans="10:40" x14ac:dyDescent="0.3">
      <c r="L24" s="8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5"/>
    </row>
    <row r="25" spans="10:40" x14ac:dyDescent="0.3">
      <c r="L25" s="83"/>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5"/>
    </row>
    <row r="26" spans="10:40" x14ac:dyDescent="0.3">
      <c r="L26" s="83"/>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5"/>
    </row>
    <row r="27" spans="10:40" x14ac:dyDescent="0.3">
      <c r="L27" s="83"/>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5"/>
    </row>
    <row r="28" spans="10:40" x14ac:dyDescent="0.3">
      <c r="L28" s="83"/>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5"/>
    </row>
    <row r="29" spans="10:40" x14ac:dyDescent="0.3">
      <c r="L29" s="83"/>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5"/>
    </row>
    <row r="30" spans="10:40" x14ac:dyDescent="0.3">
      <c r="L30" s="83"/>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5"/>
    </row>
    <row r="31" spans="10:40" x14ac:dyDescent="0.3">
      <c r="L31" s="83"/>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5"/>
    </row>
    <row r="32" spans="10:40" x14ac:dyDescent="0.3">
      <c r="L32" s="83"/>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5"/>
    </row>
    <row r="33" spans="2:38" x14ac:dyDescent="0.3">
      <c r="L33" s="83"/>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5"/>
    </row>
    <row r="34" spans="2:38" x14ac:dyDescent="0.3">
      <c r="L34" s="83"/>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5"/>
    </row>
    <row r="35" spans="2:38" x14ac:dyDescent="0.3">
      <c r="L35" s="83"/>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5"/>
    </row>
    <row r="36" spans="2:38" x14ac:dyDescent="0.3">
      <c r="L36" s="83"/>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5"/>
    </row>
    <row r="37" spans="2:38" x14ac:dyDescent="0.3">
      <c r="L37" s="83"/>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5"/>
    </row>
    <row r="38" spans="2:38" x14ac:dyDescent="0.3">
      <c r="L38" s="83"/>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5"/>
    </row>
    <row r="39" spans="2:38" x14ac:dyDescent="0.3">
      <c r="L39" s="83"/>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5"/>
    </row>
    <row r="40" spans="2:38" x14ac:dyDescent="0.3">
      <c r="L40" s="83"/>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5"/>
    </row>
    <row r="41" spans="2:38" ht="15" thickBot="1" x14ac:dyDescent="0.35">
      <c r="L41" s="83"/>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5"/>
    </row>
    <row r="42" spans="2:38" x14ac:dyDescent="0.3">
      <c r="B42" s="99" t="s">
        <v>64</v>
      </c>
      <c r="C42" s="100"/>
      <c r="D42" s="100"/>
      <c r="E42" s="100"/>
      <c r="F42" s="100"/>
      <c r="G42" s="100"/>
      <c r="H42" s="100"/>
      <c r="I42" s="100"/>
      <c r="J42" s="100"/>
      <c r="K42" s="100"/>
      <c r="L42" s="83"/>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5"/>
    </row>
    <row r="43" spans="2:38" ht="15" thickBot="1" x14ac:dyDescent="0.35">
      <c r="B43" s="102"/>
      <c r="C43" s="103"/>
      <c r="D43" s="103"/>
      <c r="E43" s="103"/>
      <c r="F43" s="103"/>
      <c r="G43" s="103"/>
      <c r="H43" s="103"/>
      <c r="I43" s="103"/>
      <c r="J43" s="103"/>
      <c r="K43" s="103"/>
      <c r="L43" s="83"/>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5"/>
    </row>
    <row r="44" spans="2:38" x14ac:dyDescent="0.3">
      <c r="B44" s="2" t="s">
        <v>62</v>
      </c>
      <c r="C44" s="2" t="s">
        <v>65</v>
      </c>
      <c r="D44"/>
      <c r="E44"/>
      <c r="F44"/>
      <c r="G44"/>
      <c r="H44"/>
      <c r="I44"/>
      <c r="J44"/>
      <c r="K44"/>
      <c r="L44" s="83"/>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5"/>
    </row>
    <row r="45" spans="2:38" x14ac:dyDescent="0.3">
      <c r="B45"/>
      <c r="C45" t="s">
        <v>44</v>
      </c>
      <c r="D45" t="s">
        <v>66</v>
      </c>
      <c r="E45" t="s">
        <v>45</v>
      </c>
      <c r="F45" t="s">
        <v>67</v>
      </c>
      <c r="G45" t="s">
        <v>46</v>
      </c>
      <c r="H45" t="s">
        <v>68</v>
      </c>
      <c r="I45" t="s">
        <v>47</v>
      </c>
      <c r="J45" t="s">
        <v>69</v>
      </c>
      <c r="K45" t="s">
        <v>63</v>
      </c>
      <c r="L45" s="83"/>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5"/>
    </row>
    <row r="46" spans="2:38" x14ac:dyDescent="0.3">
      <c r="B46" s="2" t="s">
        <v>61</v>
      </c>
      <c r="C46" t="s">
        <v>70</v>
      </c>
      <c r="D46"/>
      <c r="E46" t="s">
        <v>71</v>
      </c>
      <c r="F46"/>
      <c r="G46" t="s">
        <v>72</v>
      </c>
      <c r="H46"/>
      <c r="I46" t="s">
        <v>73</v>
      </c>
      <c r="J46"/>
      <c r="K46"/>
      <c r="L46" s="83"/>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5"/>
    </row>
    <row r="47" spans="2:38" x14ac:dyDescent="0.3">
      <c r="B47" s="3" t="s">
        <v>21</v>
      </c>
      <c r="C47" s="1">
        <v>0</v>
      </c>
      <c r="D47" s="1">
        <v>0</v>
      </c>
      <c r="E47" s="1">
        <v>9.8333333333333339</v>
      </c>
      <c r="F47" s="1">
        <v>9.8333333333333339</v>
      </c>
      <c r="G47" s="1">
        <v>14.166666666666668</v>
      </c>
      <c r="H47" s="1">
        <v>14.166666666666668</v>
      </c>
      <c r="I47" s="1">
        <v>10.25</v>
      </c>
      <c r="J47" s="1">
        <v>10.25</v>
      </c>
      <c r="K47" s="1">
        <v>34.25</v>
      </c>
      <c r="L47" s="83"/>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5"/>
    </row>
    <row r="48" spans="2:38" x14ac:dyDescent="0.3">
      <c r="B48" s="3" t="s">
        <v>10</v>
      </c>
      <c r="C48" s="1">
        <v>0</v>
      </c>
      <c r="D48" s="1">
        <v>0</v>
      </c>
      <c r="E48" s="1">
        <v>21.361904761904761</v>
      </c>
      <c r="F48" s="1">
        <v>21.361904761904761</v>
      </c>
      <c r="G48" s="1">
        <v>24.138095238095239</v>
      </c>
      <c r="H48" s="1">
        <v>24.138095238095239</v>
      </c>
      <c r="I48" s="1">
        <v>18.361904761904764</v>
      </c>
      <c r="J48" s="1">
        <v>18.361904761904764</v>
      </c>
      <c r="K48" s="1">
        <v>63.861904761904768</v>
      </c>
      <c r="L48" s="83"/>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5"/>
    </row>
    <row r="49" spans="2:38" x14ac:dyDescent="0.3">
      <c r="B49" s="3" t="s">
        <v>24</v>
      </c>
      <c r="C49" s="1">
        <v>5.5511151231257827E-16</v>
      </c>
      <c r="D49" s="1">
        <v>5.5511151231257827E-16</v>
      </c>
      <c r="E49" s="1">
        <v>16.80952380952381</v>
      </c>
      <c r="F49" s="1">
        <v>16.80952380952381</v>
      </c>
      <c r="G49" s="1">
        <v>19.69047619047619</v>
      </c>
      <c r="H49" s="1">
        <v>19.69047619047619</v>
      </c>
      <c r="I49" s="1">
        <v>13.80952380952381</v>
      </c>
      <c r="J49" s="1">
        <v>13.80952380952381</v>
      </c>
      <c r="K49" s="1">
        <v>50.30952380952381</v>
      </c>
      <c r="L49" s="83"/>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5"/>
    </row>
    <row r="50" spans="2:38" x14ac:dyDescent="0.3">
      <c r="B50" s="3" t="s">
        <v>17</v>
      </c>
      <c r="C50" s="1">
        <v>2.2204460492503131E-16</v>
      </c>
      <c r="D50" s="1">
        <v>2.2204460492503131E-16</v>
      </c>
      <c r="E50" s="1">
        <v>18.55</v>
      </c>
      <c r="F50" s="1">
        <v>18.55</v>
      </c>
      <c r="G50" s="1">
        <v>22.95</v>
      </c>
      <c r="H50" s="1">
        <v>22.95</v>
      </c>
      <c r="I50" s="1">
        <v>12.216666666666669</v>
      </c>
      <c r="J50" s="1">
        <v>12.216666666666669</v>
      </c>
      <c r="K50" s="1">
        <v>53.716666666666669</v>
      </c>
      <c r="L50" s="83"/>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5"/>
    </row>
    <row r="51" spans="2:38" x14ac:dyDescent="0.3">
      <c r="B51" s="3" t="s">
        <v>26</v>
      </c>
      <c r="C51" s="1">
        <v>1.1102230246251565E-16</v>
      </c>
      <c r="D51" s="1">
        <v>1.1102230246251565E-16</v>
      </c>
      <c r="E51" s="1">
        <v>10.976190476190476</v>
      </c>
      <c r="F51" s="1">
        <v>10.976190476190476</v>
      </c>
      <c r="G51" s="1">
        <v>14.523809523809526</v>
      </c>
      <c r="H51" s="1">
        <v>14.523809523809526</v>
      </c>
      <c r="I51" s="1">
        <v>9.8095238095238084</v>
      </c>
      <c r="J51" s="1">
        <v>9.8095238095238084</v>
      </c>
      <c r="K51" s="1">
        <v>35.30952380952381</v>
      </c>
      <c r="L51" s="83"/>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5"/>
    </row>
    <row r="52" spans="2:38" x14ac:dyDescent="0.3">
      <c r="B52" s="3" t="s">
        <v>19</v>
      </c>
      <c r="C52" s="1">
        <v>0</v>
      </c>
      <c r="D52" s="1">
        <v>0</v>
      </c>
      <c r="E52" s="1">
        <v>6.75</v>
      </c>
      <c r="F52" s="1">
        <v>6.75</v>
      </c>
      <c r="G52" s="1">
        <v>11.25</v>
      </c>
      <c r="H52" s="1">
        <v>11.25</v>
      </c>
      <c r="I52" s="1">
        <v>6.75</v>
      </c>
      <c r="J52" s="1">
        <v>6.75</v>
      </c>
      <c r="K52" s="1">
        <v>24.75</v>
      </c>
      <c r="L52" s="83"/>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5"/>
    </row>
    <row r="53" spans="2:38" x14ac:dyDescent="0.3">
      <c r="B53" s="3" t="s">
        <v>15</v>
      </c>
      <c r="C53" s="1">
        <v>2.2204460492503131E-16</v>
      </c>
      <c r="D53" s="1">
        <v>2.2204460492503131E-16</v>
      </c>
      <c r="E53" s="1">
        <v>15.37202380952381</v>
      </c>
      <c r="F53" s="1">
        <v>15.37202380952381</v>
      </c>
      <c r="G53" s="1">
        <v>21.770833333333336</v>
      </c>
      <c r="H53" s="1">
        <v>21.770833333333336</v>
      </c>
      <c r="I53" s="1">
        <v>5.5625</v>
      </c>
      <c r="J53" s="1">
        <v>5.5625</v>
      </c>
      <c r="K53" s="1">
        <v>42.705357142857146</v>
      </c>
      <c r="L53" s="83"/>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5"/>
    </row>
    <row r="54" spans="2:38" x14ac:dyDescent="0.3">
      <c r="B54" s="3" t="s">
        <v>56</v>
      </c>
      <c r="C54" s="1">
        <v>-3.5</v>
      </c>
      <c r="D54" s="1">
        <v>-3.5</v>
      </c>
      <c r="E54" s="1">
        <v>17.5</v>
      </c>
      <c r="F54" s="1">
        <v>17.5</v>
      </c>
      <c r="G54" s="1">
        <v>17.5</v>
      </c>
      <c r="H54" s="1">
        <v>17.5</v>
      </c>
      <c r="I54" s="1">
        <v>17.5</v>
      </c>
      <c r="J54" s="1">
        <v>17.5</v>
      </c>
      <c r="K54" s="1">
        <v>49</v>
      </c>
      <c r="L54" s="83"/>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5"/>
    </row>
    <row r="55" spans="2:38" x14ac:dyDescent="0.3">
      <c r="L55" s="83"/>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5"/>
    </row>
    <row r="56" spans="2:38" x14ac:dyDescent="0.3">
      <c r="L56" s="83"/>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5"/>
    </row>
    <row r="57" spans="2:38" x14ac:dyDescent="0.3">
      <c r="L57" s="83"/>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5"/>
    </row>
    <row r="58" spans="2:38" x14ac:dyDescent="0.3">
      <c r="L58" s="83"/>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5"/>
    </row>
    <row r="59" spans="2:38" x14ac:dyDescent="0.3">
      <c r="L59" s="83"/>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5"/>
    </row>
    <row r="60" spans="2:38" x14ac:dyDescent="0.3">
      <c r="L60" s="83"/>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5"/>
    </row>
    <row r="61" spans="2:38" x14ac:dyDescent="0.3">
      <c r="L61" s="83"/>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5"/>
    </row>
    <row r="62" spans="2:38" x14ac:dyDescent="0.3">
      <c r="L62" s="83"/>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5"/>
    </row>
    <row r="63" spans="2:38" x14ac:dyDescent="0.3">
      <c r="L63" s="83"/>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5"/>
    </row>
    <row r="64" spans="2:38" x14ac:dyDescent="0.3">
      <c r="L64" s="83"/>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5"/>
    </row>
    <row r="65" spans="1:38" x14ac:dyDescent="0.3">
      <c r="L65" s="83"/>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5"/>
    </row>
    <row r="66" spans="1:38" x14ac:dyDescent="0.3">
      <c r="L66" s="83"/>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5"/>
    </row>
    <row r="67" spans="1:38" x14ac:dyDescent="0.3">
      <c r="L67" s="83"/>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5"/>
    </row>
    <row r="68" spans="1:38" x14ac:dyDescent="0.3">
      <c r="L68" s="83"/>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5"/>
    </row>
    <row r="69" spans="1:38" ht="15" thickBot="1" x14ac:dyDescent="0.35">
      <c r="L69" s="83"/>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5"/>
    </row>
    <row r="70" spans="1:38" x14ac:dyDescent="0.3">
      <c r="A70" s="99" t="s">
        <v>74</v>
      </c>
      <c r="B70" s="100"/>
      <c r="C70" s="100"/>
      <c r="D70" s="100"/>
      <c r="E70" s="100"/>
      <c r="F70" s="100"/>
      <c r="G70" s="100"/>
      <c r="H70" s="100"/>
      <c r="I70" s="100"/>
      <c r="J70" s="101"/>
      <c r="L70" s="83"/>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5"/>
    </row>
    <row r="71" spans="1:38" ht="15" thickBot="1" x14ac:dyDescent="0.35">
      <c r="A71" s="102"/>
      <c r="B71" s="103"/>
      <c r="C71" s="103"/>
      <c r="D71" s="103"/>
      <c r="E71" s="103"/>
      <c r="F71" s="103"/>
      <c r="G71" s="103"/>
      <c r="H71" s="103"/>
      <c r="I71" s="103"/>
      <c r="J71" s="104"/>
      <c r="L71" s="83"/>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5"/>
    </row>
    <row r="72" spans="1:38" x14ac:dyDescent="0.3">
      <c r="A72" s="2" t="s">
        <v>62</v>
      </c>
      <c r="B72" s="2" t="s">
        <v>65</v>
      </c>
      <c r="C72"/>
      <c r="D72"/>
      <c r="E72"/>
      <c r="F72"/>
      <c r="G72"/>
      <c r="H72"/>
      <c r="I72"/>
      <c r="J72"/>
      <c r="L72" s="83"/>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5"/>
    </row>
    <row r="73" spans="1:38" x14ac:dyDescent="0.3">
      <c r="A73"/>
      <c r="B73" t="s">
        <v>48</v>
      </c>
      <c r="C73" t="s">
        <v>75</v>
      </c>
      <c r="D73" t="s">
        <v>49</v>
      </c>
      <c r="E73" t="s">
        <v>76</v>
      </c>
      <c r="F73" t="s">
        <v>50</v>
      </c>
      <c r="G73" t="s">
        <v>77</v>
      </c>
      <c r="H73" t="s">
        <v>51</v>
      </c>
      <c r="I73" t="s">
        <v>78</v>
      </c>
      <c r="J73" t="s">
        <v>63</v>
      </c>
      <c r="L73" s="83"/>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5"/>
    </row>
    <row r="74" spans="1:38" x14ac:dyDescent="0.3">
      <c r="A74" s="2" t="s">
        <v>61</v>
      </c>
      <c r="B74" t="s">
        <v>79</v>
      </c>
      <c r="C74"/>
      <c r="D74" t="s">
        <v>80</v>
      </c>
      <c r="E74"/>
      <c r="F74" t="s">
        <v>81</v>
      </c>
      <c r="G74"/>
      <c r="H74" t="s">
        <v>82</v>
      </c>
      <c r="I74"/>
      <c r="J74"/>
      <c r="L74" s="83"/>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5"/>
    </row>
    <row r="75" spans="1:38" x14ac:dyDescent="0.3">
      <c r="A75" s="3" t="s">
        <v>21</v>
      </c>
      <c r="B75" s="1">
        <v>11.25</v>
      </c>
      <c r="C75" s="1">
        <v>11.25</v>
      </c>
      <c r="D75" s="1">
        <v>0</v>
      </c>
      <c r="E75" s="1">
        <v>0</v>
      </c>
      <c r="F75" s="1">
        <v>0</v>
      </c>
      <c r="G75" s="1">
        <v>0</v>
      </c>
      <c r="H75" s="1">
        <v>0</v>
      </c>
      <c r="I75" s="1">
        <v>0</v>
      </c>
      <c r="J75" s="1">
        <v>11.25</v>
      </c>
      <c r="L75" s="83"/>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5"/>
    </row>
    <row r="76" spans="1:38" x14ac:dyDescent="0.3">
      <c r="A76" s="3" t="s">
        <v>10</v>
      </c>
      <c r="B76" s="1">
        <v>17.166666666666668</v>
      </c>
      <c r="C76" s="1">
        <v>17.166666666666668</v>
      </c>
      <c r="D76" s="1">
        <v>0</v>
      </c>
      <c r="E76" s="1">
        <v>0</v>
      </c>
      <c r="F76" s="1">
        <v>0</v>
      </c>
      <c r="G76" s="1">
        <v>0</v>
      </c>
      <c r="H76" s="1">
        <v>0</v>
      </c>
      <c r="I76" s="1">
        <v>0</v>
      </c>
      <c r="J76" s="1">
        <v>17.166666666666668</v>
      </c>
      <c r="L76" s="83"/>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5"/>
    </row>
    <row r="77" spans="1:38" x14ac:dyDescent="0.3">
      <c r="A77" s="3" t="s">
        <v>24</v>
      </c>
      <c r="B77" s="1">
        <v>10</v>
      </c>
      <c r="C77" s="1">
        <v>10</v>
      </c>
      <c r="D77" s="1">
        <v>0</v>
      </c>
      <c r="E77" s="1">
        <v>0</v>
      </c>
      <c r="F77" s="1">
        <v>0</v>
      </c>
      <c r="G77" s="1">
        <v>0</v>
      </c>
      <c r="H77" s="1">
        <v>0</v>
      </c>
      <c r="I77" s="1">
        <v>0</v>
      </c>
      <c r="J77" s="1">
        <v>10</v>
      </c>
      <c r="L77" s="83"/>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5"/>
    </row>
    <row r="78" spans="1:38" x14ac:dyDescent="0.3">
      <c r="A78" s="3" t="s">
        <v>17</v>
      </c>
      <c r="B78" s="1">
        <v>5.5833333333333339</v>
      </c>
      <c r="C78" s="1">
        <v>5.5833333333333339</v>
      </c>
      <c r="D78" s="1">
        <v>0</v>
      </c>
      <c r="E78" s="1">
        <v>0</v>
      </c>
      <c r="F78" s="1">
        <v>0</v>
      </c>
      <c r="G78" s="1">
        <v>0</v>
      </c>
      <c r="H78" s="1">
        <v>0</v>
      </c>
      <c r="I78" s="1">
        <v>0</v>
      </c>
      <c r="J78" s="1">
        <v>5.5833333333333339</v>
      </c>
      <c r="L78" s="83"/>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5"/>
    </row>
    <row r="79" spans="1:38" x14ac:dyDescent="0.3">
      <c r="A79" s="3" t="s">
        <v>26</v>
      </c>
      <c r="B79" s="1">
        <v>10.333333333333332</v>
      </c>
      <c r="C79" s="1">
        <v>10.333333333333332</v>
      </c>
      <c r="D79" s="1">
        <v>0</v>
      </c>
      <c r="E79" s="1">
        <v>0</v>
      </c>
      <c r="F79" s="1">
        <v>0</v>
      </c>
      <c r="G79" s="1">
        <v>0</v>
      </c>
      <c r="H79" s="1">
        <v>0</v>
      </c>
      <c r="I79" s="1">
        <v>0</v>
      </c>
      <c r="J79" s="1">
        <v>10.333333333333332</v>
      </c>
      <c r="L79" s="83"/>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5"/>
    </row>
    <row r="80" spans="1:38" x14ac:dyDescent="0.3">
      <c r="A80" s="3" t="s">
        <v>19</v>
      </c>
      <c r="B80" s="1">
        <v>9.75</v>
      </c>
      <c r="C80" s="1">
        <v>9.75</v>
      </c>
      <c r="D80" s="1">
        <v>0</v>
      </c>
      <c r="E80" s="1">
        <v>0</v>
      </c>
      <c r="F80" s="1">
        <v>0</v>
      </c>
      <c r="G80" s="1">
        <v>0</v>
      </c>
      <c r="H80" s="1">
        <v>0</v>
      </c>
      <c r="I80" s="1">
        <v>0</v>
      </c>
      <c r="J80" s="1">
        <v>9.75</v>
      </c>
      <c r="L80" s="83"/>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5"/>
    </row>
    <row r="81" spans="1:38" x14ac:dyDescent="0.3">
      <c r="A81" s="3" t="s">
        <v>15</v>
      </c>
      <c r="B81" s="1">
        <v>4.9791666666666661</v>
      </c>
      <c r="C81" s="1">
        <v>4.9791666666666661</v>
      </c>
      <c r="D81" s="1">
        <v>0</v>
      </c>
      <c r="E81" s="1">
        <v>0</v>
      </c>
      <c r="F81" s="1">
        <v>0</v>
      </c>
      <c r="G81" s="1">
        <v>0</v>
      </c>
      <c r="H81" s="1">
        <v>0</v>
      </c>
      <c r="I81" s="1">
        <v>0</v>
      </c>
      <c r="J81" s="1">
        <v>4.9791666666666661</v>
      </c>
      <c r="L81" s="83"/>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5"/>
    </row>
    <row r="82" spans="1:38" x14ac:dyDescent="0.3">
      <c r="A82" s="3" t="s">
        <v>56</v>
      </c>
      <c r="B82" s="1">
        <v>21</v>
      </c>
      <c r="C82" s="1">
        <v>21</v>
      </c>
      <c r="D82" s="1">
        <v>0</v>
      </c>
      <c r="E82" s="1">
        <v>0</v>
      </c>
      <c r="F82" s="1">
        <v>0</v>
      </c>
      <c r="G82" s="1">
        <v>0</v>
      </c>
      <c r="H82" s="1">
        <v>0</v>
      </c>
      <c r="I82" s="1">
        <v>0</v>
      </c>
      <c r="J82" s="1">
        <v>21</v>
      </c>
      <c r="L82" s="83"/>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5"/>
    </row>
    <row r="83" spans="1:38" x14ac:dyDescent="0.3">
      <c r="L83" s="83"/>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5"/>
    </row>
    <row r="84" spans="1:38" x14ac:dyDescent="0.3">
      <c r="L84" s="83"/>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5"/>
    </row>
    <row r="85" spans="1:38" x14ac:dyDescent="0.3">
      <c r="L85" s="83"/>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5"/>
    </row>
    <row r="86" spans="1:38" x14ac:dyDescent="0.3">
      <c r="L86" s="83"/>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5"/>
    </row>
    <row r="87" spans="1:38" x14ac:dyDescent="0.3">
      <c r="L87" s="83"/>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5"/>
    </row>
    <row r="88" spans="1:38" x14ac:dyDescent="0.3">
      <c r="L88" s="83"/>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5"/>
    </row>
    <row r="89" spans="1:38" x14ac:dyDescent="0.3">
      <c r="L89" s="83"/>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5"/>
    </row>
    <row r="90" spans="1:38" ht="15" thickBot="1" x14ac:dyDescent="0.35">
      <c r="L90" s="83"/>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5"/>
    </row>
    <row r="91" spans="1:38" x14ac:dyDescent="0.3">
      <c r="A91" s="99" t="s">
        <v>83</v>
      </c>
      <c r="B91" s="100"/>
      <c r="C91" s="100"/>
      <c r="D91" s="100"/>
      <c r="E91" s="100"/>
      <c r="F91" s="100"/>
      <c r="G91" s="100"/>
      <c r="H91" s="100"/>
      <c r="I91" s="100"/>
      <c r="J91" s="101"/>
      <c r="L91" s="83"/>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5"/>
    </row>
    <row r="92" spans="1:38" ht="15" thickBot="1" x14ac:dyDescent="0.35">
      <c r="A92" s="102"/>
      <c r="B92" s="103"/>
      <c r="C92" s="103"/>
      <c r="D92" s="103"/>
      <c r="E92" s="103"/>
      <c r="F92" s="103"/>
      <c r="G92" s="103"/>
      <c r="H92" s="103"/>
      <c r="I92" s="103"/>
      <c r="J92" s="104"/>
      <c r="L92" s="83"/>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5"/>
    </row>
    <row r="93" spans="1:38" x14ac:dyDescent="0.3">
      <c r="A93" s="2" t="s">
        <v>62</v>
      </c>
      <c r="B93" s="2" t="s">
        <v>65</v>
      </c>
      <c r="C93"/>
      <c r="D93"/>
      <c r="E93"/>
      <c r="F93"/>
      <c r="G93"/>
      <c r="H93"/>
      <c r="I93"/>
      <c r="J93"/>
      <c r="L93" s="83"/>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5"/>
    </row>
    <row r="94" spans="1:38" x14ac:dyDescent="0.3">
      <c r="A94"/>
      <c r="B94" t="s">
        <v>52</v>
      </c>
      <c r="C94" t="s">
        <v>84</v>
      </c>
      <c r="D94" t="s">
        <v>53</v>
      </c>
      <c r="E94" t="s">
        <v>85</v>
      </c>
      <c r="F94" t="s">
        <v>54</v>
      </c>
      <c r="G94" t="s">
        <v>86</v>
      </c>
      <c r="H94" t="s">
        <v>55</v>
      </c>
      <c r="I94" t="s">
        <v>87</v>
      </c>
      <c r="J94" t="s">
        <v>63</v>
      </c>
      <c r="L94" s="83"/>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5"/>
    </row>
    <row r="95" spans="1:38" x14ac:dyDescent="0.3">
      <c r="A95" s="2" t="s">
        <v>61</v>
      </c>
      <c r="B95" t="s">
        <v>88</v>
      </c>
      <c r="C95"/>
      <c r="D95" t="s">
        <v>70</v>
      </c>
      <c r="E95"/>
      <c r="F95" t="s">
        <v>70</v>
      </c>
      <c r="G95"/>
      <c r="H95" t="s">
        <v>70</v>
      </c>
      <c r="I95"/>
      <c r="J95"/>
      <c r="L95" s="83"/>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5"/>
    </row>
    <row r="96" spans="1:38" x14ac:dyDescent="0.3">
      <c r="A96" s="3" t="s">
        <v>21</v>
      </c>
      <c r="B96" s="1">
        <v>0</v>
      </c>
      <c r="C96" s="1">
        <v>0</v>
      </c>
      <c r="D96" s="1">
        <v>0</v>
      </c>
      <c r="E96" s="1">
        <v>0</v>
      </c>
      <c r="F96" s="1">
        <v>0</v>
      </c>
      <c r="G96" s="1">
        <v>0</v>
      </c>
      <c r="H96" s="1">
        <v>0</v>
      </c>
      <c r="I96" s="1">
        <v>0</v>
      </c>
      <c r="J96" s="1">
        <v>0</v>
      </c>
      <c r="L96" s="83"/>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5"/>
    </row>
    <row r="97" spans="1:38" x14ac:dyDescent="0.3">
      <c r="A97" s="3" t="s">
        <v>10</v>
      </c>
      <c r="B97" s="1">
        <v>0</v>
      </c>
      <c r="C97" s="1">
        <v>0</v>
      </c>
      <c r="D97" s="1">
        <v>0</v>
      </c>
      <c r="E97" s="1">
        <v>0</v>
      </c>
      <c r="F97" s="1">
        <v>0</v>
      </c>
      <c r="G97" s="1">
        <v>0</v>
      </c>
      <c r="H97" s="1">
        <v>0</v>
      </c>
      <c r="I97" s="1">
        <v>0</v>
      </c>
      <c r="J97" s="1">
        <v>0</v>
      </c>
      <c r="L97" s="83"/>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5"/>
    </row>
    <row r="98" spans="1:38" x14ac:dyDescent="0.3">
      <c r="A98" s="3" t="s">
        <v>24</v>
      </c>
      <c r="B98" s="1">
        <v>0</v>
      </c>
      <c r="C98" s="1">
        <v>0</v>
      </c>
      <c r="D98" s="1">
        <v>0</v>
      </c>
      <c r="E98" s="1">
        <v>0</v>
      </c>
      <c r="F98" s="1">
        <v>0</v>
      </c>
      <c r="G98" s="1">
        <v>0</v>
      </c>
      <c r="H98" s="1">
        <v>0</v>
      </c>
      <c r="I98" s="1">
        <v>0</v>
      </c>
      <c r="J98" s="1">
        <v>0</v>
      </c>
      <c r="L98" s="83"/>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5"/>
    </row>
    <row r="99" spans="1:38" x14ac:dyDescent="0.3">
      <c r="A99" s="3" t="s">
        <v>17</v>
      </c>
      <c r="B99" s="1">
        <v>0</v>
      </c>
      <c r="C99" s="1">
        <v>0</v>
      </c>
      <c r="D99" s="1">
        <v>0</v>
      </c>
      <c r="E99" s="1">
        <v>0</v>
      </c>
      <c r="F99" s="1">
        <v>0</v>
      </c>
      <c r="G99" s="1">
        <v>0</v>
      </c>
      <c r="H99" s="1">
        <v>0</v>
      </c>
      <c r="I99" s="1">
        <v>0</v>
      </c>
      <c r="J99" s="1">
        <v>0</v>
      </c>
      <c r="L99" s="83"/>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5"/>
    </row>
    <row r="100" spans="1:38" x14ac:dyDescent="0.3">
      <c r="A100" s="3" t="s">
        <v>26</v>
      </c>
      <c r="B100" s="1">
        <v>0</v>
      </c>
      <c r="C100" s="1">
        <v>0</v>
      </c>
      <c r="D100" s="1">
        <v>0</v>
      </c>
      <c r="E100" s="1">
        <v>0</v>
      </c>
      <c r="F100" s="1">
        <v>0</v>
      </c>
      <c r="G100" s="1">
        <v>0</v>
      </c>
      <c r="H100" s="1">
        <v>0</v>
      </c>
      <c r="I100" s="1">
        <v>0</v>
      </c>
      <c r="J100" s="1">
        <v>0</v>
      </c>
      <c r="L100" s="83"/>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5"/>
    </row>
    <row r="101" spans="1:38" x14ac:dyDescent="0.3">
      <c r="A101" s="3" t="s">
        <v>19</v>
      </c>
      <c r="B101" s="1">
        <v>0</v>
      </c>
      <c r="C101" s="1">
        <v>0</v>
      </c>
      <c r="D101" s="1">
        <v>0</v>
      </c>
      <c r="E101" s="1">
        <v>0</v>
      </c>
      <c r="F101" s="1">
        <v>0</v>
      </c>
      <c r="G101" s="1">
        <v>0</v>
      </c>
      <c r="H101" s="1">
        <v>0</v>
      </c>
      <c r="I101" s="1">
        <v>0</v>
      </c>
      <c r="J101" s="1">
        <v>0</v>
      </c>
      <c r="L101" s="83"/>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5"/>
    </row>
    <row r="102" spans="1:38" x14ac:dyDescent="0.3">
      <c r="A102" s="3" t="s">
        <v>15</v>
      </c>
      <c r="B102" s="1">
        <v>0</v>
      </c>
      <c r="C102" s="1">
        <v>0</v>
      </c>
      <c r="D102" s="1">
        <v>0</v>
      </c>
      <c r="E102" s="1">
        <v>0</v>
      </c>
      <c r="F102" s="1">
        <v>0</v>
      </c>
      <c r="G102" s="1">
        <v>0</v>
      </c>
      <c r="H102" s="1">
        <v>0</v>
      </c>
      <c r="I102" s="1">
        <v>0</v>
      </c>
      <c r="J102" s="1">
        <v>0</v>
      </c>
      <c r="L102" s="83"/>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5"/>
    </row>
    <row r="103" spans="1:38" x14ac:dyDescent="0.3">
      <c r="A103" s="3" t="s">
        <v>56</v>
      </c>
      <c r="B103" s="1">
        <v>0</v>
      </c>
      <c r="C103" s="1">
        <v>0</v>
      </c>
      <c r="D103" s="1">
        <v>0</v>
      </c>
      <c r="E103" s="1">
        <v>0</v>
      </c>
      <c r="F103" s="1">
        <v>0</v>
      </c>
      <c r="G103" s="1">
        <v>0</v>
      </c>
      <c r="H103" s="1">
        <v>0</v>
      </c>
      <c r="I103" s="1">
        <v>0</v>
      </c>
      <c r="J103" s="1">
        <v>0</v>
      </c>
      <c r="L103" s="83"/>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5"/>
    </row>
    <row r="104" spans="1:38" x14ac:dyDescent="0.3">
      <c r="L104" s="83"/>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5"/>
    </row>
    <row r="105" spans="1:38" x14ac:dyDescent="0.3">
      <c r="L105" s="83"/>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5"/>
    </row>
    <row r="106" spans="1:38" x14ac:dyDescent="0.3">
      <c r="L106" s="83"/>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5"/>
    </row>
    <row r="107" spans="1:38" x14ac:dyDescent="0.3">
      <c r="L107" s="83"/>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5"/>
    </row>
    <row r="108" spans="1:38" x14ac:dyDescent="0.3">
      <c r="L108" s="83"/>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5"/>
    </row>
    <row r="109" spans="1:38" x14ac:dyDescent="0.3">
      <c r="L109" s="83"/>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5"/>
    </row>
    <row r="110" spans="1:38" x14ac:dyDescent="0.3">
      <c r="L110" s="83"/>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5"/>
    </row>
    <row r="111" spans="1:38" x14ac:dyDescent="0.3">
      <c r="L111" s="83"/>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5"/>
    </row>
    <row r="112" spans="1:38" x14ac:dyDescent="0.3">
      <c r="L112" s="83"/>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5"/>
    </row>
    <row r="113" spans="1:38" ht="15" thickBot="1" x14ac:dyDescent="0.35">
      <c r="L113" s="83"/>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5"/>
    </row>
    <row r="114" spans="1:38" x14ac:dyDescent="0.3">
      <c r="A114" s="99" t="s">
        <v>89</v>
      </c>
      <c r="B114" s="100"/>
      <c r="C114" s="100"/>
      <c r="D114" s="100"/>
      <c r="E114" s="100"/>
      <c r="F114" s="100"/>
      <c r="G114" s="100"/>
      <c r="H114" s="100"/>
      <c r="I114" s="101"/>
      <c r="L114" s="83"/>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5"/>
    </row>
    <row r="115" spans="1:38" ht="15" thickBot="1" x14ac:dyDescent="0.35">
      <c r="A115" s="102"/>
      <c r="B115" s="103"/>
      <c r="C115" s="103"/>
      <c r="D115" s="103"/>
      <c r="E115" s="103"/>
      <c r="F115" s="103"/>
      <c r="G115" s="103"/>
      <c r="H115" s="103"/>
      <c r="I115" s="104"/>
      <c r="L115" s="83"/>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5"/>
    </row>
    <row r="116" spans="1:38" x14ac:dyDescent="0.3">
      <c r="A116" s="2" t="s">
        <v>62</v>
      </c>
      <c r="B116" s="2" t="s">
        <v>65</v>
      </c>
      <c r="C116"/>
      <c r="D116"/>
      <c r="E116"/>
      <c r="F116"/>
      <c r="G116"/>
      <c r="H116"/>
      <c r="I116"/>
      <c r="L116" s="83"/>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5"/>
    </row>
    <row r="117" spans="1:38" x14ac:dyDescent="0.3">
      <c r="A117" s="2" t="s">
        <v>61</v>
      </c>
      <c r="B117" t="s">
        <v>21</v>
      </c>
      <c r="C117" t="s">
        <v>10</v>
      </c>
      <c r="D117" t="s">
        <v>24</v>
      </c>
      <c r="E117" t="s">
        <v>17</v>
      </c>
      <c r="F117" t="s">
        <v>26</v>
      </c>
      <c r="G117" t="s">
        <v>19</v>
      </c>
      <c r="H117" t="s">
        <v>15</v>
      </c>
      <c r="I117" t="s">
        <v>56</v>
      </c>
      <c r="L117" s="83"/>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5"/>
    </row>
    <row r="118" spans="1:38" x14ac:dyDescent="0.3">
      <c r="A118" s="3" t="s">
        <v>44</v>
      </c>
      <c r="B118" s="1">
        <v>0</v>
      </c>
      <c r="C118" s="1">
        <v>0</v>
      </c>
      <c r="D118" s="1">
        <v>5.5511151231257827E-16</v>
      </c>
      <c r="E118" s="1">
        <v>2.2204460492503131E-16</v>
      </c>
      <c r="F118" s="1">
        <v>1.1102230246251565E-16</v>
      </c>
      <c r="G118" s="1">
        <v>0</v>
      </c>
      <c r="H118" s="1">
        <v>2.2204460492503131E-16</v>
      </c>
      <c r="I118" s="1">
        <v>-3.5</v>
      </c>
      <c r="L118" s="83"/>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5"/>
    </row>
    <row r="119" spans="1:38" x14ac:dyDescent="0.3">
      <c r="A119" s="9" t="s">
        <v>70</v>
      </c>
      <c r="B119" s="1">
        <v>0</v>
      </c>
      <c r="C119" s="1">
        <v>0</v>
      </c>
      <c r="D119" s="1">
        <v>5.5511151231257827E-16</v>
      </c>
      <c r="E119" s="1">
        <v>2.2204460492503131E-16</v>
      </c>
      <c r="F119" s="1">
        <v>1.1102230246251565E-16</v>
      </c>
      <c r="G119" s="1">
        <v>0</v>
      </c>
      <c r="H119" s="1">
        <v>2.2204460492503131E-16</v>
      </c>
      <c r="I119" s="1">
        <v>-3.5</v>
      </c>
      <c r="L119" s="83"/>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5"/>
    </row>
    <row r="120" spans="1:38" x14ac:dyDescent="0.3">
      <c r="A120" s="3" t="s">
        <v>45</v>
      </c>
      <c r="B120" s="1">
        <v>9.8333333333333339</v>
      </c>
      <c r="C120" s="1">
        <v>21.361904761904761</v>
      </c>
      <c r="D120" s="1">
        <v>16.80952380952381</v>
      </c>
      <c r="E120" s="1">
        <v>18.55</v>
      </c>
      <c r="F120" s="1">
        <v>10.976190476190476</v>
      </c>
      <c r="G120" s="1">
        <v>6.75</v>
      </c>
      <c r="H120" s="1">
        <v>15.37202380952381</v>
      </c>
      <c r="I120" s="1">
        <v>17.5</v>
      </c>
      <c r="L120" s="83"/>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5"/>
    </row>
    <row r="121" spans="1:38" x14ac:dyDescent="0.3">
      <c r="A121" s="9" t="s">
        <v>71</v>
      </c>
      <c r="B121" s="1">
        <v>9.8333333333333339</v>
      </c>
      <c r="C121" s="1">
        <v>21.361904761904761</v>
      </c>
      <c r="D121" s="1">
        <v>16.80952380952381</v>
      </c>
      <c r="E121" s="1">
        <v>18.55</v>
      </c>
      <c r="F121" s="1">
        <v>10.976190476190476</v>
      </c>
      <c r="G121" s="1">
        <v>6.75</v>
      </c>
      <c r="H121" s="1">
        <v>15.37202380952381</v>
      </c>
      <c r="I121" s="1">
        <v>17.5</v>
      </c>
      <c r="L121" s="83"/>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5"/>
    </row>
    <row r="122" spans="1:38" x14ac:dyDescent="0.3">
      <c r="A122" s="3" t="s">
        <v>46</v>
      </c>
      <c r="B122" s="1">
        <v>14.166666666666668</v>
      </c>
      <c r="C122" s="1">
        <v>24.138095238095239</v>
      </c>
      <c r="D122" s="1">
        <v>19.69047619047619</v>
      </c>
      <c r="E122" s="1">
        <v>22.95</v>
      </c>
      <c r="F122" s="1">
        <v>14.523809523809526</v>
      </c>
      <c r="G122" s="1">
        <v>11.25</v>
      </c>
      <c r="H122" s="1">
        <v>21.770833333333336</v>
      </c>
      <c r="I122" s="1">
        <v>17.5</v>
      </c>
      <c r="L122" s="83"/>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5"/>
    </row>
    <row r="123" spans="1:38" x14ac:dyDescent="0.3">
      <c r="A123" s="9" t="s">
        <v>72</v>
      </c>
      <c r="B123" s="1">
        <v>14.166666666666668</v>
      </c>
      <c r="C123" s="1">
        <v>24.138095238095239</v>
      </c>
      <c r="D123" s="1">
        <v>19.69047619047619</v>
      </c>
      <c r="E123" s="1">
        <v>22.95</v>
      </c>
      <c r="F123" s="1">
        <v>14.523809523809526</v>
      </c>
      <c r="G123" s="1">
        <v>11.25</v>
      </c>
      <c r="H123" s="1">
        <v>21.770833333333336</v>
      </c>
      <c r="I123" s="1">
        <v>17.5</v>
      </c>
      <c r="L123" s="83"/>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5"/>
    </row>
    <row r="124" spans="1:38" x14ac:dyDescent="0.3">
      <c r="A124" s="3" t="s">
        <v>47</v>
      </c>
      <c r="B124" s="1">
        <v>10.25</v>
      </c>
      <c r="C124" s="1">
        <v>18.361904761904764</v>
      </c>
      <c r="D124" s="1">
        <v>13.809523809523812</v>
      </c>
      <c r="E124" s="1">
        <v>12.216666666666669</v>
      </c>
      <c r="F124" s="1">
        <v>9.8095238095238084</v>
      </c>
      <c r="G124" s="1">
        <v>6.75</v>
      </c>
      <c r="H124" s="1">
        <v>5.5625</v>
      </c>
      <c r="I124" s="1">
        <v>17.5</v>
      </c>
      <c r="L124" s="83"/>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5"/>
    </row>
    <row r="125" spans="1:38" x14ac:dyDescent="0.3">
      <c r="A125" s="9" t="s">
        <v>73</v>
      </c>
      <c r="B125" s="1">
        <v>10.25</v>
      </c>
      <c r="C125" s="1">
        <v>18.361904761904764</v>
      </c>
      <c r="D125" s="1">
        <v>13.809523809523812</v>
      </c>
      <c r="E125" s="1">
        <v>12.216666666666669</v>
      </c>
      <c r="F125" s="1">
        <v>9.8095238095238084</v>
      </c>
      <c r="G125" s="1">
        <v>6.75</v>
      </c>
      <c r="H125" s="1">
        <v>5.5625</v>
      </c>
      <c r="I125" s="1">
        <v>17.5</v>
      </c>
      <c r="L125" s="83"/>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5"/>
    </row>
    <row r="126" spans="1:38" x14ac:dyDescent="0.3">
      <c r="A126" s="3" t="s">
        <v>48</v>
      </c>
      <c r="B126" s="1">
        <v>11.25</v>
      </c>
      <c r="C126" s="1">
        <v>17.166666666666668</v>
      </c>
      <c r="D126" s="1">
        <v>10</v>
      </c>
      <c r="E126" s="1">
        <v>5.5833333333333339</v>
      </c>
      <c r="F126" s="1">
        <v>10.333333333333332</v>
      </c>
      <c r="G126" s="1">
        <v>9.75</v>
      </c>
      <c r="H126" s="1">
        <v>4.9791666666666661</v>
      </c>
      <c r="I126" s="1">
        <v>21</v>
      </c>
      <c r="L126" s="83"/>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5"/>
    </row>
    <row r="127" spans="1:38" x14ac:dyDescent="0.3">
      <c r="A127" s="9" t="s">
        <v>79</v>
      </c>
      <c r="B127" s="1">
        <v>11.25</v>
      </c>
      <c r="C127" s="1">
        <v>17.166666666666668</v>
      </c>
      <c r="D127" s="1">
        <v>10</v>
      </c>
      <c r="E127" s="1">
        <v>5.5833333333333339</v>
      </c>
      <c r="F127" s="1">
        <v>10.333333333333332</v>
      </c>
      <c r="G127" s="1">
        <v>9.75</v>
      </c>
      <c r="H127" s="1">
        <v>4.9791666666666661</v>
      </c>
      <c r="I127" s="1">
        <v>21</v>
      </c>
      <c r="L127" s="83"/>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5"/>
    </row>
    <row r="128" spans="1:38" x14ac:dyDescent="0.3">
      <c r="A128" s="8" t="s">
        <v>63</v>
      </c>
      <c r="B128" s="1">
        <v>45.5</v>
      </c>
      <c r="C128" s="1">
        <v>81.028571428571439</v>
      </c>
      <c r="D128" s="1">
        <v>60.30952380952381</v>
      </c>
      <c r="E128" s="1">
        <v>59.300000000000004</v>
      </c>
      <c r="F128" s="1">
        <v>45.642857142857139</v>
      </c>
      <c r="G128" s="1">
        <v>34.5</v>
      </c>
      <c r="H128" s="1">
        <v>47.68452380952381</v>
      </c>
      <c r="I128" s="1">
        <v>70</v>
      </c>
      <c r="L128" s="83"/>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5"/>
    </row>
    <row r="129" spans="2:38" x14ac:dyDescent="0.3">
      <c r="L129" s="83"/>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5"/>
    </row>
    <row r="130" spans="2:38" x14ac:dyDescent="0.3">
      <c r="L130" s="83"/>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5"/>
    </row>
    <row r="131" spans="2:38" x14ac:dyDescent="0.3">
      <c r="L131" s="83"/>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5"/>
    </row>
    <row r="132" spans="2:38" x14ac:dyDescent="0.3">
      <c r="L132" s="83"/>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5"/>
    </row>
    <row r="133" spans="2:38" x14ac:dyDescent="0.3">
      <c r="L133" s="83"/>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5"/>
    </row>
    <row r="134" spans="2:38" x14ac:dyDescent="0.3">
      <c r="L134" s="83"/>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5"/>
    </row>
    <row r="135" spans="2:38" x14ac:dyDescent="0.3">
      <c r="L135" s="83"/>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5"/>
    </row>
    <row r="136" spans="2:38" x14ac:dyDescent="0.3">
      <c r="L136" s="83"/>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5"/>
    </row>
    <row r="137" spans="2:38" x14ac:dyDescent="0.3">
      <c r="L137" s="83"/>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5"/>
    </row>
    <row r="138" spans="2:38" x14ac:dyDescent="0.3">
      <c r="L138" s="83"/>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5"/>
    </row>
    <row r="139" spans="2:38" ht="15" thickBot="1" x14ac:dyDescent="0.35">
      <c r="L139" s="83"/>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5"/>
    </row>
    <row r="140" spans="2:38" x14ac:dyDescent="0.3">
      <c r="B140" s="99" t="s">
        <v>90</v>
      </c>
      <c r="C140" s="100"/>
      <c r="D140" s="100"/>
      <c r="E140" s="100"/>
      <c r="F140" s="100"/>
      <c r="G140" s="100"/>
      <c r="H140" s="100"/>
      <c r="I140" s="100"/>
      <c r="J140" s="101"/>
      <c r="L140" s="83"/>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5"/>
    </row>
    <row r="141" spans="2:38" ht="15" thickBot="1" x14ac:dyDescent="0.35">
      <c r="B141" s="102"/>
      <c r="C141" s="103"/>
      <c r="D141" s="103"/>
      <c r="E141" s="103"/>
      <c r="F141" s="103"/>
      <c r="G141" s="103"/>
      <c r="H141" s="103"/>
      <c r="I141" s="103"/>
      <c r="J141" s="104"/>
      <c r="L141" s="83"/>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5"/>
    </row>
    <row r="142" spans="2:38" ht="14.4" customHeight="1" x14ac:dyDescent="0.3">
      <c r="B142" s="2" t="s">
        <v>62</v>
      </c>
      <c r="C142" s="2" t="s">
        <v>65</v>
      </c>
      <c r="D142"/>
      <c r="E142"/>
      <c r="F142"/>
      <c r="G142"/>
      <c r="H142"/>
      <c r="I142"/>
      <c r="J142"/>
      <c r="L142" s="83"/>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5"/>
    </row>
    <row r="143" spans="2:38" x14ac:dyDescent="0.3">
      <c r="B143" s="2" t="s">
        <v>61</v>
      </c>
      <c r="C143" t="s">
        <v>21</v>
      </c>
      <c r="D143" t="s">
        <v>10</v>
      </c>
      <c r="E143" t="s">
        <v>24</v>
      </c>
      <c r="F143" t="s">
        <v>17</v>
      </c>
      <c r="G143" t="s">
        <v>26</v>
      </c>
      <c r="H143" t="s">
        <v>19</v>
      </c>
      <c r="I143" t="s">
        <v>15</v>
      </c>
      <c r="J143" t="s">
        <v>56</v>
      </c>
      <c r="L143" s="83"/>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5"/>
    </row>
    <row r="144" spans="2:38" x14ac:dyDescent="0.3">
      <c r="B144" s="3" t="s">
        <v>49</v>
      </c>
      <c r="C144" s="1">
        <v>0</v>
      </c>
      <c r="D144" s="1">
        <v>0</v>
      </c>
      <c r="E144" s="1">
        <v>0</v>
      </c>
      <c r="F144" s="1">
        <v>0</v>
      </c>
      <c r="G144" s="1">
        <v>0</v>
      </c>
      <c r="H144" s="1">
        <v>0</v>
      </c>
      <c r="I144" s="1">
        <v>0</v>
      </c>
      <c r="J144" s="1">
        <v>0</v>
      </c>
      <c r="L144" s="83"/>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5"/>
    </row>
    <row r="145" spans="2:38" x14ac:dyDescent="0.3">
      <c r="B145" s="9" t="s">
        <v>80</v>
      </c>
      <c r="C145" s="1">
        <v>0</v>
      </c>
      <c r="D145" s="1">
        <v>0</v>
      </c>
      <c r="E145" s="1">
        <v>0</v>
      </c>
      <c r="F145" s="1">
        <v>0</v>
      </c>
      <c r="G145" s="1">
        <v>0</v>
      </c>
      <c r="H145" s="1">
        <v>0</v>
      </c>
      <c r="I145" s="1">
        <v>0</v>
      </c>
      <c r="J145" s="1">
        <v>0</v>
      </c>
      <c r="L145" s="83"/>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5"/>
    </row>
    <row r="146" spans="2:38" x14ac:dyDescent="0.3">
      <c r="B146" s="3" t="s">
        <v>50</v>
      </c>
      <c r="C146" s="1">
        <v>0</v>
      </c>
      <c r="D146" s="1">
        <v>0</v>
      </c>
      <c r="E146" s="1">
        <v>0</v>
      </c>
      <c r="F146" s="1">
        <v>0</v>
      </c>
      <c r="G146" s="1">
        <v>0</v>
      </c>
      <c r="H146" s="1">
        <v>0</v>
      </c>
      <c r="I146" s="1">
        <v>0</v>
      </c>
      <c r="J146" s="1">
        <v>0</v>
      </c>
      <c r="L146" s="83"/>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5"/>
    </row>
    <row r="147" spans="2:38" x14ac:dyDescent="0.3">
      <c r="B147" s="9" t="s">
        <v>81</v>
      </c>
      <c r="C147" s="1">
        <v>0</v>
      </c>
      <c r="D147" s="1">
        <v>0</v>
      </c>
      <c r="E147" s="1">
        <v>0</v>
      </c>
      <c r="F147" s="1">
        <v>0</v>
      </c>
      <c r="G147" s="1">
        <v>0</v>
      </c>
      <c r="H147" s="1">
        <v>0</v>
      </c>
      <c r="I147" s="1">
        <v>0</v>
      </c>
      <c r="J147" s="1">
        <v>0</v>
      </c>
      <c r="L147" s="83"/>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5"/>
    </row>
    <row r="148" spans="2:38" x14ac:dyDescent="0.3">
      <c r="B148" s="3" t="s">
        <v>51</v>
      </c>
      <c r="C148" s="1">
        <v>0</v>
      </c>
      <c r="D148" s="1">
        <v>0</v>
      </c>
      <c r="E148" s="1">
        <v>0</v>
      </c>
      <c r="F148" s="1">
        <v>0</v>
      </c>
      <c r="G148" s="1">
        <v>0</v>
      </c>
      <c r="H148" s="1">
        <v>0</v>
      </c>
      <c r="I148" s="1">
        <v>0</v>
      </c>
      <c r="J148" s="1">
        <v>0</v>
      </c>
      <c r="L148" s="83"/>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5"/>
    </row>
    <row r="149" spans="2:38" x14ac:dyDescent="0.3">
      <c r="B149" s="9" t="s">
        <v>82</v>
      </c>
      <c r="C149" s="1">
        <v>0</v>
      </c>
      <c r="D149" s="1">
        <v>0</v>
      </c>
      <c r="E149" s="1">
        <v>0</v>
      </c>
      <c r="F149" s="1">
        <v>0</v>
      </c>
      <c r="G149" s="1">
        <v>0</v>
      </c>
      <c r="H149" s="1">
        <v>0</v>
      </c>
      <c r="I149" s="1">
        <v>0</v>
      </c>
      <c r="J149" s="1">
        <v>0</v>
      </c>
      <c r="L149" s="83"/>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5"/>
    </row>
    <row r="150" spans="2:38" x14ac:dyDescent="0.3">
      <c r="B150" s="3" t="s">
        <v>52</v>
      </c>
      <c r="C150" s="1">
        <v>0</v>
      </c>
      <c r="D150" s="1">
        <v>0</v>
      </c>
      <c r="E150" s="1">
        <v>0</v>
      </c>
      <c r="F150" s="1">
        <v>0</v>
      </c>
      <c r="G150" s="1">
        <v>0</v>
      </c>
      <c r="H150" s="1">
        <v>0</v>
      </c>
      <c r="I150" s="1">
        <v>0</v>
      </c>
      <c r="J150" s="1">
        <v>0</v>
      </c>
      <c r="L150" s="83"/>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5"/>
    </row>
    <row r="151" spans="2:38" x14ac:dyDescent="0.3">
      <c r="B151" s="9" t="s">
        <v>88</v>
      </c>
      <c r="C151" s="1">
        <v>0</v>
      </c>
      <c r="D151" s="1">
        <v>0</v>
      </c>
      <c r="E151" s="1">
        <v>0</v>
      </c>
      <c r="F151" s="1">
        <v>0</v>
      </c>
      <c r="G151" s="1">
        <v>0</v>
      </c>
      <c r="H151" s="1">
        <v>0</v>
      </c>
      <c r="I151" s="1">
        <v>0</v>
      </c>
      <c r="J151" s="1">
        <v>0</v>
      </c>
      <c r="L151" s="83"/>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5"/>
    </row>
    <row r="152" spans="2:38" x14ac:dyDescent="0.3">
      <c r="B152" s="3" t="s">
        <v>53</v>
      </c>
      <c r="C152" s="1">
        <v>0</v>
      </c>
      <c r="D152" s="1">
        <v>0</v>
      </c>
      <c r="E152" s="1">
        <v>0</v>
      </c>
      <c r="F152" s="1">
        <v>0</v>
      </c>
      <c r="G152" s="1">
        <v>0</v>
      </c>
      <c r="H152" s="1">
        <v>0</v>
      </c>
      <c r="I152" s="1">
        <v>0</v>
      </c>
      <c r="J152" s="1">
        <v>0</v>
      </c>
      <c r="L152" s="83"/>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5"/>
    </row>
    <row r="153" spans="2:38" x14ac:dyDescent="0.3">
      <c r="B153" s="9" t="s">
        <v>70</v>
      </c>
      <c r="C153" s="1">
        <v>0</v>
      </c>
      <c r="D153" s="1">
        <v>0</v>
      </c>
      <c r="E153" s="1">
        <v>0</v>
      </c>
      <c r="F153" s="1">
        <v>0</v>
      </c>
      <c r="G153" s="1">
        <v>0</v>
      </c>
      <c r="H153" s="1">
        <v>0</v>
      </c>
      <c r="I153" s="1">
        <v>0</v>
      </c>
      <c r="J153" s="1">
        <v>0</v>
      </c>
      <c r="L153" s="83"/>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5"/>
    </row>
    <row r="154" spans="2:38" x14ac:dyDescent="0.3">
      <c r="B154" s="8" t="s">
        <v>63</v>
      </c>
      <c r="C154" s="1">
        <v>0</v>
      </c>
      <c r="D154" s="1">
        <v>0</v>
      </c>
      <c r="E154" s="1">
        <v>0</v>
      </c>
      <c r="F154" s="1">
        <v>0</v>
      </c>
      <c r="G154" s="1">
        <v>0</v>
      </c>
      <c r="H154" s="1">
        <v>0</v>
      </c>
      <c r="I154" s="1">
        <v>0</v>
      </c>
      <c r="J154" s="1">
        <v>0</v>
      </c>
      <c r="L154" s="83"/>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5"/>
    </row>
    <row r="155" spans="2:38" x14ac:dyDescent="0.3">
      <c r="L155" s="83"/>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5"/>
    </row>
    <row r="156" spans="2:38" x14ac:dyDescent="0.3">
      <c r="L156" s="83"/>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5"/>
    </row>
    <row r="157" spans="2:38" x14ac:dyDescent="0.3">
      <c r="L157" s="83"/>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5"/>
    </row>
    <row r="158" spans="2:38" x14ac:dyDescent="0.3">
      <c r="L158" s="83"/>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5"/>
    </row>
    <row r="159" spans="2:38" x14ac:dyDescent="0.3">
      <c r="L159" s="83"/>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5"/>
    </row>
    <row r="160" spans="2:38" x14ac:dyDescent="0.3">
      <c r="L160" s="83"/>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5"/>
    </row>
    <row r="161" spans="2:38" x14ac:dyDescent="0.3">
      <c r="L161" s="83"/>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5"/>
    </row>
    <row r="162" spans="2:38" x14ac:dyDescent="0.3">
      <c r="L162" s="83"/>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5"/>
    </row>
    <row r="163" spans="2:38" x14ac:dyDescent="0.3">
      <c r="L163" s="83"/>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5"/>
    </row>
    <row r="164" spans="2:38" x14ac:dyDescent="0.3">
      <c r="L164" s="83"/>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5"/>
    </row>
    <row r="165" spans="2:38" x14ac:dyDescent="0.3">
      <c r="L165" s="83"/>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5"/>
    </row>
    <row r="166" spans="2:38" x14ac:dyDescent="0.3">
      <c r="L166" s="83"/>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5"/>
    </row>
    <row r="167" spans="2:38" x14ac:dyDescent="0.3">
      <c r="L167" s="83"/>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5"/>
    </row>
    <row r="168" spans="2:38" x14ac:dyDescent="0.3">
      <c r="B168" s="2" t="s">
        <v>62</v>
      </c>
      <c r="C168" s="2" t="s">
        <v>65</v>
      </c>
      <c r="D168"/>
      <c r="E168"/>
      <c r="F168"/>
      <c r="G168"/>
      <c r="H168"/>
      <c r="I168"/>
      <c r="J168"/>
      <c r="L168" s="83"/>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5"/>
    </row>
    <row r="169" spans="2:38" ht="14.4" customHeight="1" x14ac:dyDescent="0.3">
      <c r="B169" s="2" t="s">
        <v>61</v>
      </c>
      <c r="C169" t="s">
        <v>21</v>
      </c>
      <c r="D169" t="s">
        <v>10</v>
      </c>
      <c r="E169" t="s">
        <v>24</v>
      </c>
      <c r="F169" t="s">
        <v>17</v>
      </c>
      <c r="G169" t="s">
        <v>26</v>
      </c>
      <c r="H169" t="s">
        <v>19</v>
      </c>
      <c r="I169" t="s">
        <v>15</v>
      </c>
      <c r="J169" t="s">
        <v>56</v>
      </c>
      <c r="L169" s="83"/>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5"/>
    </row>
    <row r="170" spans="2:38" x14ac:dyDescent="0.3">
      <c r="B170" s="3" t="s">
        <v>44</v>
      </c>
      <c r="C170" s="1">
        <v>0</v>
      </c>
      <c r="D170" s="1">
        <v>0</v>
      </c>
      <c r="E170" s="1">
        <v>5.5511151231257827E-16</v>
      </c>
      <c r="F170" s="1">
        <v>2.2204460492503131E-16</v>
      </c>
      <c r="G170" s="1">
        <v>1.1102230246251565E-16</v>
      </c>
      <c r="H170" s="1">
        <v>0</v>
      </c>
      <c r="I170" s="1">
        <v>2.2204460492503131E-16</v>
      </c>
      <c r="J170" s="1">
        <v>-3.5</v>
      </c>
      <c r="L170" s="83"/>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5"/>
    </row>
    <row r="171" spans="2:38" x14ac:dyDescent="0.3">
      <c r="B171" s="9" t="s">
        <v>70</v>
      </c>
      <c r="C171" s="1">
        <v>0</v>
      </c>
      <c r="D171" s="1">
        <v>0</v>
      </c>
      <c r="E171" s="1">
        <v>5.5511151231257827E-16</v>
      </c>
      <c r="F171" s="1">
        <v>2.2204460492503131E-16</v>
      </c>
      <c r="G171" s="1">
        <v>1.1102230246251565E-16</v>
      </c>
      <c r="H171" s="1">
        <v>0</v>
      </c>
      <c r="I171" s="1">
        <v>2.2204460492503131E-16</v>
      </c>
      <c r="J171" s="1">
        <v>-3.5</v>
      </c>
      <c r="L171" s="83"/>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5"/>
    </row>
    <row r="172" spans="2:38" x14ac:dyDescent="0.3">
      <c r="B172" s="3" t="s">
        <v>45</v>
      </c>
      <c r="C172" s="1">
        <v>9.8333333333333339</v>
      </c>
      <c r="D172" s="1">
        <v>21.361904761904761</v>
      </c>
      <c r="E172" s="1">
        <v>16.80952380952381</v>
      </c>
      <c r="F172" s="1">
        <v>18.55</v>
      </c>
      <c r="G172" s="1">
        <v>10.976190476190476</v>
      </c>
      <c r="H172" s="1">
        <v>6.75</v>
      </c>
      <c r="I172" s="1">
        <v>15.37202380952381</v>
      </c>
      <c r="J172" s="1">
        <v>17.5</v>
      </c>
      <c r="L172" s="83"/>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5"/>
    </row>
    <row r="173" spans="2:38" x14ac:dyDescent="0.3">
      <c r="B173" s="9" t="s">
        <v>71</v>
      </c>
      <c r="C173" s="1">
        <v>9.8333333333333339</v>
      </c>
      <c r="D173" s="1">
        <v>21.361904761904761</v>
      </c>
      <c r="E173" s="1">
        <v>16.80952380952381</v>
      </c>
      <c r="F173" s="1">
        <v>18.55</v>
      </c>
      <c r="G173" s="1">
        <v>10.976190476190476</v>
      </c>
      <c r="H173" s="1">
        <v>6.75</v>
      </c>
      <c r="I173" s="1">
        <v>15.37202380952381</v>
      </c>
      <c r="J173" s="1">
        <v>17.5</v>
      </c>
      <c r="L173" s="83"/>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5"/>
    </row>
    <row r="174" spans="2:38" x14ac:dyDescent="0.3">
      <c r="B174" s="3" t="s">
        <v>46</v>
      </c>
      <c r="C174" s="1">
        <v>14.166666666666668</v>
      </c>
      <c r="D174" s="1">
        <v>24.138095238095239</v>
      </c>
      <c r="E174" s="1">
        <v>19.69047619047619</v>
      </c>
      <c r="F174" s="1">
        <v>22.95</v>
      </c>
      <c r="G174" s="1">
        <v>14.523809523809526</v>
      </c>
      <c r="H174" s="1">
        <v>11.25</v>
      </c>
      <c r="I174" s="1">
        <v>21.770833333333336</v>
      </c>
      <c r="J174" s="1">
        <v>17.5</v>
      </c>
      <c r="L174" s="83"/>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5"/>
    </row>
    <row r="175" spans="2:38" x14ac:dyDescent="0.3">
      <c r="B175" s="9" t="s">
        <v>72</v>
      </c>
      <c r="C175" s="1">
        <v>14.166666666666668</v>
      </c>
      <c r="D175" s="1">
        <v>24.138095238095239</v>
      </c>
      <c r="E175" s="1">
        <v>19.69047619047619</v>
      </c>
      <c r="F175" s="1">
        <v>22.95</v>
      </c>
      <c r="G175" s="1">
        <v>14.523809523809526</v>
      </c>
      <c r="H175" s="1">
        <v>11.25</v>
      </c>
      <c r="I175" s="1">
        <v>21.770833333333336</v>
      </c>
      <c r="J175" s="1">
        <v>17.5</v>
      </c>
      <c r="L175" s="83"/>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5"/>
    </row>
    <row r="176" spans="2:38" x14ac:dyDescent="0.3">
      <c r="B176" s="3" t="s">
        <v>47</v>
      </c>
      <c r="C176" s="1">
        <v>10.25</v>
      </c>
      <c r="D176" s="1">
        <v>18.361904761904764</v>
      </c>
      <c r="E176" s="1">
        <v>13.809523809523812</v>
      </c>
      <c r="F176" s="1">
        <v>12.216666666666669</v>
      </c>
      <c r="G176" s="1">
        <v>9.8095238095238084</v>
      </c>
      <c r="H176" s="1">
        <v>6.75</v>
      </c>
      <c r="I176" s="1">
        <v>5.5625</v>
      </c>
      <c r="J176" s="1">
        <v>17.5</v>
      </c>
      <c r="L176" s="83"/>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5"/>
    </row>
    <row r="177" spans="2:38" x14ac:dyDescent="0.3">
      <c r="B177" s="9" t="s">
        <v>73</v>
      </c>
      <c r="C177" s="1">
        <v>10.25</v>
      </c>
      <c r="D177" s="1">
        <v>18.361904761904764</v>
      </c>
      <c r="E177" s="1">
        <v>13.809523809523812</v>
      </c>
      <c r="F177" s="1">
        <v>12.216666666666669</v>
      </c>
      <c r="G177" s="1">
        <v>9.8095238095238084</v>
      </c>
      <c r="H177" s="1">
        <v>6.75</v>
      </c>
      <c r="I177" s="1">
        <v>5.5625</v>
      </c>
      <c r="J177" s="1">
        <v>17.5</v>
      </c>
      <c r="L177" s="83"/>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5"/>
    </row>
    <row r="178" spans="2:38" x14ac:dyDescent="0.3">
      <c r="B178" s="3" t="s">
        <v>48</v>
      </c>
      <c r="C178" s="1">
        <v>11.25</v>
      </c>
      <c r="D178" s="1">
        <v>17.166666666666668</v>
      </c>
      <c r="E178" s="1">
        <v>10</v>
      </c>
      <c r="F178" s="1">
        <v>5.5833333333333339</v>
      </c>
      <c r="G178" s="1">
        <v>10.333333333333332</v>
      </c>
      <c r="H178" s="1">
        <v>9.75</v>
      </c>
      <c r="I178" s="1">
        <v>4.9791666666666661</v>
      </c>
      <c r="J178" s="1">
        <v>21</v>
      </c>
      <c r="L178" s="83"/>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5"/>
    </row>
    <row r="179" spans="2:38" x14ac:dyDescent="0.3">
      <c r="B179" s="9" t="s">
        <v>79</v>
      </c>
      <c r="C179" s="1">
        <v>11.25</v>
      </c>
      <c r="D179" s="1">
        <v>17.166666666666668</v>
      </c>
      <c r="E179" s="1">
        <v>10</v>
      </c>
      <c r="F179" s="1">
        <v>5.5833333333333339</v>
      </c>
      <c r="G179" s="1">
        <v>10.333333333333332</v>
      </c>
      <c r="H179" s="1">
        <v>9.75</v>
      </c>
      <c r="I179" s="1">
        <v>4.9791666666666661</v>
      </c>
      <c r="J179" s="1">
        <v>21</v>
      </c>
      <c r="L179" s="83"/>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5"/>
    </row>
    <row r="180" spans="2:38" x14ac:dyDescent="0.3">
      <c r="B180" s="8" t="s">
        <v>63</v>
      </c>
      <c r="C180" s="1">
        <v>45.5</v>
      </c>
      <c r="D180" s="1">
        <v>81.028571428571439</v>
      </c>
      <c r="E180" s="1">
        <v>60.30952380952381</v>
      </c>
      <c r="F180" s="1">
        <v>59.300000000000004</v>
      </c>
      <c r="G180" s="1">
        <v>45.642857142857139</v>
      </c>
      <c r="H180" s="1">
        <v>34.5</v>
      </c>
      <c r="I180" s="1">
        <v>47.68452380952381</v>
      </c>
      <c r="J180" s="1">
        <v>70</v>
      </c>
      <c r="L180" s="83"/>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5"/>
    </row>
    <row r="181" spans="2:38" x14ac:dyDescent="0.3">
      <c r="L181" s="83"/>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5"/>
    </row>
    <row r="182" spans="2:38" x14ac:dyDescent="0.3">
      <c r="L182" s="83"/>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5"/>
    </row>
    <row r="183" spans="2:38" x14ac:dyDescent="0.3">
      <c r="L183" s="83"/>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5"/>
    </row>
    <row r="184" spans="2:38" x14ac:dyDescent="0.3">
      <c r="L184" s="83"/>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5"/>
    </row>
    <row r="185" spans="2:38" x14ac:dyDescent="0.3">
      <c r="L185" s="83"/>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5"/>
    </row>
    <row r="186" spans="2:38" x14ac:dyDescent="0.3">
      <c r="L186" s="83"/>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5"/>
    </row>
    <row r="187" spans="2:38" x14ac:dyDescent="0.3">
      <c r="L187" s="83"/>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5"/>
    </row>
    <row r="188" spans="2:38" x14ac:dyDescent="0.3">
      <c r="L188" s="83"/>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5"/>
    </row>
    <row r="189" spans="2:38" x14ac:dyDescent="0.3">
      <c r="L189" s="83"/>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5"/>
    </row>
    <row r="190" spans="2:38" x14ac:dyDescent="0.3">
      <c r="L190" s="83"/>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5"/>
    </row>
    <row r="191" spans="2:38" x14ac:dyDescent="0.3">
      <c r="L191" s="83"/>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5"/>
    </row>
    <row r="192" spans="2:38" x14ac:dyDescent="0.3">
      <c r="L192" s="83"/>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5"/>
    </row>
    <row r="193" spans="12:38" x14ac:dyDescent="0.3">
      <c r="L193" s="83"/>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5"/>
    </row>
    <row r="194" spans="12:38" x14ac:dyDescent="0.3">
      <c r="L194" s="83"/>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5"/>
    </row>
    <row r="195" spans="12:38" x14ac:dyDescent="0.3">
      <c r="L195" s="83"/>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5"/>
    </row>
    <row r="196" spans="12:38" x14ac:dyDescent="0.3">
      <c r="L196" s="83"/>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5"/>
    </row>
    <row r="197" spans="12:38" x14ac:dyDescent="0.3">
      <c r="L197" s="83"/>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5"/>
    </row>
    <row r="198" spans="12:38" x14ac:dyDescent="0.3">
      <c r="L198" s="83"/>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5"/>
    </row>
    <row r="199" spans="12:38" x14ac:dyDescent="0.3">
      <c r="L199" s="83"/>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5"/>
    </row>
    <row r="200" spans="12:38" ht="15" thickBot="1" x14ac:dyDescent="0.35">
      <c r="L200" s="86"/>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8"/>
    </row>
  </sheetData>
  <mergeCells count="6">
    <mergeCell ref="B140:J141"/>
    <mergeCell ref="M3:AK6"/>
    <mergeCell ref="B42:K43"/>
    <mergeCell ref="A70:J71"/>
    <mergeCell ref="A91:J92"/>
    <mergeCell ref="A114:I115"/>
  </mergeCell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5CF7D-A331-4A8A-8AD8-8546DB471290}">
  <dimension ref="A1:AB210"/>
  <sheetViews>
    <sheetView topLeftCell="A90" zoomScale="79" zoomScaleNormal="60" workbookViewId="0">
      <selection activeCell="B9" sqref="B9"/>
    </sheetView>
  </sheetViews>
  <sheetFormatPr baseColWidth="10" defaultColWidth="10.88671875" defaultRowHeight="14.4" x14ac:dyDescent="0.3"/>
  <cols>
    <col min="1" max="1" width="16.5546875" style="5" bestFit="1" customWidth="1"/>
    <col min="2" max="2" width="10.6640625" style="5" bestFit="1" customWidth="1"/>
    <col min="3" max="3" width="11.88671875" style="5" bestFit="1" customWidth="1"/>
    <col min="4" max="4" width="12.6640625" style="5" bestFit="1" customWidth="1"/>
    <col min="5" max="5" width="15.33203125" style="5" bestFit="1" customWidth="1"/>
    <col min="6" max="6" width="10.44140625" style="5" bestFit="1" customWidth="1"/>
    <col min="7" max="7" width="12.6640625" style="5" bestFit="1" customWidth="1"/>
    <col min="8" max="8" width="12.5546875" style="5" bestFit="1" customWidth="1"/>
    <col min="9" max="9" width="10.44140625" style="5" bestFit="1" customWidth="1"/>
    <col min="10" max="10" width="11.109375" style="5" bestFit="1" customWidth="1"/>
    <col min="11" max="11" width="8.33203125" style="5" bestFit="1" customWidth="1"/>
    <col min="12" max="12" width="21.88671875" style="5" bestFit="1" customWidth="1"/>
    <col min="13" max="13" width="8.33203125" style="5" bestFit="1" customWidth="1"/>
    <col min="14" max="14" width="21.88671875" style="5" bestFit="1" customWidth="1"/>
    <col min="15" max="15" width="8.33203125" style="5" bestFit="1" customWidth="1"/>
    <col min="16" max="16" width="21.88671875" style="5" bestFit="1" customWidth="1"/>
    <col min="17" max="17" width="8.33203125" style="5" bestFit="1" customWidth="1"/>
    <col min="18" max="18" width="21.88671875" style="5" bestFit="1" customWidth="1"/>
    <col min="19" max="19" width="8.33203125" style="5" bestFit="1" customWidth="1"/>
    <col min="20" max="20" width="21.88671875" style="5" bestFit="1" customWidth="1"/>
    <col min="21" max="21" width="8.33203125" style="5" bestFit="1" customWidth="1"/>
    <col min="22" max="22" width="21.88671875" style="5" bestFit="1" customWidth="1"/>
    <col min="23" max="23" width="8.33203125" style="5" bestFit="1" customWidth="1"/>
    <col min="24" max="24" width="21.88671875" style="5" bestFit="1" customWidth="1"/>
    <col min="25" max="25" width="8.33203125" style="5" bestFit="1" customWidth="1"/>
    <col min="26" max="26" width="12" style="5" bestFit="1" customWidth="1"/>
    <col min="27" max="27" width="14.6640625" style="5" bestFit="1" customWidth="1"/>
    <col min="28" max="28" width="11.5546875" style="5" bestFit="1" customWidth="1"/>
    <col min="29" max="16384" width="10.88671875" style="5"/>
  </cols>
  <sheetData>
    <row r="1" spans="1:2" x14ac:dyDescent="0.3">
      <c r="A1" s="2" t="s">
        <v>61</v>
      </c>
      <c r="B1" t="s">
        <v>62</v>
      </c>
    </row>
    <row r="2" spans="1:2" x14ac:dyDescent="0.3">
      <c r="A2" s="3" t="s">
        <v>21</v>
      </c>
      <c r="B2" s="1">
        <v>45.5</v>
      </c>
    </row>
    <row r="3" spans="1:2" x14ac:dyDescent="0.3">
      <c r="A3" s="3" t="s">
        <v>10</v>
      </c>
      <c r="B3" s="1">
        <v>81.028571428571439</v>
      </c>
    </row>
    <row r="4" spans="1:2" x14ac:dyDescent="0.3">
      <c r="A4" s="3" t="s">
        <v>24</v>
      </c>
      <c r="B4" s="1">
        <v>60.30952380952381</v>
      </c>
    </row>
    <row r="5" spans="1:2" x14ac:dyDescent="0.3">
      <c r="A5" s="3" t="s">
        <v>17</v>
      </c>
      <c r="B5" s="1">
        <v>59.3</v>
      </c>
    </row>
    <row r="6" spans="1:2" x14ac:dyDescent="0.3">
      <c r="A6" s="3" t="s">
        <v>26</v>
      </c>
      <c r="B6" s="1">
        <v>45.642857142857139</v>
      </c>
    </row>
    <row r="7" spans="1:2" x14ac:dyDescent="0.3">
      <c r="A7" s="3" t="s">
        <v>19</v>
      </c>
      <c r="B7" s="1">
        <v>34.5</v>
      </c>
    </row>
    <row r="8" spans="1:2" x14ac:dyDescent="0.3">
      <c r="A8" s="3" t="s">
        <v>15</v>
      </c>
      <c r="B8" s="1">
        <v>47.68452380952381</v>
      </c>
    </row>
    <row r="9" spans="1:2" x14ac:dyDescent="0.3">
      <c r="A9" s="8" t="s">
        <v>63</v>
      </c>
      <c r="B9" s="1">
        <v>373.96547619047618</v>
      </c>
    </row>
    <row r="29" spans="1:2" x14ac:dyDescent="0.3">
      <c r="A29" s="2" t="s">
        <v>61</v>
      </c>
      <c r="B29" t="s">
        <v>62</v>
      </c>
    </row>
    <row r="30" spans="1:2" x14ac:dyDescent="0.3">
      <c r="A30" s="3" t="s">
        <v>21</v>
      </c>
      <c r="B30" s="1">
        <v>45.5</v>
      </c>
    </row>
    <row r="31" spans="1:2" x14ac:dyDescent="0.3">
      <c r="A31" s="3" t="s">
        <v>10</v>
      </c>
      <c r="B31" s="1">
        <v>81.028571428571439</v>
      </c>
    </row>
    <row r="32" spans="1:2" x14ac:dyDescent="0.3">
      <c r="A32" s="3" t="s">
        <v>24</v>
      </c>
      <c r="B32" s="1">
        <v>60.30952380952381</v>
      </c>
    </row>
    <row r="33" spans="1:2" x14ac:dyDescent="0.3">
      <c r="A33" s="3" t="s">
        <v>17</v>
      </c>
      <c r="B33" s="1">
        <v>59.3</v>
      </c>
    </row>
    <row r="34" spans="1:2" x14ac:dyDescent="0.3">
      <c r="A34" s="3" t="s">
        <v>26</v>
      </c>
      <c r="B34" s="1">
        <v>45.642857142857139</v>
      </c>
    </row>
    <row r="35" spans="1:2" x14ac:dyDescent="0.3">
      <c r="A35" s="3" t="s">
        <v>19</v>
      </c>
      <c r="B35" s="1">
        <v>34.5</v>
      </c>
    </row>
    <row r="36" spans="1:2" x14ac:dyDescent="0.3">
      <c r="A36" s="3" t="s">
        <v>15</v>
      </c>
      <c r="B36" s="1">
        <v>47.68452380952381</v>
      </c>
    </row>
    <row r="37" spans="1:2" x14ac:dyDescent="0.3">
      <c r="A37" s="3" t="s">
        <v>63</v>
      </c>
      <c r="B37" s="1">
        <v>373.96547619047618</v>
      </c>
    </row>
    <row r="59" spans="1:28" ht="15" thickBot="1" x14ac:dyDescent="0.35"/>
    <row r="60" spans="1:28" x14ac:dyDescent="0.3">
      <c r="A60" s="99" t="s">
        <v>64</v>
      </c>
      <c r="B60" s="100"/>
      <c r="C60" s="100"/>
      <c r="D60" s="100"/>
      <c r="E60" s="100"/>
      <c r="F60" s="100"/>
      <c r="G60" s="100"/>
      <c r="H60" s="100"/>
      <c r="I60" s="100"/>
      <c r="J60" s="101"/>
    </row>
    <row r="61" spans="1:28" ht="15" thickBot="1" x14ac:dyDescent="0.35">
      <c r="A61" s="102"/>
      <c r="B61" s="103"/>
      <c r="C61" s="103"/>
      <c r="D61" s="103"/>
      <c r="E61" s="103"/>
      <c r="F61" s="103"/>
      <c r="G61" s="103"/>
      <c r="H61" s="103"/>
      <c r="I61" s="103"/>
      <c r="J61" s="104"/>
    </row>
    <row r="62" spans="1:28" x14ac:dyDescent="0.3">
      <c r="A62" s="2" t="s">
        <v>62</v>
      </c>
      <c r="B62" s="2" t="s">
        <v>65</v>
      </c>
      <c r="C62"/>
      <c r="D62"/>
      <c r="E62"/>
      <c r="F62"/>
      <c r="G62"/>
      <c r="H62"/>
      <c r="I62"/>
      <c r="J62"/>
      <c r="S62"/>
      <c r="T62"/>
      <c r="U62"/>
      <c r="V62"/>
      <c r="W62"/>
      <c r="X62"/>
      <c r="Y62"/>
      <c r="Z62"/>
      <c r="AA62"/>
      <c r="AB62"/>
    </row>
    <row r="63" spans="1:28" x14ac:dyDescent="0.3">
      <c r="A63"/>
      <c r="B63" t="s">
        <v>44</v>
      </c>
      <c r="C63" t="s">
        <v>66</v>
      </c>
      <c r="D63" t="s">
        <v>45</v>
      </c>
      <c r="E63" t="s">
        <v>67</v>
      </c>
      <c r="F63" t="s">
        <v>46</v>
      </c>
      <c r="G63" t="s">
        <v>68</v>
      </c>
      <c r="H63" t="s">
        <v>47</v>
      </c>
      <c r="I63" t="s">
        <v>69</v>
      </c>
      <c r="J63" t="s">
        <v>63</v>
      </c>
      <c r="S63"/>
      <c r="T63"/>
      <c r="U63"/>
      <c r="V63"/>
      <c r="W63"/>
      <c r="X63"/>
      <c r="Y63"/>
      <c r="Z63"/>
      <c r="AA63"/>
      <c r="AB63"/>
    </row>
    <row r="64" spans="1:28" x14ac:dyDescent="0.3">
      <c r="A64" s="2" t="s">
        <v>61</v>
      </c>
      <c r="B64" t="s">
        <v>70</v>
      </c>
      <c r="C64"/>
      <c r="D64" t="s">
        <v>71</v>
      </c>
      <c r="E64"/>
      <c r="F64" t="s">
        <v>72</v>
      </c>
      <c r="G64"/>
      <c r="H64" t="s">
        <v>73</v>
      </c>
      <c r="I64"/>
      <c r="J64"/>
      <c r="S64"/>
      <c r="T64"/>
      <c r="U64"/>
      <c r="V64"/>
      <c r="W64"/>
      <c r="X64"/>
      <c r="Y64"/>
      <c r="Z64"/>
      <c r="AA64"/>
      <c r="AB64"/>
    </row>
    <row r="65" spans="1:28" x14ac:dyDescent="0.3">
      <c r="A65" s="3" t="s">
        <v>21</v>
      </c>
      <c r="B65" s="1">
        <v>0</v>
      </c>
      <c r="C65" s="1">
        <v>0</v>
      </c>
      <c r="D65" s="1">
        <v>9.8333333333333339</v>
      </c>
      <c r="E65" s="1">
        <v>9.8333333333333339</v>
      </c>
      <c r="F65" s="1">
        <v>14.166666666666668</v>
      </c>
      <c r="G65" s="1">
        <v>14.166666666666668</v>
      </c>
      <c r="H65" s="1">
        <v>10.25</v>
      </c>
      <c r="I65" s="1">
        <v>10.25</v>
      </c>
      <c r="J65" s="1">
        <v>34.25</v>
      </c>
      <c r="S65"/>
      <c r="T65"/>
      <c r="U65"/>
      <c r="V65"/>
      <c r="W65"/>
      <c r="X65"/>
      <c r="Y65"/>
      <c r="Z65"/>
      <c r="AA65"/>
      <c r="AB65"/>
    </row>
    <row r="66" spans="1:28" x14ac:dyDescent="0.3">
      <c r="A66" s="3" t="s">
        <v>10</v>
      </c>
      <c r="B66" s="1">
        <v>0</v>
      </c>
      <c r="C66" s="1">
        <v>0</v>
      </c>
      <c r="D66" s="1">
        <v>21.361904761904761</v>
      </c>
      <c r="E66" s="1">
        <v>21.361904761904761</v>
      </c>
      <c r="F66" s="1">
        <v>24.138095238095239</v>
      </c>
      <c r="G66" s="1">
        <v>24.138095238095239</v>
      </c>
      <c r="H66" s="1">
        <v>18.361904761904764</v>
      </c>
      <c r="I66" s="1">
        <v>18.361904761904764</v>
      </c>
      <c r="J66" s="1">
        <v>63.861904761904768</v>
      </c>
      <c r="S66"/>
      <c r="T66"/>
      <c r="U66"/>
      <c r="V66"/>
      <c r="W66"/>
      <c r="X66"/>
      <c r="Y66"/>
      <c r="Z66"/>
      <c r="AA66"/>
      <c r="AB66"/>
    </row>
    <row r="67" spans="1:28" x14ac:dyDescent="0.3">
      <c r="A67" s="3" t="s">
        <v>24</v>
      </c>
      <c r="B67" s="1">
        <v>5.5511151231257827E-16</v>
      </c>
      <c r="C67" s="1">
        <v>5.5511151231257827E-16</v>
      </c>
      <c r="D67" s="1">
        <v>16.80952380952381</v>
      </c>
      <c r="E67" s="1">
        <v>16.80952380952381</v>
      </c>
      <c r="F67" s="1">
        <v>19.69047619047619</v>
      </c>
      <c r="G67" s="1">
        <v>19.69047619047619</v>
      </c>
      <c r="H67" s="1">
        <v>13.80952380952381</v>
      </c>
      <c r="I67" s="1">
        <v>13.80952380952381</v>
      </c>
      <c r="J67" s="1">
        <v>50.30952380952381</v>
      </c>
      <c r="S67"/>
      <c r="T67"/>
      <c r="U67"/>
      <c r="V67"/>
      <c r="W67"/>
      <c r="X67"/>
      <c r="Y67"/>
      <c r="Z67"/>
      <c r="AA67"/>
      <c r="AB67"/>
    </row>
    <row r="68" spans="1:28" x14ac:dyDescent="0.3">
      <c r="A68" s="3" t="s">
        <v>17</v>
      </c>
      <c r="B68" s="1">
        <v>2.2204460492503131E-16</v>
      </c>
      <c r="C68" s="1">
        <v>2.2204460492503131E-16</v>
      </c>
      <c r="D68" s="1">
        <v>18.55</v>
      </c>
      <c r="E68" s="1">
        <v>18.55</v>
      </c>
      <c r="F68" s="1">
        <v>22.95</v>
      </c>
      <c r="G68" s="1">
        <v>22.95</v>
      </c>
      <c r="H68" s="1">
        <v>12.216666666666669</v>
      </c>
      <c r="I68" s="1">
        <v>12.216666666666669</v>
      </c>
      <c r="J68" s="1">
        <v>53.716666666666669</v>
      </c>
      <c r="S68"/>
      <c r="T68"/>
      <c r="U68"/>
      <c r="V68"/>
      <c r="W68"/>
      <c r="X68"/>
      <c r="Y68"/>
      <c r="Z68"/>
      <c r="AA68"/>
      <c r="AB68"/>
    </row>
    <row r="69" spans="1:28" x14ac:dyDescent="0.3">
      <c r="A69" s="3" t="s">
        <v>26</v>
      </c>
      <c r="B69" s="1">
        <v>1.1102230246251565E-16</v>
      </c>
      <c r="C69" s="1">
        <v>1.1102230246251565E-16</v>
      </c>
      <c r="D69" s="1">
        <v>10.976190476190476</v>
      </c>
      <c r="E69" s="1">
        <v>10.976190476190476</v>
      </c>
      <c r="F69" s="1">
        <v>14.523809523809526</v>
      </c>
      <c r="G69" s="1">
        <v>14.523809523809526</v>
      </c>
      <c r="H69" s="1">
        <v>9.8095238095238084</v>
      </c>
      <c r="I69" s="1">
        <v>9.8095238095238084</v>
      </c>
      <c r="J69" s="1">
        <v>35.30952380952381</v>
      </c>
      <c r="S69"/>
      <c r="T69"/>
      <c r="U69"/>
      <c r="V69"/>
      <c r="W69"/>
      <c r="X69"/>
      <c r="Y69"/>
      <c r="Z69"/>
      <c r="AA69"/>
      <c r="AB69"/>
    </row>
    <row r="70" spans="1:28" x14ac:dyDescent="0.3">
      <c r="A70" s="3" t="s">
        <v>19</v>
      </c>
      <c r="B70" s="1">
        <v>0</v>
      </c>
      <c r="C70" s="1">
        <v>0</v>
      </c>
      <c r="D70" s="1">
        <v>6.75</v>
      </c>
      <c r="E70" s="1">
        <v>6.75</v>
      </c>
      <c r="F70" s="1">
        <v>11.25</v>
      </c>
      <c r="G70" s="1">
        <v>11.25</v>
      </c>
      <c r="H70" s="1">
        <v>6.75</v>
      </c>
      <c r="I70" s="1">
        <v>6.75</v>
      </c>
      <c r="J70" s="1">
        <v>24.75</v>
      </c>
      <c r="S70"/>
      <c r="T70"/>
      <c r="U70"/>
      <c r="V70"/>
      <c r="W70"/>
      <c r="X70"/>
      <c r="Y70"/>
      <c r="Z70"/>
      <c r="AA70"/>
      <c r="AB70"/>
    </row>
    <row r="71" spans="1:28" x14ac:dyDescent="0.3">
      <c r="A71" s="3" t="s">
        <v>15</v>
      </c>
      <c r="B71" s="1">
        <v>2.2204460492503131E-16</v>
      </c>
      <c r="C71" s="1">
        <v>2.2204460492503131E-16</v>
      </c>
      <c r="D71" s="1">
        <v>15.37202380952381</v>
      </c>
      <c r="E71" s="1">
        <v>15.37202380952381</v>
      </c>
      <c r="F71" s="1">
        <v>21.770833333333336</v>
      </c>
      <c r="G71" s="1">
        <v>21.770833333333336</v>
      </c>
      <c r="H71" s="1">
        <v>5.5625</v>
      </c>
      <c r="I71" s="1">
        <v>5.5625</v>
      </c>
      <c r="J71" s="1">
        <v>42.705357142857146</v>
      </c>
      <c r="S71"/>
      <c r="T71"/>
      <c r="U71"/>
      <c r="V71"/>
      <c r="W71"/>
      <c r="X71"/>
      <c r="Y71"/>
      <c r="Z71"/>
      <c r="AA71"/>
      <c r="AB71"/>
    </row>
    <row r="72" spans="1:28" x14ac:dyDescent="0.3">
      <c r="A72" s="3" t="s">
        <v>56</v>
      </c>
      <c r="B72" s="1">
        <v>-3.5</v>
      </c>
      <c r="C72" s="1">
        <v>-3.5</v>
      </c>
      <c r="D72" s="1">
        <v>17.5</v>
      </c>
      <c r="E72" s="1">
        <v>17.5</v>
      </c>
      <c r="F72" s="1">
        <v>17.5</v>
      </c>
      <c r="G72" s="1">
        <v>17.5</v>
      </c>
      <c r="H72" s="1">
        <v>17.5</v>
      </c>
      <c r="I72" s="1">
        <v>17.5</v>
      </c>
      <c r="J72" s="1">
        <v>49</v>
      </c>
      <c r="S72"/>
      <c r="T72"/>
      <c r="U72"/>
      <c r="V72"/>
      <c r="W72"/>
      <c r="X72"/>
      <c r="Y72"/>
      <c r="Z72"/>
      <c r="AA72"/>
      <c r="AB72"/>
    </row>
    <row r="73" spans="1:28" x14ac:dyDescent="0.3">
      <c r="S73"/>
      <c r="T73"/>
      <c r="U73"/>
      <c r="V73"/>
      <c r="W73"/>
      <c r="X73"/>
      <c r="Y73"/>
      <c r="Z73"/>
      <c r="AA73"/>
      <c r="AB73"/>
    </row>
    <row r="86" spans="1:10" ht="15" thickBot="1" x14ac:dyDescent="0.35"/>
    <row r="87" spans="1:10" x14ac:dyDescent="0.3">
      <c r="A87" s="99" t="s">
        <v>74</v>
      </c>
      <c r="B87" s="100"/>
      <c r="C87" s="100"/>
      <c r="D87" s="100"/>
      <c r="E87" s="100"/>
      <c r="F87" s="100"/>
      <c r="G87" s="100"/>
      <c r="H87" s="100"/>
      <c r="I87" s="100"/>
      <c r="J87" s="101"/>
    </row>
    <row r="88" spans="1:10" ht="15" thickBot="1" x14ac:dyDescent="0.35">
      <c r="A88" s="102"/>
      <c r="B88" s="103"/>
      <c r="C88" s="103"/>
      <c r="D88" s="103"/>
      <c r="E88" s="103"/>
      <c r="F88" s="103"/>
      <c r="G88" s="103"/>
      <c r="H88" s="103"/>
      <c r="I88" s="103"/>
      <c r="J88" s="104"/>
    </row>
    <row r="89" spans="1:10" x14ac:dyDescent="0.3">
      <c r="A89" s="2" t="s">
        <v>62</v>
      </c>
      <c r="B89" s="2" t="s">
        <v>65</v>
      </c>
      <c r="C89"/>
      <c r="D89"/>
      <c r="E89"/>
      <c r="F89"/>
      <c r="G89"/>
      <c r="H89"/>
      <c r="I89"/>
      <c r="J89"/>
    </row>
    <row r="90" spans="1:10" x14ac:dyDescent="0.3">
      <c r="A90"/>
      <c r="B90" t="s">
        <v>48</v>
      </c>
      <c r="C90" t="s">
        <v>75</v>
      </c>
      <c r="D90" t="s">
        <v>49</v>
      </c>
      <c r="E90" t="s">
        <v>76</v>
      </c>
      <c r="F90" t="s">
        <v>50</v>
      </c>
      <c r="G90" t="s">
        <v>77</v>
      </c>
      <c r="H90" t="s">
        <v>51</v>
      </c>
      <c r="I90" t="s">
        <v>78</v>
      </c>
      <c r="J90" t="s">
        <v>63</v>
      </c>
    </row>
    <row r="91" spans="1:10" x14ac:dyDescent="0.3">
      <c r="A91" s="2" t="s">
        <v>61</v>
      </c>
      <c r="B91" t="s">
        <v>79</v>
      </c>
      <c r="C91"/>
      <c r="D91" t="s">
        <v>80</v>
      </c>
      <c r="E91"/>
      <c r="F91" t="s">
        <v>81</v>
      </c>
      <c r="G91"/>
      <c r="H91" t="s">
        <v>82</v>
      </c>
      <c r="I91"/>
      <c r="J91"/>
    </row>
    <row r="92" spans="1:10" x14ac:dyDescent="0.3">
      <c r="A92" s="3" t="s">
        <v>21</v>
      </c>
      <c r="B92" s="1">
        <v>11.25</v>
      </c>
      <c r="C92" s="1">
        <v>11.25</v>
      </c>
      <c r="D92" s="1">
        <v>0</v>
      </c>
      <c r="E92" s="1">
        <v>0</v>
      </c>
      <c r="F92" s="1">
        <v>0</v>
      </c>
      <c r="G92" s="1">
        <v>0</v>
      </c>
      <c r="H92" s="1">
        <v>0</v>
      </c>
      <c r="I92" s="1">
        <v>0</v>
      </c>
      <c r="J92" s="1">
        <v>11.25</v>
      </c>
    </row>
    <row r="93" spans="1:10" x14ac:dyDescent="0.3">
      <c r="A93" s="3" t="s">
        <v>10</v>
      </c>
      <c r="B93" s="1">
        <v>17.166666666666668</v>
      </c>
      <c r="C93" s="1">
        <v>17.166666666666668</v>
      </c>
      <c r="D93" s="1">
        <v>0</v>
      </c>
      <c r="E93" s="1">
        <v>0</v>
      </c>
      <c r="F93" s="1">
        <v>0</v>
      </c>
      <c r="G93" s="1">
        <v>0</v>
      </c>
      <c r="H93" s="1">
        <v>0</v>
      </c>
      <c r="I93" s="1">
        <v>0</v>
      </c>
      <c r="J93" s="1">
        <v>17.166666666666668</v>
      </c>
    </row>
    <row r="94" spans="1:10" x14ac:dyDescent="0.3">
      <c r="A94" s="3" t="s">
        <v>24</v>
      </c>
      <c r="B94" s="1">
        <v>10</v>
      </c>
      <c r="C94" s="1">
        <v>10</v>
      </c>
      <c r="D94" s="1">
        <v>0</v>
      </c>
      <c r="E94" s="1">
        <v>0</v>
      </c>
      <c r="F94" s="1">
        <v>0</v>
      </c>
      <c r="G94" s="1">
        <v>0</v>
      </c>
      <c r="H94" s="1">
        <v>0</v>
      </c>
      <c r="I94" s="1">
        <v>0</v>
      </c>
      <c r="J94" s="1">
        <v>10</v>
      </c>
    </row>
    <row r="95" spans="1:10" x14ac:dyDescent="0.3">
      <c r="A95" s="3" t="s">
        <v>17</v>
      </c>
      <c r="B95" s="1">
        <v>5.5833333333333339</v>
      </c>
      <c r="C95" s="1">
        <v>5.5833333333333339</v>
      </c>
      <c r="D95" s="1">
        <v>0</v>
      </c>
      <c r="E95" s="1">
        <v>0</v>
      </c>
      <c r="F95" s="1">
        <v>0</v>
      </c>
      <c r="G95" s="1">
        <v>0</v>
      </c>
      <c r="H95" s="1">
        <v>0</v>
      </c>
      <c r="I95" s="1">
        <v>0</v>
      </c>
      <c r="J95" s="1">
        <v>5.5833333333333339</v>
      </c>
    </row>
    <row r="96" spans="1:10" x14ac:dyDescent="0.3">
      <c r="A96" s="3" t="s">
        <v>26</v>
      </c>
      <c r="B96" s="1">
        <v>10.333333333333332</v>
      </c>
      <c r="C96" s="1">
        <v>10.333333333333332</v>
      </c>
      <c r="D96" s="1">
        <v>0</v>
      </c>
      <c r="E96" s="1">
        <v>0</v>
      </c>
      <c r="F96" s="1">
        <v>0</v>
      </c>
      <c r="G96" s="1">
        <v>0</v>
      </c>
      <c r="H96" s="1">
        <v>0</v>
      </c>
      <c r="I96" s="1">
        <v>0</v>
      </c>
      <c r="J96" s="1">
        <v>10.333333333333332</v>
      </c>
    </row>
    <row r="97" spans="1:10" x14ac:dyDescent="0.3">
      <c r="A97" s="3" t="s">
        <v>19</v>
      </c>
      <c r="B97" s="1">
        <v>9.75</v>
      </c>
      <c r="C97" s="1">
        <v>9.75</v>
      </c>
      <c r="D97" s="1">
        <v>0</v>
      </c>
      <c r="E97" s="1">
        <v>0</v>
      </c>
      <c r="F97" s="1">
        <v>0</v>
      </c>
      <c r="G97" s="1">
        <v>0</v>
      </c>
      <c r="H97" s="1">
        <v>0</v>
      </c>
      <c r="I97" s="1">
        <v>0</v>
      </c>
      <c r="J97" s="1">
        <v>9.75</v>
      </c>
    </row>
    <row r="98" spans="1:10" x14ac:dyDescent="0.3">
      <c r="A98" s="3" t="s">
        <v>15</v>
      </c>
      <c r="B98" s="1">
        <v>4.9791666666666661</v>
      </c>
      <c r="C98" s="1">
        <v>4.9791666666666661</v>
      </c>
      <c r="D98" s="1">
        <v>0</v>
      </c>
      <c r="E98" s="1">
        <v>0</v>
      </c>
      <c r="F98" s="1">
        <v>0</v>
      </c>
      <c r="G98" s="1">
        <v>0</v>
      </c>
      <c r="H98" s="1">
        <v>0</v>
      </c>
      <c r="I98" s="1">
        <v>0</v>
      </c>
      <c r="J98" s="1">
        <v>4.9791666666666661</v>
      </c>
    </row>
    <row r="99" spans="1:10" x14ac:dyDescent="0.3">
      <c r="A99" s="3" t="s">
        <v>56</v>
      </c>
      <c r="B99" s="1">
        <v>21</v>
      </c>
      <c r="C99" s="1">
        <v>21</v>
      </c>
      <c r="D99" s="1">
        <v>0</v>
      </c>
      <c r="E99" s="1">
        <v>0</v>
      </c>
      <c r="F99" s="1">
        <v>0</v>
      </c>
      <c r="G99" s="1">
        <v>0</v>
      </c>
      <c r="H99" s="1">
        <v>0</v>
      </c>
      <c r="I99" s="1">
        <v>0</v>
      </c>
      <c r="J99" s="1">
        <v>21</v>
      </c>
    </row>
    <row r="115" spans="1:10" ht="15" thickBot="1" x14ac:dyDescent="0.35"/>
    <row r="116" spans="1:10" x14ac:dyDescent="0.3">
      <c r="A116" s="99" t="s">
        <v>83</v>
      </c>
      <c r="B116" s="100"/>
      <c r="C116" s="100"/>
      <c r="D116" s="100"/>
      <c r="E116" s="100"/>
      <c r="F116" s="100"/>
      <c r="G116" s="100"/>
      <c r="H116" s="100"/>
      <c r="I116" s="100"/>
      <c r="J116" s="101"/>
    </row>
    <row r="117" spans="1:10" ht="15" thickBot="1" x14ac:dyDescent="0.35">
      <c r="A117" s="102"/>
      <c r="B117" s="103"/>
      <c r="C117" s="103"/>
      <c r="D117" s="103"/>
      <c r="E117" s="103"/>
      <c r="F117" s="103"/>
      <c r="G117" s="103"/>
      <c r="H117" s="103"/>
      <c r="I117" s="103"/>
      <c r="J117" s="104"/>
    </row>
    <row r="118" spans="1:10" x14ac:dyDescent="0.3">
      <c r="A118" s="2" t="s">
        <v>62</v>
      </c>
      <c r="B118" s="2" t="s">
        <v>65</v>
      </c>
      <c r="C118"/>
      <c r="D118"/>
      <c r="E118"/>
      <c r="F118"/>
      <c r="G118"/>
      <c r="H118"/>
      <c r="I118"/>
      <c r="J118"/>
    </row>
    <row r="119" spans="1:10" x14ac:dyDescent="0.3">
      <c r="A119"/>
      <c r="B119" t="s">
        <v>52</v>
      </c>
      <c r="C119" t="s">
        <v>84</v>
      </c>
      <c r="D119" t="s">
        <v>53</v>
      </c>
      <c r="E119" t="s">
        <v>85</v>
      </c>
      <c r="F119" t="s">
        <v>54</v>
      </c>
      <c r="G119" t="s">
        <v>86</v>
      </c>
      <c r="H119" t="s">
        <v>55</v>
      </c>
      <c r="I119" t="s">
        <v>87</v>
      </c>
      <c r="J119" t="s">
        <v>63</v>
      </c>
    </row>
    <row r="120" spans="1:10" x14ac:dyDescent="0.3">
      <c r="A120" s="2" t="s">
        <v>61</v>
      </c>
      <c r="B120" t="s">
        <v>88</v>
      </c>
      <c r="C120"/>
      <c r="D120" t="s">
        <v>70</v>
      </c>
      <c r="E120"/>
      <c r="F120" t="s">
        <v>70</v>
      </c>
      <c r="G120"/>
      <c r="H120" t="s">
        <v>70</v>
      </c>
      <c r="I120"/>
      <c r="J120"/>
    </row>
    <row r="121" spans="1:10" x14ac:dyDescent="0.3">
      <c r="A121" s="3" t="s">
        <v>21</v>
      </c>
      <c r="B121" s="1">
        <v>0</v>
      </c>
      <c r="C121" s="1">
        <v>0</v>
      </c>
      <c r="D121" s="1">
        <v>0</v>
      </c>
      <c r="E121" s="1">
        <v>0</v>
      </c>
      <c r="F121" s="1">
        <v>0</v>
      </c>
      <c r="G121" s="1">
        <v>0</v>
      </c>
      <c r="H121" s="1">
        <v>0</v>
      </c>
      <c r="I121" s="1">
        <v>0</v>
      </c>
      <c r="J121" s="1">
        <v>0</v>
      </c>
    </row>
    <row r="122" spans="1:10" x14ac:dyDescent="0.3">
      <c r="A122" s="3" t="s">
        <v>10</v>
      </c>
      <c r="B122" s="1">
        <v>0</v>
      </c>
      <c r="C122" s="1">
        <v>0</v>
      </c>
      <c r="D122" s="1">
        <v>0</v>
      </c>
      <c r="E122" s="1">
        <v>0</v>
      </c>
      <c r="F122" s="1">
        <v>0</v>
      </c>
      <c r="G122" s="1">
        <v>0</v>
      </c>
      <c r="H122" s="1">
        <v>0</v>
      </c>
      <c r="I122" s="1">
        <v>0</v>
      </c>
      <c r="J122" s="1">
        <v>0</v>
      </c>
    </row>
    <row r="123" spans="1:10" x14ac:dyDescent="0.3">
      <c r="A123" s="3" t="s">
        <v>24</v>
      </c>
      <c r="B123" s="1">
        <v>0</v>
      </c>
      <c r="C123" s="1">
        <v>0</v>
      </c>
      <c r="D123" s="1">
        <v>0</v>
      </c>
      <c r="E123" s="1">
        <v>0</v>
      </c>
      <c r="F123" s="1">
        <v>0</v>
      </c>
      <c r="G123" s="1">
        <v>0</v>
      </c>
      <c r="H123" s="1">
        <v>0</v>
      </c>
      <c r="I123" s="1">
        <v>0</v>
      </c>
      <c r="J123" s="1">
        <v>0</v>
      </c>
    </row>
    <row r="124" spans="1:10" x14ac:dyDescent="0.3">
      <c r="A124" s="3" t="s">
        <v>17</v>
      </c>
      <c r="B124" s="1">
        <v>0</v>
      </c>
      <c r="C124" s="1">
        <v>0</v>
      </c>
      <c r="D124" s="1">
        <v>0</v>
      </c>
      <c r="E124" s="1">
        <v>0</v>
      </c>
      <c r="F124" s="1">
        <v>0</v>
      </c>
      <c r="G124" s="1">
        <v>0</v>
      </c>
      <c r="H124" s="1">
        <v>0</v>
      </c>
      <c r="I124" s="1">
        <v>0</v>
      </c>
      <c r="J124" s="1">
        <v>0</v>
      </c>
    </row>
    <row r="125" spans="1:10" x14ac:dyDescent="0.3">
      <c r="A125" s="3" t="s">
        <v>26</v>
      </c>
      <c r="B125" s="1">
        <v>0</v>
      </c>
      <c r="C125" s="1">
        <v>0</v>
      </c>
      <c r="D125" s="1">
        <v>0</v>
      </c>
      <c r="E125" s="1">
        <v>0</v>
      </c>
      <c r="F125" s="1">
        <v>0</v>
      </c>
      <c r="G125" s="1">
        <v>0</v>
      </c>
      <c r="H125" s="1">
        <v>0</v>
      </c>
      <c r="I125" s="1">
        <v>0</v>
      </c>
      <c r="J125" s="1">
        <v>0</v>
      </c>
    </row>
    <row r="126" spans="1:10" x14ac:dyDescent="0.3">
      <c r="A126" s="3" t="s">
        <v>19</v>
      </c>
      <c r="B126" s="1">
        <v>0</v>
      </c>
      <c r="C126" s="1">
        <v>0</v>
      </c>
      <c r="D126" s="1">
        <v>0</v>
      </c>
      <c r="E126" s="1">
        <v>0</v>
      </c>
      <c r="F126" s="1">
        <v>0</v>
      </c>
      <c r="G126" s="1">
        <v>0</v>
      </c>
      <c r="H126" s="1">
        <v>0</v>
      </c>
      <c r="I126" s="1">
        <v>0</v>
      </c>
      <c r="J126" s="1">
        <v>0</v>
      </c>
    </row>
    <row r="127" spans="1:10" x14ac:dyDescent="0.3">
      <c r="A127" s="3" t="s">
        <v>15</v>
      </c>
      <c r="B127" s="1">
        <v>0</v>
      </c>
      <c r="C127" s="1">
        <v>0</v>
      </c>
      <c r="D127" s="1">
        <v>0</v>
      </c>
      <c r="E127" s="1">
        <v>0</v>
      </c>
      <c r="F127" s="1">
        <v>0</v>
      </c>
      <c r="G127" s="1">
        <v>0</v>
      </c>
      <c r="H127" s="1">
        <v>0</v>
      </c>
      <c r="I127" s="1">
        <v>0</v>
      </c>
      <c r="J127" s="1">
        <v>0</v>
      </c>
    </row>
    <row r="128" spans="1:10" x14ac:dyDescent="0.3">
      <c r="A128" s="3" t="s">
        <v>56</v>
      </c>
      <c r="B128" s="1">
        <v>0</v>
      </c>
      <c r="C128" s="1">
        <v>0</v>
      </c>
      <c r="D128" s="1">
        <v>0</v>
      </c>
      <c r="E128" s="1">
        <v>0</v>
      </c>
      <c r="F128" s="1">
        <v>0</v>
      </c>
      <c r="G128" s="1">
        <v>0</v>
      </c>
      <c r="H128" s="1">
        <v>0</v>
      </c>
      <c r="I128" s="1">
        <v>0</v>
      </c>
      <c r="J128" s="1">
        <v>0</v>
      </c>
    </row>
    <row r="141" spans="1:9" ht="15" thickBot="1" x14ac:dyDescent="0.35"/>
    <row r="142" spans="1:9" ht="14.4" customHeight="1" x14ac:dyDescent="0.3">
      <c r="A142" s="99" t="s">
        <v>89</v>
      </c>
      <c r="B142" s="100"/>
      <c r="C142" s="100"/>
      <c r="D142" s="100"/>
      <c r="E142" s="100"/>
      <c r="F142" s="100"/>
      <c r="G142" s="100"/>
      <c r="H142" s="100"/>
      <c r="I142" s="101"/>
    </row>
    <row r="143" spans="1:9" ht="15" thickBot="1" x14ac:dyDescent="0.35">
      <c r="A143" s="102"/>
      <c r="B143" s="103"/>
      <c r="C143" s="103"/>
      <c r="D143" s="103"/>
      <c r="E143" s="103"/>
      <c r="F143" s="103"/>
      <c r="G143" s="103"/>
      <c r="H143" s="103"/>
      <c r="I143" s="104"/>
    </row>
    <row r="144" spans="1:9" x14ac:dyDescent="0.3">
      <c r="A144" s="2" t="s">
        <v>62</v>
      </c>
      <c r="B144" s="2" t="s">
        <v>65</v>
      </c>
      <c r="C144"/>
      <c r="D144"/>
      <c r="E144"/>
      <c r="F144"/>
      <c r="G144"/>
      <c r="H144"/>
      <c r="I144"/>
    </row>
    <row r="145" spans="1:9" x14ac:dyDescent="0.3">
      <c r="A145" s="2" t="s">
        <v>61</v>
      </c>
      <c r="B145" t="s">
        <v>21</v>
      </c>
      <c r="C145" t="s">
        <v>10</v>
      </c>
      <c r="D145" t="s">
        <v>24</v>
      </c>
      <c r="E145" t="s">
        <v>17</v>
      </c>
      <c r="F145" t="s">
        <v>26</v>
      </c>
      <c r="G145" t="s">
        <v>19</v>
      </c>
      <c r="H145" t="s">
        <v>15</v>
      </c>
      <c r="I145" t="s">
        <v>56</v>
      </c>
    </row>
    <row r="146" spans="1:9" x14ac:dyDescent="0.3">
      <c r="A146" s="3" t="s">
        <v>44</v>
      </c>
      <c r="B146" s="1">
        <v>0</v>
      </c>
      <c r="C146" s="1">
        <v>0</v>
      </c>
      <c r="D146" s="1">
        <v>5.5511151231257827E-16</v>
      </c>
      <c r="E146" s="1">
        <v>2.2204460492503131E-16</v>
      </c>
      <c r="F146" s="1">
        <v>1.1102230246251565E-16</v>
      </c>
      <c r="G146" s="1">
        <v>0</v>
      </c>
      <c r="H146" s="1">
        <v>2.2204460492503131E-16</v>
      </c>
      <c r="I146" s="1">
        <v>-3.5</v>
      </c>
    </row>
    <row r="147" spans="1:9" x14ac:dyDescent="0.3">
      <c r="A147" s="9" t="s">
        <v>70</v>
      </c>
      <c r="B147" s="1">
        <v>0</v>
      </c>
      <c r="C147" s="1">
        <v>0</v>
      </c>
      <c r="D147" s="1">
        <v>5.5511151231257827E-16</v>
      </c>
      <c r="E147" s="1">
        <v>2.2204460492503131E-16</v>
      </c>
      <c r="F147" s="1">
        <v>1.1102230246251565E-16</v>
      </c>
      <c r="G147" s="1">
        <v>0</v>
      </c>
      <c r="H147" s="1">
        <v>2.2204460492503131E-16</v>
      </c>
      <c r="I147" s="1">
        <v>-3.5</v>
      </c>
    </row>
    <row r="148" spans="1:9" x14ac:dyDescent="0.3">
      <c r="A148" s="3" t="s">
        <v>45</v>
      </c>
      <c r="B148" s="1">
        <v>9.8333333333333339</v>
      </c>
      <c r="C148" s="1">
        <v>21.361904761904761</v>
      </c>
      <c r="D148" s="1">
        <v>16.80952380952381</v>
      </c>
      <c r="E148" s="1">
        <v>18.55</v>
      </c>
      <c r="F148" s="1">
        <v>10.976190476190476</v>
      </c>
      <c r="G148" s="1">
        <v>6.75</v>
      </c>
      <c r="H148" s="1">
        <v>15.37202380952381</v>
      </c>
      <c r="I148" s="1">
        <v>17.5</v>
      </c>
    </row>
    <row r="149" spans="1:9" x14ac:dyDescent="0.3">
      <c r="A149" s="9" t="s">
        <v>71</v>
      </c>
      <c r="B149" s="1">
        <v>9.8333333333333339</v>
      </c>
      <c r="C149" s="1">
        <v>21.361904761904761</v>
      </c>
      <c r="D149" s="1">
        <v>16.80952380952381</v>
      </c>
      <c r="E149" s="1">
        <v>18.55</v>
      </c>
      <c r="F149" s="1">
        <v>10.976190476190476</v>
      </c>
      <c r="G149" s="1">
        <v>6.75</v>
      </c>
      <c r="H149" s="1">
        <v>15.37202380952381</v>
      </c>
      <c r="I149" s="1">
        <v>17.5</v>
      </c>
    </row>
    <row r="150" spans="1:9" x14ac:dyDescent="0.3">
      <c r="A150" s="3" t="s">
        <v>46</v>
      </c>
      <c r="B150" s="1">
        <v>14.166666666666668</v>
      </c>
      <c r="C150" s="1">
        <v>24.138095238095239</v>
      </c>
      <c r="D150" s="1">
        <v>19.69047619047619</v>
      </c>
      <c r="E150" s="1">
        <v>22.95</v>
      </c>
      <c r="F150" s="1">
        <v>14.523809523809526</v>
      </c>
      <c r="G150" s="1">
        <v>11.25</v>
      </c>
      <c r="H150" s="1">
        <v>21.770833333333336</v>
      </c>
      <c r="I150" s="1">
        <v>17.5</v>
      </c>
    </row>
    <row r="151" spans="1:9" x14ac:dyDescent="0.3">
      <c r="A151" s="9" t="s">
        <v>72</v>
      </c>
      <c r="B151" s="1">
        <v>14.166666666666668</v>
      </c>
      <c r="C151" s="1">
        <v>24.138095238095239</v>
      </c>
      <c r="D151" s="1">
        <v>19.69047619047619</v>
      </c>
      <c r="E151" s="1">
        <v>22.95</v>
      </c>
      <c r="F151" s="1">
        <v>14.523809523809526</v>
      </c>
      <c r="G151" s="1">
        <v>11.25</v>
      </c>
      <c r="H151" s="1">
        <v>21.770833333333336</v>
      </c>
      <c r="I151" s="1">
        <v>17.5</v>
      </c>
    </row>
    <row r="152" spans="1:9" x14ac:dyDescent="0.3">
      <c r="A152" s="3" t="s">
        <v>47</v>
      </c>
      <c r="B152" s="1">
        <v>10.25</v>
      </c>
      <c r="C152" s="1">
        <v>18.361904761904764</v>
      </c>
      <c r="D152" s="1">
        <v>13.809523809523812</v>
      </c>
      <c r="E152" s="1">
        <v>12.216666666666669</v>
      </c>
      <c r="F152" s="1">
        <v>9.8095238095238084</v>
      </c>
      <c r="G152" s="1">
        <v>6.75</v>
      </c>
      <c r="H152" s="1">
        <v>5.5625</v>
      </c>
      <c r="I152" s="1">
        <v>17.5</v>
      </c>
    </row>
    <row r="153" spans="1:9" x14ac:dyDescent="0.3">
      <c r="A153" s="9" t="s">
        <v>73</v>
      </c>
      <c r="B153" s="1">
        <v>10.25</v>
      </c>
      <c r="C153" s="1">
        <v>18.361904761904764</v>
      </c>
      <c r="D153" s="1">
        <v>13.809523809523812</v>
      </c>
      <c r="E153" s="1">
        <v>12.216666666666669</v>
      </c>
      <c r="F153" s="1">
        <v>9.8095238095238084</v>
      </c>
      <c r="G153" s="1">
        <v>6.75</v>
      </c>
      <c r="H153" s="1">
        <v>5.5625</v>
      </c>
      <c r="I153" s="1">
        <v>17.5</v>
      </c>
    </row>
    <row r="154" spans="1:9" x14ac:dyDescent="0.3">
      <c r="A154" s="3" t="s">
        <v>48</v>
      </c>
      <c r="B154" s="1">
        <v>11.25</v>
      </c>
      <c r="C154" s="1">
        <v>17.166666666666668</v>
      </c>
      <c r="D154" s="1">
        <v>10</v>
      </c>
      <c r="E154" s="1">
        <v>5.5833333333333339</v>
      </c>
      <c r="F154" s="1">
        <v>10.333333333333332</v>
      </c>
      <c r="G154" s="1">
        <v>9.75</v>
      </c>
      <c r="H154" s="1">
        <v>4.9791666666666661</v>
      </c>
      <c r="I154" s="1">
        <v>21</v>
      </c>
    </row>
    <row r="155" spans="1:9" x14ac:dyDescent="0.3">
      <c r="A155" s="9" t="s">
        <v>79</v>
      </c>
      <c r="B155" s="1">
        <v>11.25</v>
      </c>
      <c r="C155" s="1">
        <v>17.166666666666668</v>
      </c>
      <c r="D155" s="1">
        <v>10</v>
      </c>
      <c r="E155" s="1">
        <v>5.5833333333333339</v>
      </c>
      <c r="F155" s="1">
        <v>10.333333333333332</v>
      </c>
      <c r="G155" s="1">
        <v>9.75</v>
      </c>
      <c r="H155" s="1">
        <v>4.9791666666666661</v>
      </c>
      <c r="I155" s="1">
        <v>21</v>
      </c>
    </row>
    <row r="156" spans="1:9" x14ac:dyDescent="0.3">
      <c r="A156" s="8" t="s">
        <v>63</v>
      </c>
      <c r="B156" s="1">
        <v>45.5</v>
      </c>
      <c r="C156" s="1">
        <v>81.028571428571439</v>
      </c>
      <c r="D156" s="1">
        <v>60.30952380952381</v>
      </c>
      <c r="E156" s="1">
        <v>59.300000000000004</v>
      </c>
      <c r="F156" s="1">
        <v>45.642857142857139</v>
      </c>
      <c r="G156" s="1">
        <v>34.5</v>
      </c>
      <c r="H156" s="1">
        <v>47.68452380952381</v>
      </c>
      <c r="I156" s="1">
        <v>70</v>
      </c>
    </row>
    <row r="168" spans="1:9" ht="15" thickBot="1" x14ac:dyDescent="0.35"/>
    <row r="169" spans="1:9" ht="14.4" customHeight="1" x14ac:dyDescent="0.3">
      <c r="A169" s="99" t="s">
        <v>90</v>
      </c>
      <c r="B169" s="100"/>
      <c r="C169" s="100"/>
      <c r="D169" s="100"/>
      <c r="E169" s="100"/>
      <c r="F169" s="100"/>
      <c r="G169" s="100"/>
      <c r="H169" s="100"/>
      <c r="I169" s="101"/>
    </row>
    <row r="170" spans="1:9" ht="15" thickBot="1" x14ac:dyDescent="0.35">
      <c r="A170" s="102"/>
      <c r="B170" s="103"/>
      <c r="C170" s="103"/>
      <c r="D170" s="103"/>
      <c r="E170" s="103"/>
      <c r="F170" s="103"/>
      <c r="G170" s="103"/>
      <c r="H170" s="103"/>
      <c r="I170" s="104"/>
    </row>
    <row r="171" spans="1:9" x14ac:dyDescent="0.3">
      <c r="A171" s="2" t="s">
        <v>62</v>
      </c>
      <c r="B171" s="2" t="s">
        <v>65</v>
      </c>
      <c r="C171"/>
      <c r="D171"/>
      <c r="E171"/>
      <c r="F171"/>
      <c r="G171"/>
      <c r="H171"/>
      <c r="I171"/>
    </row>
    <row r="172" spans="1:9" x14ac:dyDescent="0.3">
      <c r="A172" s="2" t="s">
        <v>61</v>
      </c>
      <c r="B172" t="s">
        <v>21</v>
      </c>
      <c r="C172" t="s">
        <v>10</v>
      </c>
      <c r="D172" t="s">
        <v>24</v>
      </c>
      <c r="E172" t="s">
        <v>17</v>
      </c>
      <c r="F172" t="s">
        <v>26</v>
      </c>
      <c r="G172" t="s">
        <v>19</v>
      </c>
      <c r="H172" t="s">
        <v>15</v>
      </c>
      <c r="I172" t="s">
        <v>56</v>
      </c>
    </row>
    <row r="173" spans="1:9" x14ac:dyDescent="0.3">
      <c r="A173" s="3" t="s">
        <v>49</v>
      </c>
      <c r="B173" s="1">
        <v>0</v>
      </c>
      <c r="C173" s="1">
        <v>0</v>
      </c>
      <c r="D173" s="1">
        <v>0</v>
      </c>
      <c r="E173" s="1">
        <v>0</v>
      </c>
      <c r="F173" s="1">
        <v>0</v>
      </c>
      <c r="G173" s="1">
        <v>0</v>
      </c>
      <c r="H173" s="1">
        <v>0</v>
      </c>
      <c r="I173" s="1">
        <v>0</v>
      </c>
    </row>
    <row r="174" spans="1:9" x14ac:dyDescent="0.3">
      <c r="A174" s="9" t="s">
        <v>80</v>
      </c>
      <c r="B174" s="1">
        <v>0</v>
      </c>
      <c r="C174" s="1">
        <v>0</v>
      </c>
      <c r="D174" s="1">
        <v>0</v>
      </c>
      <c r="E174" s="1">
        <v>0</v>
      </c>
      <c r="F174" s="1">
        <v>0</v>
      </c>
      <c r="G174" s="1">
        <v>0</v>
      </c>
      <c r="H174" s="1">
        <v>0</v>
      </c>
      <c r="I174" s="1">
        <v>0</v>
      </c>
    </row>
    <row r="175" spans="1:9" x14ac:dyDescent="0.3">
      <c r="A175" s="3" t="s">
        <v>50</v>
      </c>
      <c r="B175" s="1">
        <v>0</v>
      </c>
      <c r="C175" s="1">
        <v>0</v>
      </c>
      <c r="D175" s="1">
        <v>0</v>
      </c>
      <c r="E175" s="1">
        <v>0</v>
      </c>
      <c r="F175" s="1">
        <v>0</v>
      </c>
      <c r="G175" s="1">
        <v>0</v>
      </c>
      <c r="H175" s="1">
        <v>0</v>
      </c>
      <c r="I175" s="1">
        <v>0</v>
      </c>
    </row>
    <row r="176" spans="1:9" x14ac:dyDescent="0.3">
      <c r="A176" s="9" t="s">
        <v>81</v>
      </c>
      <c r="B176" s="1">
        <v>0</v>
      </c>
      <c r="C176" s="1">
        <v>0</v>
      </c>
      <c r="D176" s="1">
        <v>0</v>
      </c>
      <c r="E176" s="1">
        <v>0</v>
      </c>
      <c r="F176" s="1">
        <v>0</v>
      </c>
      <c r="G176" s="1">
        <v>0</v>
      </c>
      <c r="H176" s="1">
        <v>0</v>
      </c>
      <c r="I176" s="1">
        <v>0</v>
      </c>
    </row>
    <row r="177" spans="1:9" x14ac:dyDescent="0.3">
      <c r="A177" s="3" t="s">
        <v>51</v>
      </c>
      <c r="B177" s="1">
        <v>0</v>
      </c>
      <c r="C177" s="1">
        <v>0</v>
      </c>
      <c r="D177" s="1">
        <v>0</v>
      </c>
      <c r="E177" s="1">
        <v>0</v>
      </c>
      <c r="F177" s="1">
        <v>0</v>
      </c>
      <c r="G177" s="1">
        <v>0</v>
      </c>
      <c r="H177" s="1">
        <v>0</v>
      </c>
      <c r="I177" s="1">
        <v>0</v>
      </c>
    </row>
    <row r="178" spans="1:9" x14ac:dyDescent="0.3">
      <c r="A178" s="9" t="s">
        <v>82</v>
      </c>
      <c r="B178" s="1">
        <v>0</v>
      </c>
      <c r="C178" s="1">
        <v>0</v>
      </c>
      <c r="D178" s="1">
        <v>0</v>
      </c>
      <c r="E178" s="1">
        <v>0</v>
      </c>
      <c r="F178" s="1">
        <v>0</v>
      </c>
      <c r="G178" s="1">
        <v>0</v>
      </c>
      <c r="H178" s="1">
        <v>0</v>
      </c>
      <c r="I178" s="1">
        <v>0</v>
      </c>
    </row>
    <row r="179" spans="1:9" x14ac:dyDescent="0.3">
      <c r="A179" s="3" t="s">
        <v>52</v>
      </c>
      <c r="B179" s="1">
        <v>0</v>
      </c>
      <c r="C179" s="1">
        <v>0</v>
      </c>
      <c r="D179" s="1">
        <v>0</v>
      </c>
      <c r="E179" s="1">
        <v>0</v>
      </c>
      <c r="F179" s="1">
        <v>0</v>
      </c>
      <c r="G179" s="1">
        <v>0</v>
      </c>
      <c r="H179" s="1">
        <v>0</v>
      </c>
      <c r="I179" s="1">
        <v>0</v>
      </c>
    </row>
    <row r="180" spans="1:9" x14ac:dyDescent="0.3">
      <c r="A180" s="9" t="s">
        <v>88</v>
      </c>
      <c r="B180" s="1">
        <v>0</v>
      </c>
      <c r="C180" s="1">
        <v>0</v>
      </c>
      <c r="D180" s="1">
        <v>0</v>
      </c>
      <c r="E180" s="1">
        <v>0</v>
      </c>
      <c r="F180" s="1">
        <v>0</v>
      </c>
      <c r="G180" s="1">
        <v>0</v>
      </c>
      <c r="H180" s="1">
        <v>0</v>
      </c>
      <c r="I180" s="1">
        <v>0</v>
      </c>
    </row>
    <row r="181" spans="1:9" x14ac:dyDescent="0.3">
      <c r="A181" s="3" t="s">
        <v>53</v>
      </c>
      <c r="B181" s="1">
        <v>0</v>
      </c>
      <c r="C181" s="1">
        <v>0</v>
      </c>
      <c r="D181" s="1">
        <v>0</v>
      </c>
      <c r="E181" s="1">
        <v>0</v>
      </c>
      <c r="F181" s="1">
        <v>0</v>
      </c>
      <c r="G181" s="1">
        <v>0</v>
      </c>
      <c r="H181" s="1">
        <v>0</v>
      </c>
      <c r="I181" s="1">
        <v>0</v>
      </c>
    </row>
    <row r="182" spans="1:9" x14ac:dyDescent="0.3">
      <c r="A182" s="9" t="s">
        <v>70</v>
      </c>
      <c r="B182" s="1">
        <v>0</v>
      </c>
      <c r="C182" s="1">
        <v>0</v>
      </c>
      <c r="D182" s="1">
        <v>0</v>
      </c>
      <c r="E182" s="1">
        <v>0</v>
      </c>
      <c r="F182" s="1">
        <v>0</v>
      </c>
      <c r="G182" s="1">
        <v>0</v>
      </c>
      <c r="H182" s="1">
        <v>0</v>
      </c>
      <c r="I182" s="1">
        <v>0</v>
      </c>
    </row>
    <row r="183" spans="1:9" x14ac:dyDescent="0.3">
      <c r="A183" s="8" t="s">
        <v>63</v>
      </c>
      <c r="B183" s="1">
        <v>0</v>
      </c>
      <c r="C183" s="1">
        <v>0</v>
      </c>
      <c r="D183" s="1">
        <v>0</v>
      </c>
      <c r="E183" s="1">
        <v>0</v>
      </c>
      <c r="F183" s="1">
        <v>0</v>
      </c>
      <c r="G183" s="1">
        <v>0</v>
      </c>
      <c r="H183" s="1">
        <v>0</v>
      </c>
      <c r="I183" s="1">
        <v>0</v>
      </c>
    </row>
    <row r="198" spans="1:9" x14ac:dyDescent="0.3">
      <c r="A198" s="2" t="s">
        <v>62</v>
      </c>
      <c r="B198" s="2" t="s">
        <v>65</v>
      </c>
      <c r="C198"/>
      <c r="D198"/>
      <c r="E198"/>
      <c r="F198"/>
      <c r="G198"/>
      <c r="H198"/>
      <c r="I198"/>
    </row>
    <row r="199" spans="1:9" x14ac:dyDescent="0.3">
      <c r="A199" s="2" t="s">
        <v>61</v>
      </c>
      <c r="B199" t="s">
        <v>21</v>
      </c>
      <c r="C199" t="s">
        <v>10</v>
      </c>
      <c r="D199" t="s">
        <v>24</v>
      </c>
      <c r="E199" t="s">
        <v>17</v>
      </c>
      <c r="F199" t="s">
        <v>26</v>
      </c>
      <c r="G199" t="s">
        <v>19</v>
      </c>
      <c r="H199" t="s">
        <v>15</v>
      </c>
      <c r="I199" t="s">
        <v>56</v>
      </c>
    </row>
    <row r="200" spans="1:9" x14ac:dyDescent="0.3">
      <c r="A200" s="3" t="s">
        <v>44</v>
      </c>
      <c r="B200" s="1">
        <v>0</v>
      </c>
      <c r="C200" s="1">
        <v>0</v>
      </c>
      <c r="D200" s="1">
        <v>5.5511151231257827E-16</v>
      </c>
      <c r="E200" s="1">
        <v>2.2204460492503131E-16</v>
      </c>
      <c r="F200" s="1">
        <v>1.1102230246251565E-16</v>
      </c>
      <c r="G200" s="1">
        <v>0</v>
      </c>
      <c r="H200" s="1">
        <v>2.2204460492503131E-16</v>
      </c>
      <c r="I200" s="1">
        <v>-3.5</v>
      </c>
    </row>
    <row r="201" spans="1:9" x14ac:dyDescent="0.3">
      <c r="A201" s="9" t="s">
        <v>70</v>
      </c>
      <c r="B201" s="1">
        <v>0</v>
      </c>
      <c r="C201" s="1">
        <v>0</v>
      </c>
      <c r="D201" s="1">
        <v>5.5511151231257827E-16</v>
      </c>
      <c r="E201" s="1">
        <v>2.2204460492503131E-16</v>
      </c>
      <c r="F201" s="1">
        <v>1.1102230246251565E-16</v>
      </c>
      <c r="G201" s="1">
        <v>0</v>
      </c>
      <c r="H201" s="1">
        <v>2.2204460492503131E-16</v>
      </c>
      <c r="I201" s="1">
        <v>-3.5</v>
      </c>
    </row>
    <row r="202" spans="1:9" x14ac:dyDescent="0.3">
      <c r="A202" s="3" t="s">
        <v>45</v>
      </c>
      <c r="B202" s="1">
        <v>9.8333333333333339</v>
      </c>
      <c r="C202" s="1">
        <v>21.361904761904761</v>
      </c>
      <c r="D202" s="1">
        <v>16.80952380952381</v>
      </c>
      <c r="E202" s="1">
        <v>18.55</v>
      </c>
      <c r="F202" s="1">
        <v>10.976190476190476</v>
      </c>
      <c r="G202" s="1">
        <v>6.75</v>
      </c>
      <c r="H202" s="1">
        <v>15.37202380952381</v>
      </c>
      <c r="I202" s="1">
        <v>17.5</v>
      </c>
    </row>
    <row r="203" spans="1:9" x14ac:dyDescent="0.3">
      <c r="A203" s="9" t="s">
        <v>71</v>
      </c>
      <c r="B203" s="1">
        <v>9.8333333333333339</v>
      </c>
      <c r="C203" s="1">
        <v>21.361904761904761</v>
      </c>
      <c r="D203" s="1">
        <v>16.80952380952381</v>
      </c>
      <c r="E203" s="1">
        <v>18.55</v>
      </c>
      <c r="F203" s="1">
        <v>10.976190476190476</v>
      </c>
      <c r="G203" s="1">
        <v>6.75</v>
      </c>
      <c r="H203" s="1">
        <v>15.37202380952381</v>
      </c>
      <c r="I203" s="1">
        <v>17.5</v>
      </c>
    </row>
    <row r="204" spans="1:9" x14ac:dyDescent="0.3">
      <c r="A204" s="3" t="s">
        <v>46</v>
      </c>
      <c r="B204" s="1">
        <v>14.166666666666668</v>
      </c>
      <c r="C204" s="1">
        <v>24.138095238095239</v>
      </c>
      <c r="D204" s="1">
        <v>19.69047619047619</v>
      </c>
      <c r="E204" s="1">
        <v>22.95</v>
      </c>
      <c r="F204" s="1">
        <v>14.523809523809526</v>
      </c>
      <c r="G204" s="1">
        <v>11.25</v>
      </c>
      <c r="H204" s="1">
        <v>21.770833333333336</v>
      </c>
      <c r="I204" s="1">
        <v>17.5</v>
      </c>
    </row>
    <row r="205" spans="1:9" x14ac:dyDescent="0.3">
      <c r="A205" s="9" t="s">
        <v>72</v>
      </c>
      <c r="B205" s="1">
        <v>14.166666666666668</v>
      </c>
      <c r="C205" s="1">
        <v>24.138095238095239</v>
      </c>
      <c r="D205" s="1">
        <v>19.69047619047619</v>
      </c>
      <c r="E205" s="1">
        <v>22.95</v>
      </c>
      <c r="F205" s="1">
        <v>14.523809523809526</v>
      </c>
      <c r="G205" s="1">
        <v>11.25</v>
      </c>
      <c r="H205" s="1">
        <v>21.770833333333336</v>
      </c>
      <c r="I205" s="1">
        <v>17.5</v>
      </c>
    </row>
    <row r="206" spans="1:9" x14ac:dyDescent="0.3">
      <c r="A206" s="3" t="s">
        <v>47</v>
      </c>
      <c r="B206" s="1">
        <v>10.25</v>
      </c>
      <c r="C206" s="1">
        <v>18.361904761904764</v>
      </c>
      <c r="D206" s="1">
        <v>13.809523809523812</v>
      </c>
      <c r="E206" s="1">
        <v>12.216666666666669</v>
      </c>
      <c r="F206" s="1">
        <v>9.8095238095238084</v>
      </c>
      <c r="G206" s="1">
        <v>6.75</v>
      </c>
      <c r="H206" s="1">
        <v>5.5625</v>
      </c>
      <c r="I206" s="1">
        <v>17.5</v>
      </c>
    </row>
    <row r="207" spans="1:9" x14ac:dyDescent="0.3">
      <c r="A207" s="9" t="s">
        <v>73</v>
      </c>
      <c r="B207" s="1">
        <v>10.25</v>
      </c>
      <c r="C207" s="1">
        <v>18.361904761904764</v>
      </c>
      <c r="D207" s="1">
        <v>13.809523809523812</v>
      </c>
      <c r="E207" s="1">
        <v>12.216666666666669</v>
      </c>
      <c r="F207" s="1">
        <v>9.8095238095238084</v>
      </c>
      <c r="G207" s="1">
        <v>6.75</v>
      </c>
      <c r="H207" s="1">
        <v>5.5625</v>
      </c>
      <c r="I207" s="1">
        <v>17.5</v>
      </c>
    </row>
    <row r="208" spans="1:9" x14ac:dyDescent="0.3">
      <c r="A208" s="3" t="s">
        <v>48</v>
      </c>
      <c r="B208" s="1">
        <v>11.25</v>
      </c>
      <c r="C208" s="1">
        <v>17.166666666666668</v>
      </c>
      <c r="D208" s="1">
        <v>10</v>
      </c>
      <c r="E208" s="1">
        <v>5.5833333333333339</v>
      </c>
      <c r="F208" s="1">
        <v>10.333333333333332</v>
      </c>
      <c r="G208" s="1">
        <v>9.75</v>
      </c>
      <c r="H208" s="1">
        <v>4.9791666666666661</v>
      </c>
      <c r="I208" s="1">
        <v>21</v>
      </c>
    </row>
    <row r="209" spans="1:9" x14ac:dyDescent="0.3">
      <c r="A209" s="9" t="s">
        <v>79</v>
      </c>
      <c r="B209" s="1">
        <v>11.25</v>
      </c>
      <c r="C209" s="1">
        <v>17.166666666666668</v>
      </c>
      <c r="D209" s="1">
        <v>10</v>
      </c>
      <c r="E209" s="1">
        <v>5.5833333333333339</v>
      </c>
      <c r="F209" s="1">
        <v>10.333333333333332</v>
      </c>
      <c r="G209" s="1">
        <v>9.75</v>
      </c>
      <c r="H209" s="1">
        <v>4.9791666666666661</v>
      </c>
      <c r="I209" s="1">
        <v>21</v>
      </c>
    </row>
    <row r="210" spans="1:9" x14ac:dyDescent="0.3">
      <c r="A210" s="8" t="s">
        <v>63</v>
      </c>
      <c r="B210" s="1">
        <v>45.5</v>
      </c>
      <c r="C210" s="1">
        <v>81.028571428571439</v>
      </c>
      <c r="D210" s="1">
        <v>60.30952380952381</v>
      </c>
      <c r="E210" s="1">
        <v>59.300000000000004</v>
      </c>
      <c r="F210" s="1">
        <v>45.642857142857139</v>
      </c>
      <c r="G210" s="1">
        <v>34.5</v>
      </c>
      <c r="H210" s="1">
        <v>47.68452380952381</v>
      </c>
      <c r="I210" s="1">
        <v>70</v>
      </c>
    </row>
  </sheetData>
  <mergeCells count="5">
    <mergeCell ref="A60:J61"/>
    <mergeCell ref="A87:J88"/>
    <mergeCell ref="A116:J117"/>
    <mergeCell ref="A169:I170"/>
    <mergeCell ref="A142:I143"/>
  </mergeCells>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b0ebf89-0d76-494a-a739-aa7e7fc4e75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618F61605DB95A4B8DF08E312A0D5366" ma:contentTypeVersion="15" ma:contentTypeDescription="Crear nuevo documento." ma:contentTypeScope="" ma:versionID="0e01ba2bebf6a721adc1025af81b26b8">
  <xsd:schema xmlns:xsd="http://www.w3.org/2001/XMLSchema" xmlns:xs="http://www.w3.org/2001/XMLSchema" xmlns:p="http://schemas.microsoft.com/office/2006/metadata/properties" xmlns:ns3="eb0ebf89-0d76-494a-a739-aa7e7fc4e753" xmlns:ns4="22b11de3-9887-452e-b543-72c27fac46e5" targetNamespace="http://schemas.microsoft.com/office/2006/metadata/properties" ma:root="true" ma:fieldsID="05486cf858e3ef5cde171bf53c8e0ad1" ns3:_="" ns4:_="">
    <xsd:import namespace="eb0ebf89-0d76-494a-a739-aa7e7fc4e753"/>
    <xsd:import namespace="22b11de3-9887-452e-b543-72c27fac46e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_activity" minOccurs="0"/>
                <xsd:element ref="ns3:MediaServiceObjectDetectorVersions" minOccurs="0"/>
                <xsd:element ref="ns3:MediaServiceSystemTag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0ebf89-0d76-494a-a739-aa7e7fc4e7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2b11de3-9887-452e-b543-72c27fac46e5"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181C38-C1EC-4B9C-B598-43CCE4427A85}">
  <ds:schemaRefs>
    <ds:schemaRef ds:uri="22b11de3-9887-452e-b543-72c27fac46e5"/>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purl.org/dc/terms/"/>
    <ds:schemaRef ds:uri="http://schemas.microsoft.com/office/infopath/2007/PartnerControls"/>
    <ds:schemaRef ds:uri="eb0ebf89-0d76-494a-a739-aa7e7fc4e753"/>
    <ds:schemaRef ds:uri="http://purl.org/dc/dcmitype/"/>
  </ds:schemaRefs>
</ds:datastoreItem>
</file>

<file path=customXml/itemProps2.xml><?xml version="1.0" encoding="utf-8"?>
<ds:datastoreItem xmlns:ds="http://schemas.openxmlformats.org/officeDocument/2006/customXml" ds:itemID="{3D36E07C-ED1D-49AA-BE9D-64F965515D07}">
  <ds:schemaRefs>
    <ds:schemaRef ds:uri="http://schemas.microsoft.com/DataMashup"/>
  </ds:schemaRefs>
</ds:datastoreItem>
</file>

<file path=customXml/itemProps3.xml><?xml version="1.0" encoding="utf-8"?>
<ds:datastoreItem xmlns:ds="http://schemas.openxmlformats.org/officeDocument/2006/customXml" ds:itemID="{D5613844-A251-4960-A231-3D7305CBC9F5}">
  <ds:schemaRefs>
    <ds:schemaRef ds:uri="http://schemas.microsoft.com/sharepoint/v3/contenttype/forms"/>
  </ds:schemaRefs>
</ds:datastoreItem>
</file>

<file path=customXml/itemProps4.xml><?xml version="1.0" encoding="utf-8"?>
<ds:datastoreItem xmlns:ds="http://schemas.openxmlformats.org/officeDocument/2006/customXml" ds:itemID="{C126041A-DBFC-4DA5-8E4A-A0C935E38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0ebf89-0d76-494a-a739-aa7e7fc4e753"/>
    <ds:schemaRef ds:uri="22b11de3-9887-452e-b543-72c27fac4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Instructivo</vt:lpstr>
      <vt:lpstr>Registro</vt:lpstr>
      <vt:lpstr>BD</vt:lpstr>
      <vt:lpstr>Carga HH</vt:lpstr>
      <vt:lpstr>Gráficos HH (2)</vt:lpstr>
      <vt:lpstr>Gráficos HH</vt:lpstr>
      <vt:lpstr>Base_de_datos_gráficos</vt:lpstr>
      <vt:lpstr>GRAFICAR_PyC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Marcelo Carmona Concha</dc:creator>
  <cp:keywords/>
  <dc:description/>
  <cp:lastModifiedBy>Alan Matías Wilson Germany</cp:lastModifiedBy>
  <cp:revision/>
  <dcterms:created xsi:type="dcterms:W3CDTF">2025-02-05T17:56:19Z</dcterms:created>
  <dcterms:modified xsi:type="dcterms:W3CDTF">2026-05-27T03:53:26Z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0x010100618F61605DB95A4B8DF08E312A0D5366</vt:lpwstr>
  </property>
</Properties>
</file>